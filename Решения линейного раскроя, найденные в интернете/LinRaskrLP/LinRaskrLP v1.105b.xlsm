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2007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8-bit\Desktop\CSP\LinRaskrLP\"/>
    </mc:Choice>
  </mc:AlternateContent>
  <xr:revisionPtr revIDLastSave="0" documentId="13_ncr:1_{6588FC1C-0566-4756-AD7B-8C6275C07E7A}" xr6:coauthVersionLast="47" xr6:coauthVersionMax="47" xr10:uidLastSave="{00000000-0000-0000-0000-000000000000}"/>
  <bookViews>
    <workbookView xWindow="-60" yWindow="390" windowWidth="28920" windowHeight="15870" tabRatio="726" xr2:uid="{00000000-000D-0000-FFFF-FFFF00000000}"/>
  </bookViews>
  <sheets>
    <sheet name="Раскрой" sheetId="97" r:id="rId1"/>
    <sheet name="Тест1" sheetId="99" r:id="rId2"/>
    <sheet name="Тест2" sheetId="100" r:id="rId3"/>
    <sheet name="Тест3" sheetId="101" r:id="rId4"/>
    <sheet name="Тест4" sheetId="102" r:id="rId5"/>
    <sheet name="Тест5" sheetId="103" r:id="rId6"/>
    <sheet name="Тест6" sheetId="104" r:id="rId7"/>
    <sheet name="Раскрой (Окнософт1)" sheetId="105" r:id="rId8"/>
    <sheet name="Optimize1" sheetId="106" r:id="rId9"/>
    <sheet name="Optimize2" sheetId="107" r:id="rId10"/>
    <sheet name="Wiki" sheetId="108" r:id="rId11"/>
    <sheet name="Settings" sheetId="98" state="hidden" r:id="rId12"/>
  </sheets>
  <definedNames>
    <definedName name="_xlnm._FilterDatabase" localSheetId="8" hidden="1">Optimize1!$G$25:$G$115</definedName>
    <definedName name="_xlnm._FilterDatabase" localSheetId="9" hidden="1">Optimize2!$G$25:$G$115</definedName>
    <definedName name="_xlnm._FilterDatabase" localSheetId="10" hidden="1">Wiki!$G$25:$G$115</definedName>
    <definedName name="_xlnm._FilterDatabase" localSheetId="0" hidden="1">Раскрой!$G$25:$G$115</definedName>
    <definedName name="_xlnm._FilterDatabase" localSheetId="7" hidden="1">'Раскрой (Окнософт1)'!$G$25:$G$115</definedName>
    <definedName name="_xlnm._FilterDatabase" localSheetId="1" hidden="1">Тест1!$G$25:$G$115</definedName>
    <definedName name="_xlnm._FilterDatabase" localSheetId="2" hidden="1">Тест2!$G$25:$G$115</definedName>
    <definedName name="_xlnm._FilterDatabase" localSheetId="3" hidden="1">Тест3!$G$25:$G$115</definedName>
    <definedName name="_xlnm._FilterDatabase" localSheetId="4" hidden="1">Тест4!$G$25:$G$115</definedName>
    <definedName name="_xlnm._FilterDatabase" localSheetId="5" hidden="1">Тест5!$G$25:$G$115</definedName>
    <definedName name="_xlnm._FilterDatabase" localSheetId="6" hidden="1">Тест6!$G$25:$G$115</definedName>
    <definedName name="SetCspSolver">Settings!$C$4</definedName>
    <definedName name="SetMinMax">Settings!$C$7</definedName>
    <definedName name="SetRandomize">Settings!$C$6</definedName>
    <definedName name="SetThreads">Settings!$C$8</definedName>
    <definedName name="SetTime">Settings!$C$9</definedName>
    <definedName name="SetWaste">Settings!$C$10</definedName>
  </definedNames>
  <calcPr calcId="191029"/>
</workbook>
</file>

<file path=xl/calcChain.xml><?xml version="1.0" encoding="utf-8"?>
<calcChain xmlns="http://schemas.openxmlformats.org/spreadsheetml/2006/main">
  <c r="C10" i="98" l="1"/>
  <c r="O4" i="108" l="1"/>
  <c r="O5" i="108"/>
  <c r="O6" i="108"/>
  <c r="O7" i="108"/>
  <c r="O8" i="108"/>
  <c r="O9" i="108"/>
  <c r="O10" i="108"/>
  <c r="O11" i="108"/>
  <c r="O12" i="108"/>
  <c r="O13" i="108"/>
  <c r="O14" i="108"/>
  <c r="O15" i="108"/>
  <c r="B115" i="108"/>
  <c r="G114" i="108"/>
  <c r="B114" i="108"/>
  <c r="G113" i="108"/>
  <c r="B113" i="108"/>
  <c r="G112" i="108"/>
  <c r="B112" i="108"/>
  <c r="G111" i="108"/>
  <c r="B111" i="108"/>
  <c r="G110" i="108"/>
  <c r="B110" i="108"/>
  <c r="G109" i="108"/>
  <c r="B109" i="108"/>
  <c r="G108" i="108"/>
  <c r="B108" i="108"/>
  <c r="G107" i="108"/>
  <c r="B107" i="108"/>
  <c r="G106" i="108"/>
  <c r="B106" i="108"/>
  <c r="G105" i="108"/>
  <c r="B105" i="108"/>
  <c r="G104" i="108"/>
  <c r="B104" i="108"/>
  <c r="G103" i="108"/>
  <c r="B103" i="108"/>
  <c r="G102" i="108"/>
  <c r="B102" i="108"/>
  <c r="G101" i="108"/>
  <c r="B101" i="108"/>
  <c r="G100" i="108"/>
  <c r="B100" i="108"/>
  <c r="G99" i="108"/>
  <c r="B99" i="108"/>
  <c r="G98" i="108"/>
  <c r="B98" i="108"/>
  <c r="G97" i="108"/>
  <c r="B97" i="108"/>
  <c r="G96" i="108"/>
  <c r="B96" i="108"/>
  <c r="G95" i="108"/>
  <c r="B95" i="108"/>
  <c r="G94" i="108"/>
  <c r="B94" i="108"/>
  <c r="G93" i="108"/>
  <c r="B93" i="108"/>
  <c r="G92" i="108"/>
  <c r="B92" i="108"/>
  <c r="G91" i="108"/>
  <c r="B91" i="108"/>
  <c r="G90" i="108"/>
  <c r="B90" i="108"/>
  <c r="G89" i="108"/>
  <c r="B89" i="108"/>
  <c r="G88" i="108"/>
  <c r="B88" i="108"/>
  <c r="G87" i="108"/>
  <c r="B87" i="108"/>
  <c r="G86" i="108"/>
  <c r="B86" i="108"/>
  <c r="G85" i="108"/>
  <c r="B85" i="108"/>
  <c r="G84" i="108"/>
  <c r="B84" i="108"/>
  <c r="G83" i="108"/>
  <c r="B83" i="108"/>
  <c r="G82" i="108"/>
  <c r="B82" i="108"/>
  <c r="G81" i="108"/>
  <c r="B81" i="108"/>
  <c r="G80" i="108"/>
  <c r="B80" i="108"/>
  <c r="G79" i="108"/>
  <c r="B79" i="108"/>
  <c r="G78" i="108"/>
  <c r="B78" i="108"/>
  <c r="G77" i="108"/>
  <c r="B77" i="108"/>
  <c r="G76" i="108"/>
  <c r="B76" i="108"/>
  <c r="G75" i="108"/>
  <c r="B75" i="108"/>
  <c r="G74" i="108"/>
  <c r="B74" i="108"/>
  <c r="G73" i="108"/>
  <c r="B73" i="108"/>
  <c r="G72" i="108"/>
  <c r="B72" i="108"/>
  <c r="G71" i="108"/>
  <c r="B71" i="108"/>
  <c r="G70" i="108"/>
  <c r="B70" i="108"/>
  <c r="G69" i="108"/>
  <c r="B69" i="108"/>
  <c r="G68" i="108"/>
  <c r="B68" i="108"/>
  <c r="G67" i="108"/>
  <c r="B67" i="108"/>
  <c r="G66" i="108"/>
  <c r="B66" i="108"/>
  <c r="G65" i="108"/>
  <c r="B65" i="108"/>
  <c r="G64" i="108"/>
  <c r="B64" i="108"/>
  <c r="G63" i="108"/>
  <c r="B63" i="108"/>
  <c r="G62" i="108"/>
  <c r="B62" i="108"/>
  <c r="G61" i="108"/>
  <c r="B61" i="108"/>
  <c r="G60" i="108"/>
  <c r="B60" i="108"/>
  <c r="G59" i="108"/>
  <c r="B59" i="108"/>
  <c r="G58" i="108"/>
  <c r="B58" i="108"/>
  <c r="G57" i="108"/>
  <c r="B57" i="108"/>
  <c r="G56" i="108"/>
  <c r="B56" i="108"/>
  <c r="G55" i="108"/>
  <c r="B55" i="108"/>
  <c r="G54" i="108"/>
  <c r="B54" i="108"/>
  <c r="G53" i="108"/>
  <c r="B53" i="108"/>
  <c r="G52" i="108"/>
  <c r="B52" i="108"/>
  <c r="G51" i="108"/>
  <c r="B51" i="108"/>
  <c r="G50" i="108"/>
  <c r="B50" i="108"/>
  <c r="G49" i="108"/>
  <c r="G48" i="108"/>
  <c r="G47" i="108"/>
  <c r="G46" i="108"/>
  <c r="G45" i="108"/>
  <c r="G44" i="108"/>
  <c r="G43" i="108"/>
  <c r="G42" i="108"/>
  <c r="G41" i="108"/>
  <c r="G40" i="108"/>
  <c r="G39" i="108"/>
  <c r="G38" i="108"/>
  <c r="G37" i="108"/>
  <c r="G36" i="108"/>
  <c r="G35" i="108"/>
  <c r="G34" i="108"/>
  <c r="G33" i="108"/>
  <c r="G32" i="108"/>
  <c r="G31" i="108"/>
  <c r="G30" i="108"/>
  <c r="G29" i="108"/>
  <c r="G28" i="108"/>
  <c r="G27" i="108"/>
  <c r="G26" i="108"/>
  <c r="B26" i="108"/>
  <c r="I25" i="108"/>
  <c r="H25" i="108"/>
  <c r="D25" i="108" a="1"/>
  <c r="D25" i="108" s="1"/>
  <c r="F13" i="108"/>
  <c r="E13" i="108"/>
  <c r="B13" i="108"/>
  <c r="F12" i="108"/>
  <c r="E12" i="108"/>
  <c r="B12" i="108"/>
  <c r="F11" i="108"/>
  <c r="E11" i="108"/>
  <c r="B11" i="108"/>
  <c r="F10" i="108"/>
  <c r="E10" i="108"/>
  <c r="B10" i="108"/>
  <c r="F9" i="108"/>
  <c r="E9" i="108"/>
  <c r="B9" i="108"/>
  <c r="F8" i="108"/>
  <c r="E8" i="108"/>
  <c r="B8" i="108"/>
  <c r="F7" i="108"/>
  <c r="E7" i="108"/>
  <c r="B7" i="108"/>
  <c r="F6" i="108"/>
  <c r="E6" i="108"/>
  <c r="B6" i="108"/>
  <c r="F5" i="108"/>
  <c r="E5" i="108"/>
  <c r="B5" i="108"/>
  <c r="F4" i="108"/>
  <c r="E4" i="108"/>
  <c r="B4" i="108"/>
  <c r="M3" i="108"/>
  <c r="L3" i="108"/>
  <c r="K3" i="108"/>
  <c r="F115" i="108" s="1"/>
  <c r="I3" i="108"/>
  <c r="H3" i="108"/>
  <c r="D3" i="108"/>
  <c r="C3" i="108"/>
  <c r="B2" i="108"/>
  <c r="O3" i="108" l="1" a="1"/>
  <c r="O3" i="108" s="1"/>
  <c r="O1" i="108" s="1"/>
  <c r="E3" i="108"/>
  <c r="F3" i="108" s="1"/>
  <c r="C25" i="108"/>
  <c r="E26" i="108"/>
  <c r="F26" i="108" s="1"/>
  <c r="E28" i="108"/>
  <c r="F28" i="108" s="1"/>
  <c r="E30" i="108"/>
  <c r="E32" i="108"/>
  <c r="F32" i="108" s="1"/>
  <c r="E34" i="108"/>
  <c r="F34" i="108" s="1"/>
  <c r="E36" i="108"/>
  <c r="F36" i="108" s="1"/>
  <c r="E38" i="108"/>
  <c r="F38" i="108" s="1"/>
  <c r="E40" i="108"/>
  <c r="E42" i="108"/>
  <c r="E44" i="108"/>
  <c r="F44" i="108" s="1"/>
  <c r="E46" i="108"/>
  <c r="E48" i="108"/>
  <c r="F48" i="108" s="1"/>
  <c r="E50" i="108"/>
  <c r="E52" i="108"/>
  <c r="E54" i="108"/>
  <c r="E56" i="108"/>
  <c r="E58" i="108"/>
  <c r="E60" i="108"/>
  <c r="E62" i="108"/>
  <c r="E64" i="108"/>
  <c r="E66" i="108"/>
  <c r="E68" i="108"/>
  <c r="E70" i="108"/>
  <c r="E72" i="108"/>
  <c r="E74" i="108"/>
  <c r="E76" i="108"/>
  <c r="E78" i="108"/>
  <c r="E80" i="108"/>
  <c r="E82" i="108"/>
  <c r="E84" i="108"/>
  <c r="E86" i="108"/>
  <c r="E88" i="108"/>
  <c r="E90" i="108"/>
  <c r="E92" i="108"/>
  <c r="E94" i="108"/>
  <c r="E96" i="108"/>
  <c r="E98" i="108"/>
  <c r="E100" i="108"/>
  <c r="E102" i="108"/>
  <c r="E104" i="108"/>
  <c r="E106" i="108"/>
  <c r="E108" i="108"/>
  <c r="E110" i="108"/>
  <c r="E112" i="108"/>
  <c r="E114" i="108"/>
  <c r="F30" i="108"/>
  <c r="F40" i="108"/>
  <c r="F42" i="108"/>
  <c r="F46" i="108"/>
  <c r="F50" i="108"/>
  <c r="F52" i="108"/>
  <c r="F54" i="108"/>
  <c r="F56" i="108"/>
  <c r="F58" i="108"/>
  <c r="F60" i="108"/>
  <c r="F62" i="108"/>
  <c r="F64" i="108"/>
  <c r="F66" i="108"/>
  <c r="F68" i="108"/>
  <c r="F70" i="108"/>
  <c r="F72" i="108"/>
  <c r="F74" i="108"/>
  <c r="F76" i="108"/>
  <c r="F78" i="108"/>
  <c r="F80" i="108"/>
  <c r="F82" i="108"/>
  <c r="F84" i="108"/>
  <c r="F86" i="108"/>
  <c r="F88" i="108"/>
  <c r="F90" i="108"/>
  <c r="F92" i="108"/>
  <c r="F94" i="108"/>
  <c r="F96" i="108"/>
  <c r="F98" i="108"/>
  <c r="F100" i="108"/>
  <c r="F102" i="108"/>
  <c r="F104" i="108"/>
  <c r="F106" i="108"/>
  <c r="F108" i="108"/>
  <c r="F110" i="108"/>
  <c r="F112" i="108"/>
  <c r="F114" i="108"/>
  <c r="B27" i="108"/>
  <c r="E27" i="108"/>
  <c r="F27" i="108" s="1"/>
  <c r="E29" i="108"/>
  <c r="F29" i="108" s="1"/>
  <c r="E31" i="108"/>
  <c r="F31" i="108" s="1"/>
  <c r="E33" i="108"/>
  <c r="F33" i="108" s="1"/>
  <c r="E35" i="108"/>
  <c r="F35" i="108" s="1"/>
  <c r="E37" i="108"/>
  <c r="F37" i="108" s="1"/>
  <c r="E39" i="108"/>
  <c r="F39" i="108" s="1"/>
  <c r="E41" i="108"/>
  <c r="E43" i="108"/>
  <c r="E45" i="108"/>
  <c r="E47" i="108"/>
  <c r="E49" i="108"/>
  <c r="E51" i="108"/>
  <c r="E53" i="108"/>
  <c r="E55" i="108"/>
  <c r="E57" i="108"/>
  <c r="E59" i="108"/>
  <c r="E61" i="108"/>
  <c r="E63" i="108"/>
  <c r="E65" i="108"/>
  <c r="E67" i="108"/>
  <c r="E69" i="108"/>
  <c r="E71" i="108"/>
  <c r="E73" i="108"/>
  <c r="E75" i="108"/>
  <c r="E77" i="108"/>
  <c r="E79" i="108"/>
  <c r="E81" i="108"/>
  <c r="E83" i="108"/>
  <c r="E85" i="108"/>
  <c r="E87" i="108"/>
  <c r="E89" i="108"/>
  <c r="E91" i="108"/>
  <c r="E93" i="108"/>
  <c r="E95" i="108"/>
  <c r="E97" i="108"/>
  <c r="E99" i="108"/>
  <c r="E101" i="108"/>
  <c r="E103" i="108"/>
  <c r="E105" i="108"/>
  <c r="E107" i="108"/>
  <c r="E109" i="108"/>
  <c r="E111" i="108"/>
  <c r="E113" i="108"/>
  <c r="E115" i="108"/>
  <c r="F41" i="108"/>
  <c r="F43" i="108"/>
  <c r="F45" i="108"/>
  <c r="F47" i="108"/>
  <c r="F49" i="108"/>
  <c r="F51" i="108"/>
  <c r="F53" i="108"/>
  <c r="F55" i="108"/>
  <c r="F57" i="108"/>
  <c r="F59" i="108"/>
  <c r="F61" i="108"/>
  <c r="F63" i="108"/>
  <c r="F65" i="108"/>
  <c r="F67" i="108"/>
  <c r="F69" i="108"/>
  <c r="F71" i="108"/>
  <c r="F73" i="108"/>
  <c r="F75" i="108"/>
  <c r="F77" i="108"/>
  <c r="F79" i="108"/>
  <c r="F81" i="108"/>
  <c r="F83" i="108"/>
  <c r="F85" i="108"/>
  <c r="F87" i="108"/>
  <c r="F89" i="108"/>
  <c r="F91" i="108"/>
  <c r="F93" i="108"/>
  <c r="F95" i="108"/>
  <c r="F97" i="108"/>
  <c r="F99" i="108"/>
  <c r="F101" i="108"/>
  <c r="F103" i="108"/>
  <c r="F105" i="108"/>
  <c r="F107" i="108"/>
  <c r="F109" i="108"/>
  <c r="F111" i="108"/>
  <c r="F113" i="108"/>
  <c r="O4" i="107"/>
  <c r="O5" i="107"/>
  <c r="O6" i="107"/>
  <c r="O7" i="107"/>
  <c r="O8" i="107"/>
  <c r="O9" i="107"/>
  <c r="O10" i="107"/>
  <c r="O11" i="107"/>
  <c r="O12" i="107"/>
  <c r="O13" i="107"/>
  <c r="O14" i="107"/>
  <c r="O15" i="107"/>
  <c r="O16" i="107"/>
  <c r="O17" i="107"/>
  <c r="O4" i="106"/>
  <c r="O5" i="106"/>
  <c r="O6" i="106"/>
  <c r="O7" i="106"/>
  <c r="O3" i="106" s="1" a="1"/>
  <c r="O3" i="106" s="1"/>
  <c r="O1" i="106" s="1"/>
  <c r="O8" i="106"/>
  <c r="O9" i="106"/>
  <c r="O10" i="106"/>
  <c r="O11" i="106"/>
  <c r="O12" i="106"/>
  <c r="O13" i="106"/>
  <c r="O14" i="106"/>
  <c r="O15" i="106"/>
  <c r="O16" i="106"/>
  <c r="O17" i="106"/>
  <c r="O18" i="106"/>
  <c r="O19" i="106"/>
  <c r="O20" i="106"/>
  <c r="O21" i="106"/>
  <c r="O22" i="106"/>
  <c r="O23" i="106"/>
  <c r="O24" i="106"/>
  <c r="O25" i="106"/>
  <c r="O26" i="106"/>
  <c r="O27" i="106"/>
  <c r="O28" i="106"/>
  <c r="O29" i="106"/>
  <c r="O30" i="106"/>
  <c r="O31" i="106"/>
  <c r="O32" i="106"/>
  <c r="O33" i="106"/>
  <c r="O4" i="105"/>
  <c r="O5" i="105"/>
  <c r="O6" i="105"/>
  <c r="O7" i="105"/>
  <c r="O8" i="105"/>
  <c r="O9" i="105"/>
  <c r="O10" i="105"/>
  <c r="O11" i="105"/>
  <c r="O12" i="105"/>
  <c r="O13" i="105"/>
  <c r="O14" i="105"/>
  <c r="O15" i="105"/>
  <c r="O16" i="105"/>
  <c r="O17" i="105"/>
  <c r="O18" i="105"/>
  <c r="O19" i="105"/>
  <c r="O4" i="104"/>
  <c r="O5" i="104"/>
  <c r="O6" i="104"/>
  <c r="O7" i="104"/>
  <c r="O8" i="104"/>
  <c r="O9" i="104"/>
  <c r="O10" i="104"/>
  <c r="O11" i="104"/>
  <c r="O12" i="104"/>
  <c r="O13" i="104"/>
  <c r="O14" i="104"/>
  <c r="O15" i="104"/>
  <c r="O16" i="104"/>
  <c r="O17" i="104"/>
  <c r="O18" i="104"/>
  <c r="O19" i="104"/>
  <c r="O20" i="104"/>
  <c r="O21" i="104"/>
  <c r="O22" i="104"/>
  <c r="O23" i="104"/>
  <c r="O24" i="104"/>
  <c r="O25" i="104"/>
  <c r="O26" i="104"/>
  <c r="O27" i="104"/>
  <c r="O28" i="104"/>
  <c r="O29" i="104"/>
  <c r="O30" i="104"/>
  <c r="O4" i="103"/>
  <c r="O5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57" i="103"/>
  <c r="O4" i="102"/>
  <c r="O5" i="102"/>
  <c r="O6" i="102"/>
  <c r="O7" i="102"/>
  <c r="O8" i="102"/>
  <c r="O9" i="102"/>
  <c r="O10" i="102"/>
  <c r="O11" i="102"/>
  <c r="O12" i="102"/>
  <c r="O13" i="102"/>
  <c r="O14" i="102"/>
  <c r="O15" i="102"/>
  <c r="O4" i="101"/>
  <c r="O5" i="101"/>
  <c r="O6" i="101"/>
  <c r="O7" i="101"/>
  <c r="O8" i="101"/>
  <c r="O9" i="101"/>
  <c r="O10" i="101"/>
  <c r="O11" i="101"/>
  <c r="O12" i="101"/>
  <c r="O13" i="101"/>
  <c r="O14" i="101"/>
  <c r="O15" i="101"/>
  <c r="O16" i="101"/>
  <c r="O17" i="101"/>
  <c r="O18" i="101"/>
  <c r="O19" i="101"/>
  <c r="O20" i="101"/>
  <c r="O21" i="101"/>
  <c r="O22" i="101"/>
  <c r="O23" i="101"/>
  <c r="O24" i="101"/>
  <c r="O25" i="101"/>
  <c r="O26" i="101"/>
  <c r="O27" i="101"/>
  <c r="O4" i="100"/>
  <c r="O5" i="100"/>
  <c r="O6" i="100"/>
  <c r="O7" i="100"/>
  <c r="O8" i="100"/>
  <c r="O9" i="100"/>
  <c r="O10" i="100"/>
  <c r="O11" i="100"/>
  <c r="O12" i="100"/>
  <c r="O13" i="100"/>
  <c r="O14" i="100"/>
  <c r="O15" i="100"/>
  <c r="O16" i="100"/>
  <c r="O17" i="100"/>
  <c r="O18" i="100"/>
  <c r="O4" i="99"/>
  <c r="O5" i="99"/>
  <c r="O6" i="99"/>
  <c r="O7" i="99"/>
  <c r="O8" i="99"/>
  <c r="O9" i="99"/>
  <c r="O10" i="99"/>
  <c r="O11" i="99"/>
  <c r="O12" i="99"/>
  <c r="O13" i="99"/>
  <c r="O14" i="99"/>
  <c r="O15" i="99"/>
  <c r="O16" i="99"/>
  <c r="O17" i="99"/>
  <c r="O18" i="99"/>
  <c r="O19" i="99"/>
  <c r="O20" i="99"/>
  <c r="O21" i="99"/>
  <c r="O22" i="99"/>
  <c r="O23" i="99"/>
  <c r="O24" i="99"/>
  <c r="O25" i="99"/>
  <c r="O26" i="99"/>
  <c r="O27" i="99"/>
  <c r="O28" i="99"/>
  <c r="O29" i="99"/>
  <c r="O30" i="99"/>
  <c r="I25" i="107"/>
  <c r="H25" i="107"/>
  <c r="B115" i="107"/>
  <c r="G114" i="107"/>
  <c r="B114" i="107"/>
  <c r="G113" i="107"/>
  <c r="B113" i="107"/>
  <c r="G112" i="107"/>
  <c r="B112" i="107"/>
  <c r="G111" i="107"/>
  <c r="B111" i="107"/>
  <c r="G110" i="107"/>
  <c r="B110" i="107"/>
  <c r="G109" i="107"/>
  <c r="B109" i="107"/>
  <c r="G108" i="107"/>
  <c r="B108" i="107"/>
  <c r="G107" i="107"/>
  <c r="B107" i="107"/>
  <c r="G106" i="107"/>
  <c r="B106" i="107"/>
  <c r="G105" i="107"/>
  <c r="B105" i="107"/>
  <c r="G104" i="107"/>
  <c r="B104" i="107"/>
  <c r="G103" i="107"/>
  <c r="B103" i="107"/>
  <c r="G102" i="107"/>
  <c r="B102" i="107"/>
  <c r="G101" i="107"/>
  <c r="B101" i="107"/>
  <c r="G100" i="107"/>
  <c r="B100" i="107"/>
  <c r="G99" i="107"/>
  <c r="B99" i="107"/>
  <c r="G98" i="107"/>
  <c r="B98" i="107"/>
  <c r="G97" i="107"/>
  <c r="B97" i="107"/>
  <c r="G96" i="107"/>
  <c r="B96" i="107"/>
  <c r="G95" i="107"/>
  <c r="B95" i="107"/>
  <c r="G94" i="107"/>
  <c r="B94" i="107"/>
  <c r="G93" i="107"/>
  <c r="B93" i="107"/>
  <c r="G92" i="107"/>
  <c r="B92" i="107"/>
  <c r="G91" i="107"/>
  <c r="B91" i="107"/>
  <c r="G90" i="107"/>
  <c r="B90" i="107"/>
  <c r="G89" i="107"/>
  <c r="B89" i="107"/>
  <c r="G88" i="107"/>
  <c r="B88" i="107"/>
  <c r="G87" i="107"/>
  <c r="B87" i="107"/>
  <c r="G86" i="107"/>
  <c r="B86" i="107"/>
  <c r="G85" i="107"/>
  <c r="B85" i="107"/>
  <c r="G84" i="107"/>
  <c r="B84" i="107"/>
  <c r="G83" i="107"/>
  <c r="B83" i="107"/>
  <c r="G82" i="107"/>
  <c r="B82" i="107"/>
  <c r="G81" i="107"/>
  <c r="B81" i="107"/>
  <c r="G80" i="107"/>
  <c r="B80" i="107"/>
  <c r="G79" i="107"/>
  <c r="B79" i="107"/>
  <c r="G78" i="107"/>
  <c r="B78" i="107"/>
  <c r="G77" i="107"/>
  <c r="B77" i="107"/>
  <c r="G76" i="107"/>
  <c r="B76" i="107"/>
  <c r="G75" i="107"/>
  <c r="B75" i="107"/>
  <c r="G74" i="107"/>
  <c r="B74" i="107"/>
  <c r="G73" i="107"/>
  <c r="B73" i="107"/>
  <c r="G72" i="107"/>
  <c r="B72" i="107"/>
  <c r="G71" i="107"/>
  <c r="B71" i="107"/>
  <c r="G70" i="107"/>
  <c r="B70" i="107"/>
  <c r="G69" i="107"/>
  <c r="B69" i="107"/>
  <c r="G68" i="107"/>
  <c r="B68" i="107"/>
  <c r="G67" i="107"/>
  <c r="B67" i="107"/>
  <c r="G66" i="107"/>
  <c r="B66" i="107"/>
  <c r="G65" i="107"/>
  <c r="B65" i="107"/>
  <c r="G64" i="107"/>
  <c r="B64" i="107"/>
  <c r="G63" i="107"/>
  <c r="B63" i="107"/>
  <c r="G62" i="107"/>
  <c r="B62" i="107"/>
  <c r="G61" i="107"/>
  <c r="G60" i="107"/>
  <c r="G59" i="107"/>
  <c r="G58" i="107"/>
  <c r="G57" i="107"/>
  <c r="G56" i="107"/>
  <c r="G55" i="107"/>
  <c r="G54" i="107"/>
  <c r="G53" i="107"/>
  <c r="G52" i="107"/>
  <c r="G51" i="107"/>
  <c r="G50" i="107"/>
  <c r="G49" i="107"/>
  <c r="G48" i="107"/>
  <c r="G47" i="107"/>
  <c r="G46" i="107"/>
  <c r="G45" i="107"/>
  <c r="G44" i="107"/>
  <c r="G43" i="107"/>
  <c r="G42" i="107"/>
  <c r="G41" i="107"/>
  <c r="G40" i="107"/>
  <c r="G39" i="107"/>
  <c r="G38" i="107"/>
  <c r="G37" i="107"/>
  <c r="G36" i="107"/>
  <c r="G35" i="107"/>
  <c r="G34" i="107"/>
  <c r="G33" i="107"/>
  <c r="G32" i="107"/>
  <c r="G31" i="107"/>
  <c r="G30" i="107"/>
  <c r="G29" i="107"/>
  <c r="G28" i="107"/>
  <c r="G27" i="107"/>
  <c r="G26" i="107"/>
  <c r="B26" i="107"/>
  <c r="D25" i="107" a="1"/>
  <c r="D25" i="107" s="1"/>
  <c r="F13" i="107"/>
  <c r="E13" i="107"/>
  <c r="B13" i="107"/>
  <c r="F12" i="107"/>
  <c r="E12" i="107"/>
  <c r="B12" i="107"/>
  <c r="F11" i="107"/>
  <c r="E11" i="107"/>
  <c r="B11" i="107"/>
  <c r="F10" i="107"/>
  <c r="E10" i="107"/>
  <c r="B10" i="107"/>
  <c r="F9" i="107"/>
  <c r="E9" i="107"/>
  <c r="B9" i="107"/>
  <c r="F8" i="107"/>
  <c r="E8" i="107"/>
  <c r="B8" i="107"/>
  <c r="F7" i="107"/>
  <c r="E7" i="107"/>
  <c r="B7" i="107"/>
  <c r="F6" i="107"/>
  <c r="E6" i="107"/>
  <c r="B6" i="107"/>
  <c r="F5" i="107"/>
  <c r="E5" i="107"/>
  <c r="B5" i="107"/>
  <c r="E4" i="107"/>
  <c r="B4" i="107"/>
  <c r="M3" i="107"/>
  <c r="L3" i="107"/>
  <c r="K3" i="107"/>
  <c r="F115" i="107" s="1"/>
  <c r="I3" i="107"/>
  <c r="H3" i="107"/>
  <c r="D3" i="107"/>
  <c r="C3" i="107"/>
  <c r="B2" i="107"/>
  <c r="B115" i="106"/>
  <c r="G114" i="106"/>
  <c r="B114" i="106"/>
  <c r="G113" i="106"/>
  <c r="B113" i="106"/>
  <c r="G112" i="106"/>
  <c r="B112" i="106"/>
  <c r="G111" i="106"/>
  <c r="B111" i="106"/>
  <c r="G110" i="106"/>
  <c r="B110" i="106"/>
  <c r="G109" i="106"/>
  <c r="B109" i="106"/>
  <c r="G108" i="106"/>
  <c r="B108" i="106"/>
  <c r="G107" i="106"/>
  <c r="B107" i="106"/>
  <c r="G106" i="106"/>
  <c r="B106" i="106"/>
  <c r="G105" i="106"/>
  <c r="B105" i="106"/>
  <c r="G104" i="106"/>
  <c r="B104" i="106"/>
  <c r="G103" i="106"/>
  <c r="B103" i="106"/>
  <c r="G102" i="106"/>
  <c r="B102" i="106"/>
  <c r="G101" i="106"/>
  <c r="B101" i="106"/>
  <c r="G100" i="106"/>
  <c r="B100" i="106"/>
  <c r="G99" i="106"/>
  <c r="B99" i="106"/>
  <c r="G98" i="106"/>
  <c r="B98" i="106"/>
  <c r="G97" i="106"/>
  <c r="B97" i="106"/>
  <c r="G96" i="106"/>
  <c r="B96" i="106"/>
  <c r="G95" i="106"/>
  <c r="B95" i="106"/>
  <c r="G94" i="106"/>
  <c r="B94" i="106"/>
  <c r="G93" i="106"/>
  <c r="B93" i="106"/>
  <c r="G92" i="106"/>
  <c r="B92" i="106"/>
  <c r="G91" i="106"/>
  <c r="B91" i="106"/>
  <c r="G90" i="106"/>
  <c r="B90" i="106"/>
  <c r="G89" i="106"/>
  <c r="B89" i="106"/>
  <c r="G88" i="106"/>
  <c r="B88" i="106"/>
  <c r="G87" i="106"/>
  <c r="B87" i="106"/>
  <c r="G86" i="106"/>
  <c r="B86" i="106"/>
  <c r="G85" i="106"/>
  <c r="B85" i="106"/>
  <c r="G84" i="106"/>
  <c r="B84" i="106"/>
  <c r="G83" i="106"/>
  <c r="B83" i="106"/>
  <c r="G82" i="106"/>
  <c r="B82" i="106"/>
  <c r="G81" i="106"/>
  <c r="B81" i="106"/>
  <c r="G80" i="106"/>
  <c r="B80" i="106"/>
  <c r="G79" i="106"/>
  <c r="B79" i="106"/>
  <c r="G78" i="106"/>
  <c r="B78" i="106"/>
  <c r="G77" i="106"/>
  <c r="B77" i="106"/>
  <c r="G76" i="106"/>
  <c r="B76" i="106"/>
  <c r="G75" i="106"/>
  <c r="B75" i="106"/>
  <c r="G74" i="106"/>
  <c r="B74" i="106"/>
  <c r="G73" i="106"/>
  <c r="B73" i="106"/>
  <c r="G72" i="106"/>
  <c r="B72" i="106"/>
  <c r="G71" i="106"/>
  <c r="B71" i="106"/>
  <c r="G70" i="106"/>
  <c r="B70" i="106"/>
  <c r="G69" i="106"/>
  <c r="B69" i="106"/>
  <c r="G68" i="106"/>
  <c r="B68" i="106"/>
  <c r="G67" i="106"/>
  <c r="B67" i="106"/>
  <c r="G66" i="106"/>
  <c r="B66" i="106"/>
  <c r="G65" i="106"/>
  <c r="B65" i="106"/>
  <c r="G64" i="106"/>
  <c r="B64" i="106"/>
  <c r="G63" i="106"/>
  <c r="B63" i="106"/>
  <c r="G62" i="106"/>
  <c r="B62" i="106"/>
  <c r="G61" i="106"/>
  <c r="G60" i="106"/>
  <c r="G59" i="106"/>
  <c r="G58" i="106"/>
  <c r="G57" i="106"/>
  <c r="G56" i="106"/>
  <c r="G55" i="106"/>
  <c r="G54" i="106"/>
  <c r="G53" i="106"/>
  <c r="G52" i="106"/>
  <c r="G51" i="106"/>
  <c r="G50" i="106"/>
  <c r="G49" i="106"/>
  <c r="G48" i="106"/>
  <c r="G47" i="106"/>
  <c r="G46" i="106"/>
  <c r="G45" i="106"/>
  <c r="G44" i="106"/>
  <c r="G43" i="106"/>
  <c r="G42" i="106"/>
  <c r="G41" i="106"/>
  <c r="G40" i="106"/>
  <c r="G39" i="106"/>
  <c r="G38" i="106"/>
  <c r="G37" i="106"/>
  <c r="G36" i="106"/>
  <c r="G35" i="106"/>
  <c r="G34" i="106"/>
  <c r="G33" i="106"/>
  <c r="G32" i="106"/>
  <c r="G31" i="106"/>
  <c r="G30" i="106"/>
  <c r="G29" i="106"/>
  <c r="G28" i="106"/>
  <c r="G27" i="106"/>
  <c r="G26" i="106"/>
  <c r="B26" i="106"/>
  <c r="I25" i="106"/>
  <c r="H25" i="106"/>
  <c r="D25" i="106" a="1"/>
  <c r="D25" i="106" s="1"/>
  <c r="F13" i="106"/>
  <c r="E13" i="106"/>
  <c r="B13" i="106"/>
  <c r="F12" i="106"/>
  <c r="E12" i="106"/>
  <c r="B12" i="106"/>
  <c r="F11" i="106"/>
  <c r="E11" i="106"/>
  <c r="B11" i="106"/>
  <c r="F10" i="106"/>
  <c r="E10" i="106"/>
  <c r="B10" i="106"/>
  <c r="E9" i="106"/>
  <c r="F9" i="106" s="1"/>
  <c r="E8" i="106"/>
  <c r="F8" i="106" s="1"/>
  <c r="E7" i="106"/>
  <c r="F7" i="106" s="1"/>
  <c r="E6" i="106"/>
  <c r="F6" i="106" s="1"/>
  <c r="E5" i="106"/>
  <c r="F5" i="106" s="1"/>
  <c r="E4" i="106"/>
  <c r="F4" i="106" s="1"/>
  <c r="B4" i="106"/>
  <c r="M3" i="106"/>
  <c r="L3" i="106"/>
  <c r="K3" i="106"/>
  <c r="F115" i="106" s="1"/>
  <c r="I3" i="106"/>
  <c r="H3" i="106"/>
  <c r="D3" i="106"/>
  <c r="C3" i="106"/>
  <c r="B2" i="106"/>
  <c r="O3" i="107" l="1" a="1"/>
  <c r="O3" i="107" s="1"/>
  <c r="O1" i="107" s="1"/>
  <c r="O2" i="108"/>
  <c r="F25" i="108"/>
  <c r="E25" i="108"/>
  <c r="B28" i="108"/>
  <c r="B29" i="108"/>
  <c r="E3" i="107"/>
  <c r="F3" i="107" s="1"/>
  <c r="C25" i="107"/>
  <c r="F4" i="107"/>
  <c r="E32" i="107"/>
  <c r="F32" i="107" s="1"/>
  <c r="E29" i="107"/>
  <c r="F29" i="107" s="1"/>
  <c r="E26" i="107"/>
  <c r="F26" i="107" s="1"/>
  <c r="E34" i="107"/>
  <c r="F34" i="107" s="1"/>
  <c r="E36" i="107"/>
  <c r="E38" i="107"/>
  <c r="E40" i="107"/>
  <c r="E42" i="107"/>
  <c r="E44" i="107"/>
  <c r="F44" i="107" s="1"/>
  <c r="E46" i="107"/>
  <c r="E48" i="107"/>
  <c r="E50" i="107"/>
  <c r="E52" i="107"/>
  <c r="E54" i="107"/>
  <c r="E56" i="107"/>
  <c r="E58" i="107"/>
  <c r="E60" i="107"/>
  <c r="F60" i="107" s="1"/>
  <c r="E62" i="107"/>
  <c r="E64" i="107"/>
  <c r="E66" i="107"/>
  <c r="E68" i="107"/>
  <c r="E70" i="107"/>
  <c r="E72" i="107"/>
  <c r="E74" i="107"/>
  <c r="E76" i="107"/>
  <c r="E78" i="107"/>
  <c r="E80" i="107"/>
  <c r="E82" i="107"/>
  <c r="E84" i="107"/>
  <c r="E86" i="107"/>
  <c r="E88" i="107"/>
  <c r="E90" i="107"/>
  <c r="E92" i="107"/>
  <c r="E94" i="107"/>
  <c r="E96" i="107"/>
  <c r="E98" i="107"/>
  <c r="E100" i="107"/>
  <c r="E102" i="107"/>
  <c r="E104" i="107"/>
  <c r="E106" i="107"/>
  <c r="E108" i="107"/>
  <c r="E110" i="107"/>
  <c r="E112" i="107"/>
  <c r="E114" i="107"/>
  <c r="E31" i="107"/>
  <c r="F31" i="107" s="1"/>
  <c r="F36" i="107"/>
  <c r="F38" i="107"/>
  <c r="F40" i="107"/>
  <c r="F42" i="107"/>
  <c r="F46" i="107"/>
  <c r="F48" i="107"/>
  <c r="F50" i="107"/>
  <c r="F52" i="107"/>
  <c r="F54" i="107"/>
  <c r="F56" i="107"/>
  <c r="F58" i="107"/>
  <c r="F62" i="107"/>
  <c r="F64" i="107"/>
  <c r="F66" i="107"/>
  <c r="F68" i="107"/>
  <c r="F70" i="107"/>
  <c r="F72" i="107"/>
  <c r="F74" i="107"/>
  <c r="F76" i="107"/>
  <c r="F78" i="107"/>
  <c r="F80" i="107"/>
  <c r="F82" i="107"/>
  <c r="F84" i="107"/>
  <c r="F86" i="107"/>
  <c r="F88" i="107"/>
  <c r="F90" i="107"/>
  <c r="F92" i="107"/>
  <c r="F94" i="107"/>
  <c r="F96" i="107"/>
  <c r="F98" i="107"/>
  <c r="F100" i="107"/>
  <c r="F102" i="107"/>
  <c r="F104" i="107"/>
  <c r="F106" i="107"/>
  <c r="F108" i="107"/>
  <c r="F110" i="107"/>
  <c r="F112" i="107"/>
  <c r="F114" i="107"/>
  <c r="E28" i="107"/>
  <c r="F28" i="107" s="1"/>
  <c r="E33" i="107"/>
  <c r="F33" i="107" s="1"/>
  <c r="B27" i="107"/>
  <c r="E30" i="107"/>
  <c r="F30" i="107" s="1"/>
  <c r="E35" i="107"/>
  <c r="F35" i="107" s="1"/>
  <c r="E37" i="107"/>
  <c r="F37" i="107" s="1"/>
  <c r="E39" i="107"/>
  <c r="F39" i="107" s="1"/>
  <c r="E41" i="107"/>
  <c r="E43" i="107"/>
  <c r="E45" i="107"/>
  <c r="F45" i="107" s="1"/>
  <c r="E47" i="107"/>
  <c r="E49" i="107"/>
  <c r="E51" i="107"/>
  <c r="E53" i="107"/>
  <c r="F53" i="107" s="1"/>
  <c r="E55" i="107"/>
  <c r="F55" i="107" s="1"/>
  <c r="E57" i="107"/>
  <c r="E59" i="107"/>
  <c r="E61" i="107"/>
  <c r="F61" i="107" s="1"/>
  <c r="E63" i="107"/>
  <c r="E65" i="107"/>
  <c r="E67" i="107"/>
  <c r="E69" i="107"/>
  <c r="E71" i="107"/>
  <c r="E73" i="107"/>
  <c r="E75" i="107"/>
  <c r="E77" i="107"/>
  <c r="E79" i="107"/>
  <c r="E81" i="107"/>
  <c r="E83" i="107"/>
  <c r="E85" i="107"/>
  <c r="E87" i="107"/>
  <c r="E89" i="107"/>
  <c r="E91" i="107"/>
  <c r="E93" i="107"/>
  <c r="E95" i="107"/>
  <c r="E97" i="107"/>
  <c r="E99" i="107"/>
  <c r="E101" i="107"/>
  <c r="E103" i="107"/>
  <c r="E105" i="107"/>
  <c r="E107" i="107"/>
  <c r="E109" i="107"/>
  <c r="E111" i="107"/>
  <c r="E113" i="107"/>
  <c r="E115" i="107"/>
  <c r="E27" i="107"/>
  <c r="F27" i="107" s="1"/>
  <c r="F41" i="107"/>
  <c r="F43" i="107"/>
  <c r="F47" i="107"/>
  <c r="F49" i="107"/>
  <c r="F51" i="107"/>
  <c r="F57" i="107"/>
  <c r="F59" i="107"/>
  <c r="F63" i="107"/>
  <c r="F65" i="107"/>
  <c r="F67" i="107"/>
  <c r="F69" i="107"/>
  <c r="F71" i="107"/>
  <c r="F73" i="107"/>
  <c r="F75" i="107"/>
  <c r="F77" i="107"/>
  <c r="F79" i="107"/>
  <c r="F81" i="107"/>
  <c r="F83" i="107"/>
  <c r="F85" i="107"/>
  <c r="F87" i="107"/>
  <c r="F89" i="107"/>
  <c r="F91" i="107"/>
  <c r="F93" i="107"/>
  <c r="F95" i="107"/>
  <c r="F97" i="107"/>
  <c r="F99" i="107"/>
  <c r="F101" i="107"/>
  <c r="F103" i="107"/>
  <c r="F105" i="107"/>
  <c r="F107" i="107"/>
  <c r="F109" i="107"/>
  <c r="F111" i="107"/>
  <c r="F113" i="107"/>
  <c r="C25" i="106"/>
  <c r="O2" i="106"/>
  <c r="B5" i="106"/>
  <c r="B7" i="106" s="1"/>
  <c r="E26" i="106"/>
  <c r="F26" i="106" s="1"/>
  <c r="E28" i="106"/>
  <c r="F28" i="106" s="1"/>
  <c r="E30" i="106"/>
  <c r="F30" i="106" s="1"/>
  <c r="E32" i="106"/>
  <c r="F32" i="106" s="1"/>
  <c r="E34" i="106"/>
  <c r="F34" i="106" s="1"/>
  <c r="E36" i="106"/>
  <c r="F36" i="106" s="1"/>
  <c r="E38" i="106"/>
  <c r="F38" i="106" s="1"/>
  <c r="E40" i="106"/>
  <c r="F40" i="106" s="1"/>
  <c r="E42" i="106"/>
  <c r="F42" i="106" s="1"/>
  <c r="E44" i="106"/>
  <c r="F44" i="106" s="1"/>
  <c r="E46" i="106"/>
  <c r="F46" i="106" s="1"/>
  <c r="E48" i="106"/>
  <c r="F48" i="106" s="1"/>
  <c r="E50" i="106"/>
  <c r="F50" i="106" s="1"/>
  <c r="E52" i="106"/>
  <c r="F52" i="106" s="1"/>
  <c r="E54" i="106"/>
  <c r="F54" i="106" s="1"/>
  <c r="E56" i="106"/>
  <c r="F56" i="106" s="1"/>
  <c r="E58" i="106"/>
  <c r="F58" i="106" s="1"/>
  <c r="E60" i="106"/>
  <c r="F60" i="106" s="1"/>
  <c r="E62" i="106"/>
  <c r="E64" i="106"/>
  <c r="E66" i="106"/>
  <c r="E68" i="106"/>
  <c r="E70" i="106"/>
  <c r="E72" i="106"/>
  <c r="E74" i="106"/>
  <c r="E76" i="106"/>
  <c r="E78" i="106"/>
  <c r="E80" i="106"/>
  <c r="E82" i="106"/>
  <c r="E84" i="106"/>
  <c r="E86" i="106"/>
  <c r="E88" i="106"/>
  <c r="E90" i="106"/>
  <c r="E92" i="106"/>
  <c r="E94" i="106"/>
  <c r="E96" i="106"/>
  <c r="E98" i="106"/>
  <c r="E100" i="106"/>
  <c r="E102" i="106"/>
  <c r="E104" i="106"/>
  <c r="E106" i="106"/>
  <c r="E108" i="106"/>
  <c r="E110" i="106"/>
  <c r="E112" i="106"/>
  <c r="E114" i="106"/>
  <c r="F62" i="106"/>
  <c r="F64" i="106"/>
  <c r="F66" i="106"/>
  <c r="F68" i="106"/>
  <c r="F70" i="106"/>
  <c r="F72" i="106"/>
  <c r="F74" i="106"/>
  <c r="F76" i="106"/>
  <c r="F78" i="106"/>
  <c r="F80" i="106"/>
  <c r="F82" i="106"/>
  <c r="F84" i="106"/>
  <c r="F86" i="106"/>
  <c r="F88" i="106"/>
  <c r="F90" i="106"/>
  <c r="F92" i="106"/>
  <c r="F94" i="106"/>
  <c r="F96" i="106"/>
  <c r="F98" i="106"/>
  <c r="F100" i="106"/>
  <c r="F102" i="106"/>
  <c r="F104" i="106"/>
  <c r="F106" i="106"/>
  <c r="F108" i="106"/>
  <c r="F110" i="106"/>
  <c r="F112" i="106"/>
  <c r="F114" i="106"/>
  <c r="E3" i="106"/>
  <c r="F3" i="106" s="1"/>
  <c r="B6" i="106"/>
  <c r="B8" i="106" s="1"/>
  <c r="B27" i="106"/>
  <c r="E27" i="106"/>
  <c r="F27" i="106" s="1"/>
  <c r="E29" i="106"/>
  <c r="F29" i="106" s="1"/>
  <c r="E31" i="106"/>
  <c r="F31" i="106" s="1"/>
  <c r="E33" i="106"/>
  <c r="F33" i="106" s="1"/>
  <c r="E35" i="106"/>
  <c r="F35" i="106" s="1"/>
  <c r="E37" i="106"/>
  <c r="F37" i="106" s="1"/>
  <c r="E39" i="106"/>
  <c r="F39" i="106" s="1"/>
  <c r="E41" i="106"/>
  <c r="F41" i="106" s="1"/>
  <c r="E43" i="106"/>
  <c r="F43" i="106" s="1"/>
  <c r="E45" i="106"/>
  <c r="F45" i="106" s="1"/>
  <c r="E47" i="106"/>
  <c r="F47" i="106" s="1"/>
  <c r="E49" i="106"/>
  <c r="F49" i="106" s="1"/>
  <c r="E51" i="106"/>
  <c r="F51" i="106" s="1"/>
  <c r="E53" i="106"/>
  <c r="F53" i="106" s="1"/>
  <c r="E55" i="106"/>
  <c r="F55" i="106" s="1"/>
  <c r="E57" i="106"/>
  <c r="F57" i="106" s="1"/>
  <c r="E59" i="106"/>
  <c r="F59" i="106" s="1"/>
  <c r="E61" i="106"/>
  <c r="F61" i="106" s="1"/>
  <c r="E63" i="106"/>
  <c r="E65" i="106"/>
  <c r="E67" i="106"/>
  <c r="E69" i="106"/>
  <c r="E71" i="106"/>
  <c r="E73" i="106"/>
  <c r="E75" i="106"/>
  <c r="E77" i="106"/>
  <c r="E79" i="106"/>
  <c r="E81" i="106"/>
  <c r="E83" i="106"/>
  <c r="E85" i="106"/>
  <c r="E87" i="106"/>
  <c r="E89" i="106"/>
  <c r="E91" i="106"/>
  <c r="E93" i="106"/>
  <c r="E95" i="106"/>
  <c r="E97" i="106"/>
  <c r="E99" i="106"/>
  <c r="E101" i="106"/>
  <c r="E103" i="106"/>
  <c r="E105" i="106"/>
  <c r="E107" i="106"/>
  <c r="E109" i="106"/>
  <c r="E111" i="106"/>
  <c r="E113" i="106"/>
  <c r="E115" i="106"/>
  <c r="F63" i="106"/>
  <c r="F65" i="106"/>
  <c r="F67" i="106"/>
  <c r="F69" i="106"/>
  <c r="F71" i="106"/>
  <c r="F73" i="106"/>
  <c r="F75" i="106"/>
  <c r="F77" i="106"/>
  <c r="F79" i="106"/>
  <c r="F81" i="106"/>
  <c r="F83" i="106"/>
  <c r="F85" i="106"/>
  <c r="F87" i="106"/>
  <c r="F89" i="106"/>
  <c r="F91" i="106"/>
  <c r="F93" i="106"/>
  <c r="F95" i="106"/>
  <c r="F97" i="106"/>
  <c r="F99" i="106"/>
  <c r="F101" i="106"/>
  <c r="F103" i="106"/>
  <c r="F105" i="106"/>
  <c r="F107" i="106"/>
  <c r="F109" i="106"/>
  <c r="F111" i="106"/>
  <c r="F113" i="106"/>
  <c r="O3" i="105" a="1"/>
  <c r="O3" i="105" s="1"/>
  <c r="O1" i="105" s="1"/>
  <c r="B115" i="105"/>
  <c r="G114" i="105"/>
  <c r="B114" i="105"/>
  <c r="G113" i="105"/>
  <c r="B113" i="105"/>
  <c r="G112" i="105"/>
  <c r="B112" i="105"/>
  <c r="G111" i="105"/>
  <c r="B111" i="105"/>
  <c r="G110" i="105"/>
  <c r="B110" i="105"/>
  <c r="G109" i="105"/>
  <c r="B109" i="105"/>
  <c r="G108" i="105"/>
  <c r="B108" i="105"/>
  <c r="G107" i="105"/>
  <c r="B107" i="105"/>
  <c r="G106" i="105"/>
  <c r="B106" i="105"/>
  <c r="G105" i="105"/>
  <c r="B105" i="105"/>
  <c r="G104" i="105"/>
  <c r="B104" i="105"/>
  <c r="G103" i="105"/>
  <c r="B103" i="105"/>
  <c r="G102" i="105"/>
  <c r="B102" i="105"/>
  <c r="G101" i="105"/>
  <c r="B101" i="105"/>
  <c r="G100" i="105"/>
  <c r="B100" i="105"/>
  <c r="G99" i="105"/>
  <c r="B99" i="105"/>
  <c r="G98" i="105"/>
  <c r="B98" i="105"/>
  <c r="G97" i="105"/>
  <c r="B97" i="105"/>
  <c r="G96" i="105"/>
  <c r="B96" i="105"/>
  <c r="G95" i="105"/>
  <c r="B95" i="105"/>
  <c r="G94" i="105"/>
  <c r="B94" i="105"/>
  <c r="G93" i="105"/>
  <c r="B93" i="105"/>
  <c r="G92" i="105"/>
  <c r="B92" i="105"/>
  <c r="G91" i="105"/>
  <c r="B91" i="105"/>
  <c r="G90" i="105"/>
  <c r="B90" i="105"/>
  <c r="G89" i="105"/>
  <c r="B89" i="105"/>
  <c r="G88" i="105"/>
  <c r="B88" i="105"/>
  <c r="G87" i="105"/>
  <c r="B87" i="105"/>
  <c r="G86" i="105"/>
  <c r="B86" i="105"/>
  <c r="G85" i="105"/>
  <c r="B85" i="105"/>
  <c r="G84" i="105"/>
  <c r="B84" i="105"/>
  <c r="G83" i="105"/>
  <c r="B83" i="105"/>
  <c r="G82" i="105"/>
  <c r="B82" i="105"/>
  <c r="G81" i="105"/>
  <c r="B81" i="105"/>
  <c r="G80" i="105"/>
  <c r="B80" i="105"/>
  <c r="G79" i="105"/>
  <c r="B79" i="105"/>
  <c r="G78" i="105"/>
  <c r="B78" i="105"/>
  <c r="G77" i="105"/>
  <c r="B77" i="105"/>
  <c r="G76" i="105"/>
  <c r="B76" i="105"/>
  <c r="G75" i="105"/>
  <c r="B75" i="105"/>
  <c r="G74" i="105"/>
  <c r="B74" i="105"/>
  <c r="G73" i="105"/>
  <c r="B73" i="105"/>
  <c r="G72" i="105"/>
  <c r="B72" i="105"/>
  <c r="G71" i="105"/>
  <c r="B71" i="105"/>
  <c r="G70" i="105"/>
  <c r="B70" i="105"/>
  <c r="G69" i="105"/>
  <c r="B69" i="105"/>
  <c r="G68" i="105"/>
  <c r="B68" i="105"/>
  <c r="G67" i="105"/>
  <c r="B67" i="105"/>
  <c r="G66" i="105"/>
  <c r="B66" i="105"/>
  <c r="G65" i="105"/>
  <c r="B65" i="105"/>
  <c r="G64" i="105"/>
  <c r="B64" i="105"/>
  <c r="G63" i="105"/>
  <c r="B63" i="105"/>
  <c r="G62" i="105"/>
  <c r="B62" i="105"/>
  <c r="G61" i="105"/>
  <c r="B61" i="105"/>
  <c r="G60" i="105"/>
  <c r="B60" i="105"/>
  <c r="G59" i="105"/>
  <c r="B59" i="105"/>
  <c r="G58" i="105"/>
  <c r="B58" i="105"/>
  <c r="G57" i="105"/>
  <c r="B57" i="105"/>
  <c r="G56" i="105"/>
  <c r="B56" i="105"/>
  <c r="G55" i="105"/>
  <c r="B55" i="105"/>
  <c r="G54" i="105"/>
  <c r="B54" i="105"/>
  <c r="G53" i="105"/>
  <c r="B53" i="105"/>
  <c r="G52" i="105"/>
  <c r="B52" i="105"/>
  <c r="G51" i="105"/>
  <c r="B51" i="105"/>
  <c r="G50" i="105"/>
  <c r="B50" i="105"/>
  <c r="G49" i="105"/>
  <c r="G48" i="105"/>
  <c r="G47" i="105"/>
  <c r="G46" i="105"/>
  <c r="G45" i="105"/>
  <c r="G44" i="105"/>
  <c r="G43" i="105"/>
  <c r="G42" i="105"/>
  <c r="G41" i="105"/>
  <c r="G40" i="105"/>
  <c r="G39" i="105"/>
  <c r="G38" i="105"/>
  <c r="G37" i="105"/>
  <c r="G36" i="105"/>
  <c r="G35" i="105"/>
  <c r="G34" i="105"/>
  <c r="G33" i="105"/>
  <c r="G32" i="105"/>
  <c r="G31" i="105"/>
  <c r="G30" i="105"/>
  <c r="G29" i="105"/>
  <c r="G28" i="105"/>
  <c r="G27" i="105"/>
  <c r="G26" i="105"/>
  <c r="B26" i="105"/>
  <c r="I25" i="105"/>
  <c r="H25" i="105"/>
  <c r="D25" i="105" a="1"/>
  <c r="D25" i="105" s="1"/>
  <c r="F13" i="105"/>
  <c r="E13" i="105"/>
  <c r="B13" i="105"/>
  <c r="F12" i="105"/>
  <c r="E12" i="105"/>
  <c r="B12" i="105"/>
  <c r="F11" i="105"/>
  <c r="E11" i="105"/>
  <c r="B11" i="105"/>
  <c r="F10" i="105"/>
  <c r="E10" i="105"/>
  <c r="B10" i="105"/>
  <c r="E9" i="105"/>
  <c r="F9" i="105" s="1"/>
  <c r="E8" i="105"/>
  <c r="F8" i="105" s="1"/>
  <c r="E7" i="105"/>
  <c r="F7" i="105" s="1"/>
  <c r="E6" i="105"/>
  <c r="F6" i="105" s="1"/>
  <c r="E5" i="105"/>
  <c r="F5" i="105" s="1"/>
  <c r="E4" i="105"/>
  <c r="F4" i="105" s="1"/>
  <c r="B4" i="105"/>
  <c r="B5" i="105" s="1"/>
  <c r="M3" i="105"/>
  <c r="L3" i="105"/>
  <c r="K3" i="105"/>
  <c r="F115" i="105" s="1"/>
  <c r="I3" i="105"/>
  <c r="H3" i="105"/>
  <c r="D3" i="105"/>
  <c r="C3" i="105"/>
  <c r="B2" i="105"/>
  <c r="O2" i="107" l="1"/>
  <c r="B30" i="108"/>
  <c r="B31" i="108" s="1"/>
  <c r="F25" i="107"/>
  <c r="B28" i="107"/>
  <c r="E25" i="107"/>
  <c r="B28" i="106"/>
  <c r="B29" i="106" s="1"/>
  <c r="F25" i="106"/>
  <c r="B9" i="106"/>
  <c r="E25" i="106"/>
  <c r="B6" i="105"/>
  <c r="O2" i="105"/>
  <c r="E3" i="105"/>
  <c r="F3" i="105" s="1"/>
  <c r="C25" i="105"/>
  <c r="E26" i="105"/>
  <c r="F26" i="105" s="1"/>
  <c r="E28" i="105"/>
  <c r="F28" i="105" s="1"/>
  <c r="E30" i="105"/>
  <c r="E32" i="105"/>
  <c r="F32" i="105" s="1"/>
  <c r="E34" i="105"/>
  <c r="F34" i="105" s="1"/>
  <c r="E36" i="105"/>
  <c r="F36" i="105" s="1"/>
  <c r="E38" i="105"/>
  <c r="F38" i="105" s="1"/>
  <c r="E40" i="105"/>
  <c r="F40" i="105" s="1"/>
  <c r="E42" i="105"/>
  <c r="F42" i="105" s="1"/>
  <c r="E44" i="105"/>
  <c r="E46" i="105"/>
  <c r="E48" i="105"/>
  <c r="F48" i="105" s="1"/>
  <c r="E50" i="105"/>
  <c r="E52" i="105"/>
  <c r="E54" i="105"/>
  <c r="E56" i="105"/>
  <c r="E58" i="105"/>
  <c r="E60" i="105"/>
  <c r="E62" i="105"/>
  <c r="E64" i="105"/>
  <c r="E66" i="105"/>
  <c r="E68" i="105"/>
  <c r="E70" i="105"/>
  <c r="E72" i="105"/>
  <c r="E74" i="105"/>
  <c r="E76" i="105"/>
  <c r="E78" i="105"/>
  <c r="E80" i="105"/>
  <c r="E82" i="105"/>
  <c r="E84" i="105"/>
  <c r="E86" i="105"/>
  <c r="E88" i="105"/>
  <c r="E90" i="105"/>
  <c r="E92" i="105"/>
  <c r="E94" i="105"/>
  <c r="E96" i="105"/>
  <c r="E98" i="105"/>
  <c r="E100" i="105"/>
  <c r="E102" i="105"/>
  <c r="E104" i="105"/>
  <c r="E106" i="105"/>
  <c r="E108" i="105"/>
  <c r="E110" i="105"/>
  <c r="E112" i="105"/>
  <c r="E114" i="105"/>
  <c r="F30" i="105"/>
  <c r="F44" i="105"/>
  <c r="F46" i="105"/>
  <c r="F50" i="105"/>
  <c r="F52" i="105"/>
  <c r="F54" i="105"/>
  <c r="F56" i="105"/>
  <c r="F58" i="105"/>
  <c r="F60" i="105"/>
  <c r="F62" i="105"/>
  <c r="F64" i="105"/>
  <c r="F66" i="105"/>
  <c r="F68" i="105"/>
  <c r="F70" i="105"/>
  <c r="F72" i="105"/>
  <c r="F74" i="105"/>
  <c r="F76" i="105"/>
  <c r="F78" i="105"/>
  <c r="F80" i="105"/>
  <c r="F82" i="105"/>
  <c r="F84" i="105"/>
  <c r="F86" i="105"/>
  <c r="F88" i="105"/>
  <c r="F90" i="105"/>
  <c r="F92" i="105"/>
  <c r="F94" i="105"/>
  <c r="F96" i="105"/>
  <c r="F98" i="105"/>
  <c r="F100" i="105"/>
  <c r="F102" i="105"/>
  <c r="F104" i="105"/>
  <c r="F106" i="105"/>
  <c r="F108" i="105"/>
  <c r="F110" i="105"/>
  <c r="F112" i="105"/>
  <c r="F114" i="105"/>
  <c r="B27" i="105"/>
  <c r="E27" i="105"/>
  <c r="F27" i="105" s="1"/>
  <c r="E29" i="105"/>
  <c r="F29" i="105" s="1"/>
  <c r="E31" i="105"/>
  <c r="F31" i="105" s="1"/>
  <c r="E33" i="105"/>
  <c r="F33" i="105" s="1"/>
  <c r="E35" i="105"/>
  <c r="F35" i="105" s="1"/>
  <c r="E37" i="105"/>
  <c r="E39" i="105"/>
  <c r="F39" i="105" s="1"/>
  <c r="E41" i="105"/>
  <c r="F41" i="105" s="1"/>
  <c r="E43" i="105"/>
  <c r="E45" i="105"/>
  <c r="E47" i="105"/>
  <c r="E49" i="105"/>
  <c r="E51" i="105"/>
  <c r="E53" i="105"/>
  <c r="E55" i="105"/>
  <c r="E57" i="105"/>
  <c r="E59" i="105"/>
  <c r="E61" i="105"/>
  <c r="E63" i="105"/>
  <c r="E65" i="105"/>
  <c r="E67" i="105"/>
  <c r="E69" i="105"/>
  <c r="E71" i="105"/>
  <c r="E73" i="105"/>
  <c r="E75" i="105"/>
  <c r="E77" i="105"/>
  <c r="E79" i="105"/>
  <c r="E81" i="105"/>
  <c r="E83" i="105"/>
  <c r="E85" i="105"/>
  <c r="E87" i="105"/>
  <c r="E89" i="105"/>
  <c r="E91" i="105"/>
  <c r="E93" i="105"/>
  <c r="E95" i="105"/>
  <c r="E97" i="105"/>
  <c r="E99" i="105"/>
  <c r="E101" i="105"/>
  <c r="E103" i="105"/>
  <c r="E105" i="105"/>
  <c r="E107" i="105"/>
  <c r="E109" i="105"/>
  <c r="E111" i="105"/>
  <c r="E113" i="105"/>
  <c r="E115" i="105"/>
  <c r="F37" i="105"/>
  <c r="F43" i="105"/>
  <c r="F45" i="105"/>
  <c r="F47" i="105"/>
  <c r="F49" i="105"/>
  <c r="F51" i="105"/>
  <c r="F53" i="105"/>
  <c r="F55" i="105"/>
  <c r="F57" i="105"/>
  <c r="F59" i="105"/>
  <c r="F61" i="105"/>
  <c r="F63" i="105"/>
  <c r="F65" i="105"/>
  <c r="F67" i="105"/>
  <c r="F69" i="105"/>
  <c r="F71" i="105"/>
  <c r="F73" i="105"/>
  <c r="F75" i="105"/>
  <c r="F77" i="105"/>
  <c r="F79" i="105"/>
  <c r="F81" i="105"/>
  <c r="F83" i="105"/>
  <c r="F85" i="105"/>
  <c r="F87" i="105"/>
  <c r="F89" i="105"/>
  <c r="F91" i="105"/>
  <c r="F93" i="105"/>
  <c r="F95" i="105"/>
  <c r="F97" i="105"/>
  <c r="F99" i="105"/>
  <c r="F101" i="105"/>
  <c r="F103" i="105"/>
  <c r="F105" i="105"/>
  <c r="F107" i="105"/>
  <c r="F109" i="105"/>
  <c r="F111" i="105"/>
  <c r="F113" i="105"/>
  <c r="O4" i="97"/>
  <c r="O5" i="97"/>
  <c r="O6" i="97"/>
  <c r="O7" i="97"/>
  <c r="O8" i="97"/>
  <c r="O9" i="97"/>
  <c r="O10" i="97"/>
  <c r="O11" i="97"/>
  <c r="O12" i="97"/>
  <c r="O13" i="97"/>
  <c r="O14" i="97"/>
  <c r="O15" i="97"/>
  <c r="O16" i="97"/>
  <c r="B32" i="108" l="1"/>
  <c r="B29" i="107"/>
  <c r="B30" i="106"/>
  <c r="B7" i="105"/>
  <c r="B8" i="105" s="1"/>
  <c r="F25" i="105"/>
  <c r="E25" i="105"/>
  <c r="B28" i="105"/>
  <c r="B29" i="105" s="1"/>
  <c r="B115" i="104"/>
  <c r="G114" i="104"/>
  <c r="B114" i="104"/>
  <c r="G113" i="104"/>
  <c r="B113" i="104"/>
  <c r="G112" i="104"/>
  <c r="B112" i="104"/>
  <c r="G111" i="104"/>
  <c r="B111" i="104"/>
  <c r="G110" i="104"/>
  <c r="B110" i="104"/>
  <c r="G109" i="104"/>
  <c r="B109" i="104"/>
  <c r="G108" i="104"/>
  <c r="B108" i="104"/>
  <c r="G107" i="104"/>
  <c r="B107" i="104"/>
  <c r="G106" i="104"/>
  <c r="B106" i="104"/>
  <c r="G105" i="104"/>
  <c r="B105" i="104"/>
  <c r="G104" i="104"/>
  <c r="B104" i="104"/>
  <c r="G103" i="104"/>
  <c r="B103" i="104"/>
  <c r="G102" i="104"/>
  <c r="B102" i="104"/>
  <c r="G101" i="104"/>
  <c r="B101" i="104"/>
  <c r="G100" i="104"/>
  <c r="B100" i="104"/>
  <c r="G99" i="104"/>
  <c r="B99" i="104"/>
  <c r="G98" i="104"/>
  <c r="B98" i="104"/>
  <c r="G97" i="104"/>
  <c r="B97" i="104"/>
  <c r="G96" i="104"/>
  <c r="B96" i="104"/>
  <c r="G95" i="104"/>
  <c r="B95" i="104"/>
  <c r="G94" i="104"/>
  <c r="B94" i="104"/>
  <c r="G93" i="104"/>
  <c r="B93" i="104"/>
  <c r="G92" i="104"/>
  <c r="B92" i="104"/>
  <c r="G91" i="104"/>
  <c r="G90" i="104"/>
  <c r="G89" i="104"/>
  <c r="G88" i="104"/>
  <c r="G87" i="104"/>
  <c r="G86" i="104"/>
  <c r="G85" i="104"/>
  <c r="G84" i="104"/>
  <c r="G83" i="104"/>
  <c r="G82" i="104"/>
  <c r="G81" i="104"/>
  <c r="G80" i="104"/>
  <c r="G79" i="104"/>
  <c r="G78" i="104"/>
  <c r="G77" i="104"/>
  <c r="G76" i="104"/>
  <c r="G75" i="104"/>
  <c r="G74" i="104"/>
  <c r="G73" i="104"/>
  <c r="G72" i="104"/>
  <c r="G71" i="104"/>
  <c r="G70" i="104"/>
  <c r="G69" i="104"/>
  <c r="G68" i="104"/>
  <c r="G67" i="104"/>
  <c r="G66" i="104"/>
  <c r="G65" i="104"/>
  <c r="G64" i="104"/>
  <c r="G63" i="104"/>
  <c r="G62" i="104"/>
  <c r="G61" i="104"/>
  <c r="G60" i="104"/>
  <c r="G59" i="104"/>
  <c r="G58" i="104"/>
  <c r="G57" i="104"/>
  <c r="G56" i="104"/>
  <c r="G55" i="104"/>
  <c r="G54" i="104"/>
  <c r="G53" i="104"/>
  <c r="G52" i="104"/>
  <c r="G51" i="104"/>
  <c r="G50" i="104"/>
  <c r="G49" i="104"/>
  <c r="G48" i="104"/>
  <c r="G47" i="104"/>
  <c r="G46" i="104"/>
  <c r="G45" i="104"/>
  <c r="G44" i="104"/>
  <c r="G43" i="104"/>
  <c r="G42" i="104"/>
  <c r="G41" i="104"/>
  <c r="G40" i="104"/>
  <c r="G39" i="104"/>
  <c r="G38" i="104"/>
  <c r="G37" i="104"/>
  <c r="G36" i="104"/>
  <c r="G35" i="104"/>
  <c r="G34" i="104"/>
  <c r="G33" i="104"/>
  <c r="G32" i="104"/>
  <c r="G31" i="104"/>
  <c r="G30" i="104"/>
  <c r="G29" i="104"/>
  <c r="G28" i="104"/>
  <c r="G27" i="104"/>
  <c r="G26" i="104"/>
  <c r="B26" i="104"/>
  <c r="I25" i="104"/>
  <c r="H25" i="104"/>
  <c r="D25" i="104" a="1"/>
  <c r="D25" i="104" s="1"/>
  <c r="F13" i="104"/>
  <c r="E13" i="104"/>
  <c r="B13" i="104"/>
  <c r="F12" i="104"/>
  <c r="E12" i="104"/>
  <c r="B12" i="104"/>
  <c r="F11" i="104"/>
  <c r="E11" i="104"/>
  <c r="B11" i="104"/>
  <c r="F10" i="104"/>
  <c r="E10" i="104"/>
  <c r="B10" i="104"/>
  <c r="F9" i="104"/>
  <c r="E9" i="104"/>
  <c r="B9" i="104"/>
  <c r="F8" i="104"/>
  <c r="E8" i="104"/>
  <c r="B8" i="104"/>
  <c r="F7" i="104"/>
  <c r="E7" i="104"/>
  <c r="B7" i="104"/>
  <c r="F6" i="104"/>
  <c r="E6" i="104"/>
  <c r="B6" i="104"/>
  <c r="F5" i="104"/>
  <c r="E5" i="104"/>
  <c r="B5" i="104"/>
  <c r="O3" i="104" a="1"/>
  <c r="O3" i="104" s="1"/>
  <c r="F4" i="104"/>
  <c r="E4" i="104"/>
  <c r="B4" i="104"/>
  <c r="M3" i="104"/>
  <c r="L3" i="104"/>
  <c r="K3" i="104"/>
  <c r="F115" i="104" s="1"/>
  <c r="I3" i="104"/>
  <c r="H3" i="104"/>
  <c r="D3" i="104"/>
  <c r="F3" i="104" s="1"/>
  <c r="C3" i="104"/>
  <c r="B2" i="104"/>
  <c r="O3" i="103" a="1"/>
  <c r="O3" i="103" s="1"/>
  <c r="B115" i="103"/>
  <c r="G114" i="103"/>
  <c r="B114" i="103"/>
  <c r="G113" i="103"/>
  <c r="B113" i="103"/>
  <c r="G112" i="103"/>
  <c r="B112" i="103"/>
  <c r="G111" i="103"/>
  <c r="B111" i="103"/>
  <c r="G110" i="103"/>
  <c r="B110" i="103"/>
  <c r="G109" i="103"/>
  <c r="B109" i="103"/>
  <c r="G108" i="103"/>
  <c r="B108" i="103"/>
  <c r="G107" i="103"/>
  <c r="B107" i="103"/>
  <c r="G106" i="103"/>
  <c r="B106" i="103"/>
  <c r="G105" i="103"/>
  <c r="B105" i="103"/>
  <c r="G104" i="103"/>
  <c r="B104" i="103"/>
  <c r="G103" i="103"/>
  <c r="B103" i="103"/>
  <c r="G102" i="103"/>
  <c r="B102" i="103"/>
  <c r="G101" i="103"/>
  <c r="B101" i="103"/>
  <c r="G100" i="103"/>
  <c r="B100" i="103"/>
  <c r="G99" i="103"/>
  <c r="B99" i="103"/>
  <c r="G98" i="103"/>
  <c r="B98" i="103"/>
  <c r="G97" i="103"/>
  <c r="B97" i="103"/>
  <c r="G96" i="103"/>
  <c r="B96" i="103"/>
  <c r="G95" i="103"/>
  <c r="B95" i="103"/>
  <c r="G94" i="103"/>
  <c r="B94" i="103"/>
  <c r="G93" i="103"/>
  <c r="B93" i="103"/>
  <c r="G92" i="103"/>
  <c r="B92" i="103"/>
  <c r="G91" i="103"/>
  <c r="G90" i="103"/>
  <c r="G89" i="103"/>
  <c r="G88" i="103"/>
  <c r="G87" i="103"/>
  <c r="G86" i="103"/>
  <c r="G85" i="103"/>
  <c r="G84" i="103"/>
  <c r="G83" i="103"/>
  <c r="G82" i="103"/>
  <c r="G81" i="103"/>
  <c r="G80" i="103"/>
  <c r="G79" i="103"/>
  <c r="G78" i="103"/>
  <c r="G77" i="103"/>
  <c r="G76" i="103"/>
  <c r="G75" i="103"/>
  <c r="G74" i="103"/>
  <c r="G73" i="103"/>
  <c r="G72" i="103"/>
  <c r="G71" i="103"/>
  <c r="G70" i="103"/>
  <c r="G69" i="103"/>
  <c r="G68" i="103"/>
  <c r="G67" i="103"/>
  <c r="G66" i="103"/>
  <c r="G65" i="103"/>
  <c r="G64" i="103"/>
  <c r="G63" i="103"/>
  <c r="G62" i="103"/>
  <c r="G61" i="103"/>
  <c r="G60" i="103"/>
  <c r="G59" i="103"/>
  <c r="G58" i="103"/>
  <c r="G57" i="103"/>
  <c r="G56" i="103"/>
  <c r="G55" i="103"/>
  <c r="G54" i="103"/>
  <c r="G53" i="103"/>
  <c r="G52" i="103"/>
  <c r="G51" i="103"/>
  <c r="G50" i="103"/>
  <c r="G49" i="103"/>
  <c r="G48" i="103"/>
  <c r="G47" i="103"/>
  <c r="G46" i="103"/>
  <c r="G45" i="103"/>
  <c r="G44" i="103"/>
  <c r="G43" i="103"/>
  <c r="G42" i="103"/>
  <c r="G41" i="103"/>
  <c r="G40" i="103"/>
  <c r="G39" i="103"/>
  <c r="G38" i="103"/>
  <c r="G37" i="103"/>
  <c r="G36" i="103"/>
  <c r="G35" i="103"/>
  <c r="G34" i="103"/>
  <c r="G33" i="103"/>
  <c r="G32" i="103"/>
  <c r="G31" i="103"/>
  <c r="G30" i="103"/>
  <c r="G29" i="103"/>
  <c r="G28" i="103"/>
  <c r="G27" i="103"/>
  <c r="G26" i="103"/>
  <c r="B26" i="103"/>
  <c r="B27" i="103" s="1"/>
  <c r="I25" i="103"/>
  <c r="H25" i="103"/>
  <c r="D25" i="103" a="1"/>
  <c r="D25" i="103" s="1"/>
  <c r="C25" i="103" s="1"/>
  <c r="F13" i="103"/>
  <c r="E13" i="103"/>
  <c r="B13" i="103"/>
  <c r="F12" i="103"/>
  <c r="E12" i="103"/>
  <c r="B12" i="103"/>
  <c r="F11" i="103"/>
  <c r="E11" i="103"/>
  <c r="B11" i="103"/>
  <c r="F10" i="103"/>
  <c r="E10" i="103"/>
  <c r="B10" i="103"/>
  <c r="F9" i="103"/>
  <c r="E9" i="103"/>
  <c r="B9" i="103"/>
  <c r="F8" i="103"/>
  <c r="E8" i="103"/>
  <c r="B8" i="103"/>
  <c r="F7" i="103"/>
  <c r="E7" i="103"/>
  <c r="B7" i="103"/>
  <c r="F6" i="103"/>
  <c r="E6" i="103"/>
  <c r="B6" i="103"/>
  <c r="F5" i="103"/>
  <c r="E5" i="103"/>
  <c r="B5" i="103"/>
  <c r="F4" i="103"/>
  <c r="E4" i="103"/>
  <c r="B4" i="103"/>
  <c r="M3" i="103"/>
  <c r="L3" i="103"/>
  <c r="K3" i="103"/>
  <c r="F115" i="103" s="1"/>
  <c r="I3" i="103"/>
  <c r="H3" i="103"/>
  <c r="D3" i="103"/>
  <c r="C3" i="103"/>
  <c r="B2" i="103"/>
  <c r="B115" i="102"/>
  <c r="G114" i="102"/>
  <c r="B114" i="102"/>
  <c r="G113" i="102"/>
  <c r="B113" i="102"/>
  <c r="G112" i="102"/>
  <c r="B112" i="102"/>
  <c r="G111" i="102"/>
  <c r="B111" i="102"/>
  <c r="G110" i="102"/>
  <c r="B110" i="102"/>
  <c r="G109" i="102"/>
  <c r="B109" i="102"/>
  <c r="G108" i="102"/>
  <c r="B108" i="102"/>
  <c r="G107" i="102"/>
  <c r="B107" i="102"/>
  <c r="G106" i="102"/>
  <c r="B106" i="102"/>
  <c r="G105" i="102"/>
  <c r="B105" i="102"/>
  <c r="G104" i="102"/>
  <c r="B104" i="102"/>
  <c r="G103" i="102"/>
  <c r="B103" i="102"/>
  <c r="G102" i="102"/>
  <c r="B102" i="102"/>
  <c r="G101" i="102"/>
  <c r="B101" i="102"/>
  <c r="G100" i="102"/>
  <c r="B100" i="102"/>
  <c r="G99" i="102"/>
  <c r="B99" i="102"/>
  <c r="G98" i="102"/>
  <c r="B98" i="102"/>
  <c r="G97" i="102"/>
  <c r="B97" i="102"/>
  <c r="G96" i="102"/>
  <c r="B96" i="102"/>
  <c r="G95" i="102"/>
  <c r="B95" i="102"/>
  <c r="G94" i="102"/>
  <c r="B94" i="102"/>
  <c r="G93" i="102"/>
  <c r="B93" i="102"/>
  <c r="G92" i="102"/>
  <c r="B92" i="102"/>
  <c r="G91" i="102"/>
  <c r="B91" i="102"/>
  <c r="G90" i="102"/>
  <c r="B90" i="102"/>
  <c r="G89" i="102"/>
  <c r="B89" i="102"/>
  <c r="G88" i="102"/>
  <c r="B88" i="102"/>
  <c r="G87" i="102"/>
  <c r="B87" i="102"/>
  <c r="G86" i="102"/>
  <c r="B86" i="102"/>
  <c r="G85" i="102"/>
  <c r="B85" i="102"/>
  <c r="G84" i="102"/>
  <c r="B84" i="102"/>
  <c r="G83" i="102"/>
  <c r="B83" i="102"/>
  <c r="G82" i="102"/>
  <c r="B82" i="102"/>
  <c r="G81" i="102"/>
  <c r="B81" i="102"/>
  <c r="G80" i="102"/>
  <c r="B80" i="102"/>
  <c r="G79" i="102"/>
  <c r="B79" i="102"/>
  <c r="G78" i="102"/>
  <c r="B78" i="102"/>
  <c r="G77" i="102"/>
  <c r="B77" i="102"/>
  <c r="G76" i="102"/>
  <c r="B76" i="102"/>
  <c r="G75" i="102"/>
  <c r="B75" i="102"/>
  <c r="G74" i="102"/>
  <c r="B74" i="102"/>
  <c r="G73" i="102"/>
  <c r="B73" i="102"/>
  <c r="G72" i="102"/>
  <c r="B72" i="102"/>
  <c r="G71" i="102"/>
  <c r="B71" i="102"/>
  <c r="G70" i="102"/>
  <c r="B70" i="102"/>
  <c r="G69" i="102"/>
  <c r="B69" i="102"/>
  <c r="G68" i="102"/>
  <c r="B68" i="102"/>
  <c r="G67" i="102"/>
  <c r="B67" i="102"/>
  <c r="G66" i="102"/>
  <c r="G65" i="102"/>
  <c r="G64" i="102"/>
  <c r="G63" i="102"/>
  <c r="G62" i="102"/>
  <c r="G61" i="102"/>
  <c r="G60" i="102"/>
  <c r="G59" i="102"/>
  <c r="G58" i="102"/>
  <c r="G57" i="102"/>
  <c r="G56" i="102"/>
  <c r="G55" i="102"/>
  <c r="G54" i="102"/>
  <c r="G53" i="102"/>
  <c r="G52" i="102"/>
  <c r="G51" i="102"/>
  <c r="G50" i="102"/>
  <c r="G49" i="102"/>
  <c r="G48" i="102"/>
  <c r="G47" i="102"/>
  <c r="G46" i="102"/>
  <c r="G45" i="102"/>
  <c r="G44" i="102"/>
  <c r="G43" i="102"/>
  <c r="G42" i="102"/>
  <c r="G41" i="102"/>
  <c r="G40" i="102"/>
  <c r="G39" i="102"/>
  <c r="G38" i="102"/>
  <c r="G37" i="102"/>
  <c r="G36" i="102"/>
  <c r="G35" i="102"/>
  <c r="G34" i="102"/>
  <c r="G33" i="102"/>
  <c r="G32" i="102"/>
  <c r="G31" i="102"/>
  <c r="G30" i="102"/>
  <c r="G29" i="102"/>
  <c r="G28" i="102"/>
  <c r="G27" i="102"/>
  <c r="G26" i="102"/>
  <c r="B26" i="102"/>
  <c r="B27" i="102" s="1"/>
  <c r="I25" i="102"/>
  <c r="H25" i="102"/>
  <c r="D25" i="102" a="1"/>
  <c r="D25" i="102" s="1"/>
  <c r="O3" i="102" a="1"/>
  <c r="O3" i="102" s="1"/>
  <c r="F13" i="102"/>
  <c r="E13" i="102"/>
  <c r="B13" i="102"/>
  <c r="F12" i="102"/>
  <c r="E12" i="102"/>
  <c r="B12" i="102"/>
  <c r="F11" i="102"/>
  <c r="E11" i="102"/>
  <c r="B11" i="102"/>
  <c r="F10" i="102"/>
  <c r="E10" i="102"/>
  <c r="B10" i="102"/>
  <c r="F9" i="102"/>
  <c r="E9" i="102"/>
  <c r="B9" i="102"/>
  <c r="F8" i="102"/>
  <c r="E8" i="102"/>
  <c r="B8" i="102"/>
  <c r="F7" i="102"/>
  <c r="E7" i="102"/>
  <c r="B7" i="102"/>
  <c r="F6" i="102"/>
  <c r="E6" i="102"/>
  <c r="B6" i="102"/>
  <c r="F5" i="102"/>
  <c r="E5" i="102"/>
  <c r="B5" i="102"/>
  <c r="F4" i="102"/>
  <c r="E4" i="102"/>
  <c r="B4" i="102"/>
  <c r="M3" i="102"/>
  <c r="L3" i="102"/>
  <c r="K3" i="102"/>
  <c r="F115" i="102" s="1"/>
  <c r="I3" i="102"/>
  <c r="H3" i="102"/>
  <c r="D3" i="102"/>
  <c r="F3" i="102" s="1"/>
  <c r="C3" i="102"/>
  <c r="B2" i="102"/>
  <c r="B115" i="101"/>
  <c r="G114" i="101"/>
  <c r="B114" i="101"/>
  <c r="G113" i="101"/>
  <c r="B113" i="101"/>
  <c r="G112" i="101"/>
  <c r="B112" i="101"/>
  <c r="G111" i="101"/>
  <c r="B111" i="101"/>
  <c r="G110" i="101"/>
  <c r="B110" i="101"/>
  <c r="G109" i="101"/>
  <c r="B109" i="101"/>
  <c r="G108" i="101"/>
  <c r="B108" i="101"/>
  <c r="G107" i="101"/>
  <c r="B107" i="101"/>
  <c r="G106" i="101"/>
  <c r="B106" i="101"/>
  <c r="G105" i="101"/>
  <c r="B105" i="101"/>
  <c r="G104" i="101"/>
  <c r="B104" i="101"/>
  <c r="G103" i="101"/>
  <c r="B103" i="101"/>
  <c r="G102" i="101"/>
  <c r="B102" i="101"/>
  <c r="G101" i="101"/>
  <c r="B101" i="101"/>
  <c r="G100" i="101"/>
  <c r="B100" i="101"/>
  <c r="G99" i="101"/>
  <c r="B99" i="101"/>
  <c r="G98" i="101"/>
  <c r="B98" i="101"/>
  <c r="G97" i="101"/>
  <c r="B97" i="101"/>
  <c r="G96" i="101"/>
  <c r="B96" i="101"/>
  <c r="G95" i="101"/>
  <c r="B95" i="101"/>
  <c r="G94" i="101"/>
  <c r="B94" i="101"/>
  <c r="G93" i="101"/>
  <c r="B93" i="101"/>
  <c r="G92" i="101"/>
  <c r="B92" i="101"/>
  <c r="G91" i="101"/>
  <c r="B91" i="101"/>
  <c r="G90" i="101"/>
  <c r="B90" i="101"/>
  <c r="G89" i="101"/>
  <c r="B89" i="101"/>
  <c r="G88" i="101"/>
  <c r="B88" i="101"/>
  <c r="G87" i="101"/>
  <c r="B87" i="101"/>
  <c r="G86" i="101"/>
  <c r="B86" i="101"/>
  <c r="G85" i="101"/>
  <c r="B85" i="101"/>
  <c r="G84" i="101"/>
  <c r="B84" i="101"/>
  <c r="G83" i="101"/>
  <c r="B83" i="101"/>
  <c r="G82" i="101"/>
  <c r="B82" i="101"/>
  <c r="G81" i="101"/>
  <c r="B81" i="101"/>
  <c r="G80" i="101"/>
  <c r="B80" i="101"/>
  <c r="G79" i="101"/>
  <c r="B79" i="101"/>
  <c r="G78" i="101"/>
  <c r="B78" i="101"/>
  <c r="G77" i="101"/>
  <c r="B77" i="101"/>
  <c r="G76" i="101"/>
  <c r="B76" i="101"/>
  <c r="G75" i="101"/>
  <c r="B75" i="101"/>
  <c r="G74" i="101"/>
  <c r="B74" i="101"/>
  <c r="G73" i="101"/>
  <c r="B73" i="101"/>
  <c r="G72" i="101"/>
  <c r="B72" i="101"/>
  <c r="G71" i="101"/>
  <c r="B71" i="101"/>
  <c r="G70" i="101"/>
  <c r="B70" i="101"/>
  <c r="G69" i="101"/>
  <c r="B69" i="101"/>
  <c r="G68" i="101"/>
  <c r="B68" i="101"/>
  <c r="G67" i="101"/>
  <c r="B67" i="101"/>
  <c r="G66" i="101"/>
  <c r="G65" i="101"/>
  <c r="G64" i="101"/>
  <c r="G63" i="101"/>
  <c r="G62" i="101"/>
  <c r="G61" i="101"/>
  <c r="G60" i="101"/>
  <c r="G59" i="101"/>
  <c r="G58" i="101"/>
  <c r="G57" i="101"/>
  <c r="G56" i="101"/>
  <c r="G55" i="101"/>
  <c r="G54" i="101"/>
  <c r="G53" i="101"/>
  <c r="G52" i="101"/>
  <c r="G51" i="101"/>
  <c r="G50" i="101"/>
  <c r="G49" i="101"/>
  <c r="G48" i="101"/>
  <c r="G47" i="101"/>
  <c r="G46" i="101"/>
  <c r="G45" i="101"/>
  <c r="G44" i="101"/>
  <c r="G43" i="101"/>
  <c r="G42" i="101"/>
  <c r="G41" i="101"/>
  <c r="G40" i="101"/>
  <c r="G39" i="101"/>
  <c r="G38" i="101"/>
  <c r="G37" i="101"/>
  <c r="G36" i="101"/>
  <c r="G35" i="101"/>
  <c r="G34" i="101"/>
  <c r="G33" i="101"/>
  <c r="G32" i="101"/>
  <c r="G31" i="101"/>
  <c r="G30" i="101"/>
  <c r="G29" i="101"/>
  <c r="G28" i="101"/>
  <c r="G27" i="101"/>
  <c r="B27" i="101"/>
  <c r="G26" i="101"/>
  <c r="B26" i="101"/>
  <c r="I25" i="101"/>
  <c r="H25" i="101"/>
  <c r="D25" i="101" a="1"/>
  <c r="D25" i="101" s="1"/>
  <c r="O3" i="101" a="1"/>
  <c r="O3" i="101" s="1"/>
  <c r="F13" i="101"/>
  <c r="E13" i="101"/>
  <c r="B13" i="101"/>
  <c r="F12" i="101"/>
  <c r="E12" i="101"/>
  <c r="B12" i="101"/>
  <c r="F11" i="101"/>
  <c r="E11" i="101"/>
  <c r="B11" i="101"/>
  <c r="F10" i="101"/>
  <c r="E10" i="101"/>
  <c r="B10" i="101"/>
  <c r="F9" i="101"/>
  <c r="E9" i="101"/>
  <c r="B9" i="101"/>
  <c r="F8" i="101"/>
  <c r="E8" i="101"/>
  <c r="B8" i="101"/>
  <c r="F7" i="101"/>
  <c r="E7" i="101"/>
  <c r="B7" i="101"/>
  <c r="F6" i="101"/>
  <c r="E6" i="101"/>
  <c r="B6" i="101"/>
  <c r="F5" i="101"/>
  <c r="E5" i="101"/>
  <c r="B5" i="101"/>
  <c r="F4" i="101"/>
  <c r="E4" i="101"/>
  <c r="B4" i="101"/>
  <c r="M3" i="101"/>
  <c r="L3" i="101"/>
  <c r="K3" i="101"/>
  <c r="F115" i="101" s="1"/>
  <c r="I3" i="101"/>
  <c r="H3" i="101"/>
  <c r="D3" i="101"/>
  <c r="C3" i="101"/>
  <c r="B2" i="101"/>
  <c r="B115" i="100"/>
  <c r="G114" i="100"/>
  <c r="B114" i="100"/>
  <c r="G113" i="100"/>
  <c r="B113" i="100"/>
  <c r="G112" i="100"/>
  <c r="B112" i="100"/>
  <c r="G111" i="100"/>
  <c r="B111" i="100"/>
  <c r="G110" i="100"/>
  <c r="B110" i="100"/>
  <c r="G109" i="100"/>
  <c r="B109" i="100"/>
  <c r="G108" i="100"/>
  <c r="B108" i="100"/>
  <c r="G107" i="100"/>
  <c r="B107" i="100"/>
  <c r="G106" i="100"/>
  <c r="B106" i="100"/>
  <c r="G105" i="100"/>
  <c r="B105" i="100"/>
  <c r="G104" i="100"/>
  <c r="B104" i="100"/>
  <c r="G103" i="100"/>
  <c r="B103" i="100"/>
  <c r="G102" i="100"/>
  <c r="B102" i="100"/>
  <c r="G101" i="100"/>
  <c r="B101" i="100"/>
  <c r="G100" i="100"/>
  <c r="B100" i="100"/>
  <c r="G99" i="100"/>
  <c r="B99" i="100"/>
  <c r="G98" i="100"/>
  <c r="B98" i="100"/>
  <c r="G97" i="100"/>
  <c r="B97" i="100"/>
  <c r="G96" i="100"/>
  <c r="B96" i="100"/>
  <c r="G95" i="100"/>
  <c r="B95" i="100"/>
  <c r="G94" i="100"/>
  <c r="B94" i="100"/>
  <c r="G93" i="100"/>
  <c r="B93" i="100"/>
  <c r="G92" i="100"/>
  <c r="B92" i="100"/>
  <c r="G91" i="100"/>
  <c r="B91" i="100"/>
  <c r="G90" i="100"/>
  <c r="B90" i="100"/>
  <c r="G89" i="100"/>
  <c r="B89" i="100"/>
  <c r="G88" i="100"/>
  <c r="B88" i="100"/>
  <c r="G87" i="100"/>
  <c r="B87" i="100"/>
  <c r="G86" i="100"/>
  <c r="B86" i="100"/>
  <c r="G85" i="100"/>
  <c r="B85" i="100"/>
  <c r="G84" i="100"/>
  <c r="B84" i="100"/>
  <c r="G83" i="100"/>
  <c r="B83" i="100"/>
  <c r="G82" i="100"/>
  <c r="B82" i="100"/>
  <c r="G81" i="100"/>
  <c r="B81" i="100"/>
  <c r="G80" i="100"/>
  <c r="B80" i="100"/>
  <c r="G79" i="100"/>
  <c r="B79" i="100"/>
  <c r="G78" i="100"/>
  <c r="B78" i="100"/>
  <c r="G77" i="100"/>
  <c r="B77" i="100"/>
  <c r="G76" i="100"/>
  <c r="B76" i="100"/>
  <c r="G75" i="100"/>
  <c r="B75" i="100"/>
  <c r="G74" i="100"/>
  <c r="B74" i="100"/>
  <c r="G73" i="100"/>
  <c r="B73" i="100"/>
  <c r="G72" i="100"/>
  <c r="B72" i="100"/>
  <c r="G71" i="100"/>
  <c r="B71" i="100"/>
  <c r="G70" i="100"/>
  <c r="B70" i="100"/>
  <c r="G69" i="100"/>
  <c r="B69" i="100"/>
  <c r="G68" i="100"/>
  <c r="B68" i="100"/>
  <c r="G67" i="100"/>
  <c r="B67" i="100"/>
  <c r="G66" i="100"/>
  <c r="B66" i="100"/>
  <c r="G65" i="100"/>
  <c r="B65" i="100"/>
  <c r="G64" i="100"/>
  <c r="B64" i="100"/>
  <c r="G63" i="100"/>
  <c r="B63" i="100"/>
  <c r="G62" i="100"/>
  <c r="B62" i="100"/>
  <c r="G61" i="100"/>
  <c r="G60" i="100"/>
  <c r="G59" i="100"/>
  <c r="G58" i="100"/>
  <c r="G57" i="100"/>
  <c r="G56" i="100"/>
  <c r="G55" i="100"/>
  <c r="G54" i="100"/>
  <c r="G53" i="100"/>
  <c r="G52" i="100"/>
  <c r="G51" i="100"/>
  <c r="G50" i="100"/>
  <c r="G49" i="100"/>
  <c r="G48" i="100"/>
  <c r="G47" i="100"/>
  <c r="G46" i="100"/>
  <c r="G45" i="100"/>
  <c r="G44" i="100"/>
  <c r="G43" i="100"/>
  <c r="G42" i="100"/>
  <c r="G41" i="100"/>
  <c r="G40" i="100"/>
  <c r="G39" i="100"/>
  <c r="G38" i="100"/>
  <c r="G37" i="100"/>
  <c r="G36" i="100"/>
  <c r="G35" i="100"/>
  <c r="G34" i="100"/>
  <c r="G33" i="100"/>
  <c r="G32" i="100"/>
  <c r="G31" i="100"/>
  <c r="G30" i="100"/>
  <c r="G29" i="100"/>
  <c r="G28" i="100"/>
  <c r="G27" i="100"/>
  <c r="G26" i="100"/>
  <c r="B26" i="100"/>
  <c r="B27" i="100" s="1"/>
  <c r="I25" i="100"/>
  <c r="H25" i="100"/>
  <c r="D25" i="100" a="1"/>
  <c r="D25" i="100" s="1"/>
  <c r="F13" i="100"/>
  <c r="E13" i="100"/>
  <c r="B13" i="100"/>
  <c r="F12" i="100"/>
  <c r="E12" i="100"/>
  <c r="B12" i="100"/>
  <c r="F11" i="100"/>
  <c r="E11" i="100"/>
  <c r="B11" i="100"/>
  <c r="F10" i="100"/>
  <c r="E10" i="100"/>
  <c r="B10" i="100"/>
  <c r="F9" i="100"/>
  <c r="E9" i="100"/>
  <c r="B9" i="100"/>
  <c r="F8" i="100"/>
  <c r="E8" i="100"/>
  <c r="B8" i="100"/>
  <c r="F7" i="100"/>
  <c r="E7" i="100"/>
  <c r="B7" i="100"/>
  <c r="F6" i="100"/>
  <c r="E6" i="100"/>
  <c r="B6" i="100"/>
  <c r="F5" i="100"/>
  <c r="E5" i="100"/>
  <c r="B5" i="100"/>
  <c r="O3" i="100" a="1"/>
  <c r="O3" i="100" s="1"/>
  <c r="O1" i="100" s="1"/>
  <c r="F4" i="100"/>
  <c r="E4" i="100"/>
  <c r="B4" i="100"/>
  <c r="M3" i="100"/>
  <c r="L3" i="100"/>
  <c r="K3" i="100"/>
  <c r="F115" i="100" s="1"/>
  <c r="I3" i="100"/>
  <c r="H3" i="100"/>
  <c r="D3" i="100"/>
  <c r="F3" i="100" s="1"/>
  <c r="C3" i="100"/>
  <c r="B2" i="100"/>
  <c r="B115" i="99"/>
  <c r="G114" i="99"/>
  <c r="B114" i="99"/>
  <c r="G113" i="99"/>
  <c r="B113" i="99"/>
  <c r="G112" i="99"/>
  <c r="B112" i="99"/>
  <c r="G111" i="99"/>
  <c r="B111" i="99"/>
  <c r="G110" i="99"/>
  <c r="B110" i="99"/>
  <c r="G109" i="99"/>
  <c r="B109" i="99"/>
  <c r="G108" i="99"/>
  <c r="B108" i="99"/>
  <c r="G107" i="99"/>
  <c r="B107" i="99"/>
  <c r="G106" i="99"/>
  <c r="B106" i="99"/>
  <c r="G105" i="99"/>
  <c r="B105" i="99"/>
  <c r="G104" i="99"/>
  <c r="B104" i="99"/>
  <c r="G103" i="99"/>
  <c r="B103" i="99"/>
  <c r="G102" i="99"/>
  <c r="B102" i="99"/>
  <c r="G101" i="99"/>
  <c r="B101" i="99"/>
  <c r="G100" i="99"/>
  <c r="B100" i="99"/>
  <c r="G99" i="99"/>
  <c r="B99" i="99"/>
  <c r="G98" i="99"/>
  <c r="B98" i="99"/>
  <c r="G97" i="99"/>
  <c r="B97" i="99"/>
  <c r="G96" i="99"/>
  <c r="B96" i="99"/>
  <c r="G95" i="99"/>
  <c r="B95" i="99"/>
  <c r="G94" i="99"/>
  <c r="B94" i="99"/>
  <c r="G93" i="99"/>
  <c r="B93" i="99"/>
  <c r="G92" i="99"/>
  <c r="B92" i="99"/>
  <c r="G91" i="99"/>
  <c r="B91" i="99"/>
  <c r="G90" i="99"/>
  <c r="B90" i="99"/>
  <c r="G89" i="99"/>
  <c r="B89" i="99"/>
  <c r="G88" i="99"/>
  <c r="B88" i="99"/>
  <c r="G87" i="99"/>
  <c r="B87" i="99"/>
  <c r="G86" i="99"/>
  <c r="B86" i="99"/>
  <c r="G85" i="99"/>
  <c r="B85" i="99"/>
  <c r="G84" i="99"/>
  <c r="B84" i="99"/>
  <c r="G83" i="99"/>
  <c r="B83" i="99"/>
  <c r="G82" i="99"/>
  <c r="B82" i="99"/>
  <c r="G81" i="99"/>
  <c r="B81" i="99"/>
  <c r="G80" i="99"/>
  <c r="B80" i="99"/>
  <c r="G79" i="99"/>
  <c r="B79" i="99"/>
  <c r="G78" i="99"/>
  <c r="B78" i="99"/>
  <c r="G77" i="99"/>
  <c r="B77" i="99"/>
  <c r="G76" i="99"/>
  <c r="B76" i="99"/>
  <c r="G75" i="99"/>
  <c r="B75" i="99"/>
  <c r="G74" i="99"/>
  <c r="B74" i="99"/>
  <c r="G73" i="99"/>
  <c r="B73" i="99"/>
  <c r="G72" i="99"/>
  <c r="B72" i="99"/>
  <c r="G71" i="99"/>
  <c r="B71" i="99"/>
  <c r="G70" i="99"/>
  <c r="B70" i="99"/>
  <c r="G69" i="99"/>
  <c r="B69" i="99"/>
  <c r="G68" i="99"/>
  <c r="B68" i="99"/>
  <c r="G67" i="99"/>
  <c r="B67" i="99"/>
  <c r="G66" i="99"/>
  <c r="B66" i="99"/>
  <c r="G65" i="99"/>
  <c r="B65" i="99"/>
  <c r="G64" i="99"/>
  <c r="B64" i="99"/>
  <c r="G63" i="99"/>
  <c r="B63" i="99"/>
  <c r="G62" i="99"/>
  <c r="B62" i="99"/>
  <c r="G61" i="99"/>
  <c r="G60" i="99"/>
  <c r="G59" i="99"/>
  <c r="G58" i="99"/>
  <c r="G57" i="99"/>
  <c r="G56" i="99"/>
  <c r="G55" i="99"/>
  <c r="G54" i="99"/>
  <c r="G53" i="99"/>
  <c r="G52" i="99"/>
  <c r="G51" i="99"/>
  <c r="G50" i="99"/>
  <c r="G49" i="99"/>
  <c r="G48" i="99"/>
  <c r="G47" i="99"/>
  <c r="G46" i="99"/>
  <c r="G45" i="99"/>
  <c r="G44" i="99"/>
  <c r="G43" i="99"/>
  <c r="G42" i="99"/>
  <c r="G41" i="99"/>
  <c r="G40" i="99"/>
  <c r="G39" i="99"/>
  <c r="G38" i="99"/>
  <c r="G37" i="99"/>
  <c r="G36" i="99"/>
  <c r="G35" i="99"/>
  <c r="G34" i="99"/>
  <c r="G33" i="99"/>
  <c r="G32" i="99"/>
  <c r="G31" i="99"/>
  <c r="G30" i="99"/>
  <c r="G29" i="99"/>
  <c r="G28" i="99"/>
  <c r="G27" i="99"/>
  <c r="G26" i="99"/>
  <c r="B26" i="99"/>
  <c r="I25" i="99"/>
  <c r="H25" i="99"/>
  <c r="D25" i="99" a="1"/>
  <c r="D25" i="99" s="1"/>
  <c r="F13" i="99"/>
  <c r="E13" i="99"/>
  <c r="B13" i="99"/>
  <c r="F12" i="99"/>
  <c r="E12" i="99"/>
  <c r="B12" i="99"/>
  <c r="F11" i="99"/>
  <c r="E11" i="99"/>
  <c r="B11" i="99"/>
  <c r="F10" i="99"/>
  <c r="E10" i="99"/>
  <c r="B10" i="99"/>
  <c r="F9" i="99"/>
  <c r="E9" i="99"/>
  <c r="B9" i="99"/>
  <c r="F8" i="99"/>
  <c r="E8" i="99"/>
  <c r="B8" i="99"/>
  <c r="F7" i="99"/>
  <c r="E7" i="99"/>
  <c r="B7" i="99"/>
  <c r="F6" i="99"/>
  <c r="E6" i="99"/>
  <c r="B6" i="99"/>
  <c r="F5" i="99"/>
  <c r="E5" i="99"/>
  <c r="B5" i="99"/>
  <c r="F4" i="99"/>
  <c r="E4" i="99"/>
  <c r="B4" i="99"/>
  <c r="O3" i="99" a="1"/>
  <c r="O3" i="99" s="1"/>
  <c r="M3" i="99"/>
  <c r="L3" i="99"/>
  <c r="K3" i="99"/>
  <c r="F115" i="99" s="1"/>
  <c r="I3" i="99"/>
  <c r="H3" i="99"/>
  <c r="D3" i="99"/>
  <c r="C3" i="99"/>
  <c r="B2" i="99"/>
  <c r="E3" i="104" l="1"/>
  <c r="O1" i="102"/>
  <c r="B28" i="102"/>
  <c r="O1" i="99"/>
  <c r="E3" i="100"/>
  <c r="O1" i="101"/>
  <c r="B28" i="100"/>
  <c r="B33" i="108"/>
  <c r="B30" i="107"/>
  <c r="B31" i="106"/>
  <c r="B9" i="105"/>
  <c r="B30" i="105"/>
  <c r="O2" i="104"/>
  <c r="O1" i="104"/>
  <c r="C25" i="104"/>
  <c r="E32" i="104"/>
  <c r="F32" i="104" s="1"/>
  <c r="E40" i="104"/>
  <c r="F40" i="104" s="1"/>
  <c r="E48" i="104"/>
  <c r="F48" i="104" s="1"/>
  <c r="E56" i="104"/>
  <c r="F56" i="104" s="1"/>
  <c r="E29" i="104"/>
  <c r="F29" i="104" s="1"/>
  <c r="E37" i="104"/>
  <c r="F37" i="104" s="1"/>
  <c r="E45" i="104"/>
  <c r="F45" i="104" s="1"/>
  <c r="E53" i="104"/>
  <c r="F53" i="104" s="1"/>
  <c r="E26" i="104"/>
  <c r="F26" i="104" s="1"/>
  <c r="E34" i="104"/>
  <c r="F34" i="104" s="1"/>
  <c r="E42" i="104"/>
  <c r="F42" i="104" s="1"/>
  <c r="E50" i="104"/>
  <c r="F50" i="104" s="1"/>
  <c r="E58" i="104"/>
  <c r="F58" i="104" s="1"/>
  <c r="E60" i="104"/>
  <c r="E62" i="104"/>
  <c r="F62" i="104" s="1"/>
  <c r="E64" i="104"/>
  <c r="F64" i="104" s="1"/>
  <c r="E66" i="104"/>
  <c r="E68" i="104"/>
  <c r="E70" i="104"/>
  <c r="F70" i="104" s="1"/>
  <c r="E72" i="104"/>
  <c r="F72" i="104" s="1"/>
  <c r="E74" i="104"/>
  <c r="E76" i="104"/>
  <c r="F76" i="104" s="1"/>
  <c r="E78" i="104"/>
  <c r="F78" i="104" s="1"/>
  <c r="E80" i="104"/>
  <c r="F80" i="104" s="1"/>
  <c r="E82" i="104"/>
  <c r="F82" i="104" s="1"/>
  <c r="E84" i="104"/>
  <c r="F84" i="104" s="1"/>
  <c r="E86" i="104"/>
  <c r="F86" i="104" s="1"/>
  <c r="E88" i="104"/>
  <c r="F88" i="104" s="1"/>
  <c r="E90" i="104"/>
  <c r="F90" i="104" s="1"/>
  <c r="E92" i="104"/>
  <c r="E94" i="104"/>
  <c r="E96" i="104"/>
  <c r="E98" i="104"/>
  <c r="E100" i="104"/>
  <c r="E102" i="104"/>
  <c r="E104" i="104"/>
  <c r="E106" i="104"/>
  <c r="E108" i="104"/>
  <c r="E110" i="104"/>
  <c r="E112" i="104"/>
  <c r="E114" i="104"/>
  <c r="E31" i="104"/>
  <c r="F31" i="104" s="1"/>
  <c r="E39" i="104"/>
  <c r="F39" i="104" s="1"/>
  <c r="E47" i="104"/>
  <c r="F47" i="104" s="1"/>
  <c r="E55" i="104"/>
  <c r="F55" i="104" s="1"/>
  <c r="F60" i="104"/>
  <c r="F66" i="104"/>
  <c r="F68" i="104"/>
  <c r="F74" i="104"/>
  <c r="F92" i="104"/>
  <c r="F94" i="104"/>
  <c r="F96" i="104"/>
  <c r="F98" i="104"/>
  <c r="F100" i="104"/>
  <c r="F102" i="104"/>
  <c r="F104" i="104"/>
  <c r="F106" i="104"/>
  <c r="F108" i="104"/>
  <c r="F110" i="104"/>
  <c r="F112" i="104"/>
  <c r="F114" i="104"/>
  <c r="E28" i="104"/>
  <c r="F28" i="104" s="1"/>
  <c r="E36" i="104"/>
  <c r="F36" i="104" s="1"/>
  <c r="E44" i="104"/>
  <c r="F44" i="104" s="1"/>
  <c r="E52" i="104"/>
  <c r="F52" i="104" s="1"/>
  <c r="E33" i="104"/>
  <c r="F33" i="104" s="1"/>
  <c r="E41" i="104"/>
  <c r="F41" i="104" s="1"/>
  <c r="E49" i="104"/>
  <c r="F49" i="104" s="1"/>
  <c r="E57" i="104"/>
  <c r="F57" i="104" s="1"/>
  <c r="B27" i="104"/>
  <c r="E30" i="104"/>
  <c r="F30" i="104" s="1"/>
  <c r="E38" i="104"/>
  <c r="F38" i="104" s="1"/>
  <c r="E46" i="104"/>
  <c r="F46" i="104" s="1"/>
  <c r="E54" i="104"/>
  <c r="F54" i="104" s="1"/>
  <c r="E59" i="104"/>
  <c r="F59" i="104" s="1"/>
  <c r="E61" i="104"/>
  <c r="E63" i="104"/>
  <c r="F63" i="104" s="1"/>
  <c r="E65" i="104"/>
  <c r="F65" i="104" s="1"/>
  <c r="E67" i="104"/>
  <c r="F67" i="104" s="1"/>
  <c r="E69" i="104"/>
  <c r="E71" i="104"/>
  <c r="F71" i="104" s="1"/>
  <c r="E73" i="104"/>
  <c r="F73" i="104" s="1"/>
  <c r="E75" i="104"/>
  <c r="F75" i="104" s="1"/>
  <c r="E77" i="104"/>
  <c r="F77" i="104" s="1"/>
  <c r="E79" i="104"/>
  <c r="F79" i="104" s="1"/>
  <c r="E81" i="104"/>
  <c r="F81" i="104" s="1"/>
  <c r="E83" i="104"/>
  <c r="E85" i="104"/>
  <c r="F85" i="104" s="1"/>
  <c r="E87" i="104"/>
  <c r="E89" i="104"/>
  <c r="F89" i="104" s="1"/>
  <c r="E91" i="104"/>
  <c r="F91" i="104" s="1"/>
  <c r="E93" i="104"/>
  <c r="E95" i="104"/>
  <c r="E97" i="104"/>
  <c r="E99" i="104"/>
  <c r="E101" i="104"/>
  <c r="E103" i="104"/>
  <c r="E105" i="104"/>
  <c r="E107" i="104"/>
  <c r="E109" i="104"/>
  <c r="E111" i="104"/>
  <c r="E113" i="104"/>
  <c r="E115" i="104"/>
  <c r="E27" i="104"/>
  <c r="F27" i="104" s="1"/>
  <c r="E35" i="104"/>
  <c r="F35" i="104" s="1"/>
  <c r="E43" i="104"/>
  <c r="F43" i="104" s="1"/>
  <c r="E51" i="104"/>
  <c r="F51" i="104" s="1"/>
  <c r="F61" i="104"/>
  <c r="F69" i="104"/>
  <c r="F83" i="104"/>
  <c r="F87" i="104"/>
  <c r="F93" i="104"/>
  <c r="F95" i="104"/>
  <c r="F97" i="104"/>
  <c r="F99" i="104"/>
  <c r="F101" i="104"/>
  <c r="F103" i="104"/>
  <c r="F105" i="104"/>
  <c r="F107" i="104"/>
  <c r="F109" i="104"/>
  <c r="F111" i="104"/>
  <c r="F113" i="104"/>
  <c r="E3" i="103"/>
  <c r="F3" i="103"/>
  <c r="B28" i="103"/>
  <c r="O1" i="103"/>
  <c r="O2" i="103"/>
  <c r="E26" i="103"/>
  <c r="F26" i="103" s="1"/>
  <c r="E28" i="103"/>
  <c r="F28" i="103" s="1"/>
  <c r="E30" i="103"/>
  <c r="F30" i="103" s="1"/>
  <c r="E32" i="103"/>
  <c r="F32" i="103" s="1"/>
  <c r="E34" i="103"/>
  <c r="F34" i="103" s="1"/>
  <c r="E36" i="103"/>
  <c r="F36" i="103" s="1"/>
  <c r="E38" i="103"/>
  <c r="F38" i="103" s="1"/>
  <c r="E40" i="103"/>
  <c r="F40" i="103" s="1"/>
  <c r="E42" i="103"/>
  <c r="F42" i="103" s="1"/>
  <c r="E44" i="103"/>
  <c r="F44" i="103" s="1"/>
  <c r="E46" i="103"/>
  <c r="F46" i="103" s="1"/>
  <c r="E48" i="103"/>
  <c r="F48" i="103" s="1"/>
  <c r="E50" i="103"/>
  <c r="F50" i="103" s="1"/>
  <c r="E52" i="103"/>
  <c r="E54" i="103"/>
  <c r="F54" i="103" s="1"/>
  <c r="E56" i="103"/>
  <c r="F56" i="103" s="1"/>
  <c r="E58" i="103"/>
  <c r="F58" i="103" s="1"/>
  <c r="E60" i="103"/>
  <c r="F60" i="103" s="1"/>
  <c r="E62" i="103"/>
  <c r="F62" i="103" s="1"/>
  <c r="E64" i="103"/>
  <c r="F64" i="103" s="1"/>
  <c r="E66" i="103"/>
  <c r="F66" i="103" s="1"/>
  <c r="E68" i="103"/>
  <c r="F68" i="103" s="1"/>
  <c r="E70" i="103"/>
  <c r="F70" i="103" s="1"/>
  <c r="E72" i="103"/>
  <c r="F72" i="103" s="1"/>
  <c r="E74" i="103"/>
  <c r="F74" i="103" s="1"/>
  <c r="E76" i="103"/>
  <c r="E78" i="103"/>
  <c r="F78" i="103" s="1"/>
  <c r="E80" i="103"/>
  <c r="F80" i="103" s="1"/>
  <c r="E82" i="103"/>
  <c r="F82" i="103" s="1"/>
  <c r="E84" i="103"/>
  <c r="F84" i="103" s="1"/>
  <c r="E86" i="103"/>
  <c r="F86" i="103" s="1"/>
  <c r="E88" i="103"/>
  <c r="F88" i="103" s="1"/>
  <c r="E90" i="103"/>
  <c r="F90" i="103" s="1"/>
  <c r="E92" i="103"/>
  <c r="E94" i="103"/>
  <c r="E96" i="103"/>
  <c r="E98" i="103"/>
  <c r="E100" i="103"/>
  <c r="E102" i="103"/>
  <c r="E104" i="103"/>
  <c r="E106" i="103"/>
  <c r="E108" i="103"/>
  <c r="E110" i="103"/>
  <c r="E112" i="103"/>
  <c r="E114" i="103"/>
  <c r="F52" i="103"/>
  <c r="F76" i="103"/>
  <c r="F92" i="103"/>
  <c r="F94" i="103"/>
  <c r="F96" i="103"/>
  <c r="F98" i="103"/>
  <c r="F100" i="103"/>
  <c r="F102" i="103"/>
  <c r="F104" i="103"/>
  <c r="F106" i="103"/>
  <c r="F108" i="103"/>
  <c r="F110" i="103"/>
  <c r="F112" i="103"/>
  <c r="F114" i="103"/>
  <c r="E27" i="103"/>
  <c r="F27" i="103" s="1"/>
  <c r="E29" i="103"/>
  <c r="F29" i="103" s="1"/>
  <c r="E31" i="103"/>
  <c r="F31" i="103" s="1"/>
  <c r="E33" i="103"/>
  <c r="F33" i="103" s="1"/>
  <c r="E35" i="103"/>
  <c r="F35" i="103" s="1"/>
  <c r="E37" i="103"/>
  <c r="E39" i="103"/>
  <c r="F39" i="103" s="1"/>
  <c r="E41" i="103"/>
  <c r="E43" i="103"/>
  <c r="F43" i="103" s="1"/>
  <c r="E45" i="103"/>
  <c r="F45" i="103" s="1"/>
  <c r="E47" i="103"/>
  <c r="F47" i="103" s="1"/>
  <c r="E49" i="103"/>
  <c r="F49" i="103" s="1"/>
  <c r="E51" i="103"/>
  <c r="F51" i="103" s="1"/>
  <c r="E53" i="103"/>
  <c r="F53" i="103" s="1"/>
  <c r="E55" i="103"/>
  <c r="E57" i="103"/>
  <c r="F57" i="103" s="1"/>
  <c r="E59" i="103"/>
  <c r="F59" i="103" s="1"/>
  <c r="E61" i="103"/>
  <c r="F61" i="103" s="1"/>
  <c r="E63" i="103"/>
  <c r="F63" i="103" s="1"/>
  <c r="E65" i="103"/>
  <c r="F65" i="103" s="1"/>
  <c r="E67" i="103"/>
  <c r="F67" i="103" s="1"/>
  <c r="E69" i="103"/>
  <c r="F69" i="103" s="1"/>
  <c r="E71" i="103"/>
  <c r="F71" i="103" s="1"/>
  <c r="E73" i="103"/>
  <c r="F73" i="103" s="1"/>
  <c r="E75" i="103"/>
  <c r="F75" i="103" s="1"/>
  <c r="E77" i="103"/>
  <c r="E79" i="103"/>
  <c r="F79" i="103" s="1"/>
  <c r="E81" i="103"/>
  <c r="F81" i="103" s="1"/>
  <c r="E83" i="103"/>
  <c r="F83" i="103" s="1"/>
  <c r="E85" i="103"/>
  <c r="F85" i="103" s="1"/>
  <c r="E87" i="103"/>
  <c r="F87" i="103" s="1"/>
  <c r="E89" i="103"/>
  <c r="F89" i="103" s="1"/>
  <c r="E91" i="103"/>
  <c r="E93" i="103"/>
  <c r="E95" i="103"/>
  <c r="E97" i="103"/>
  <c r="E99" i="103"/>
  <c r="E101" i="103"/>
  <c r="E103" i="103"/>
  <c r="E105" i="103"/>
  <c r="E107" i="103"/>
  <c r="E109" i="103"/>
  <c r="E111" i="103"/>
  <c r="E113" i="103"/>
  <c r="E115" i="103"/>
  <c r="F37" i="103"/>
  <c r="F41" i="103"/>
  <c r="F55" i="103"/>
  <c r="F77" i="103"/>
  <c r="F91" i="103"/>
  <c r="F93" i="103"/>
  <c r="F95" i="103"/>
  <c r="F97" i="103"/>
  <c r="F99" i="103"/>
  <c r="F101" i="103"/>
  <c r="F103" i="103"/>
  <c r="F105" i="103"/>
  <c r="F107" i="103"/>
  <c r="F109" i="103"/>
  <c r="F111" i="103"/>
  <c r="F113" i="103"/>
  <c r="E3" i="102"/>
  <c r="O2" i="102"/>
  <c r="C25" i="102"/>
  <c r="E26" i="102"/>
  <c r="F26" i="102" s="1"/>
  <c r="E28" i="102"/>
  <c r="E30" i="102"/>
  <c r="F30" i="102" s="1"/>
  <c r="E32" i="102"/>
  <c r="F32" i="102" s="1"/>
  <c r="E34" i="102"/>
  <c r="F34" i="102" s="1"/>
  <c r="E36" i="102"/>
  <c r="F36" i="102" s="1"/>
  <c r="E38" i="102"/>
  <c r="F38" i="102" s="1"/>
  <c r="E40" i="102"/>
  <c r="F40" i="102" s="1"/>
  <c r="E42" i="102"/>
  <c r="F42" i="102" s="1"/>
  <c r="E44" i="102"/>
  <c r="F44" i="102" s="1"/>
  <c r="E46" i="102"/>
  <c r="F46" i="102" s="1"/>
  <c r="E48" i="102"/>
  <c r="F48" i="102" s="1"/>
  <c r="E50" i="102"/>
  <c r="E52" i="102"/>
  <c r="F52" i="102" s="1"/>
  <c r="E54" i="102"/>
  <c r="F54" i="102" s="1"/>
  <c r="E56" i="102"/>
  <c r="F56" i="102" s="1"/>
  <c r="E58" i="102"/>
  <c r="F58" i="102" s="1"/>
  <c r="E60" i="102"/>
  <c r="F60" i="102" s="1"/>
  <c r="E62" i="102"/>
  <c r="F62" i="102" s="1"/>
  <c r="E64" i="102"/>
  <c r="F64" i="102" s="1"/>
  <c r="E66" i="102"/>
  <c r="F66" i="102" s="1"/>
  <c r="E68" i="102"/>
  <c r="E70" i="102"/>
  <c r="E72" i="102"/>
  <c r="E74" i="102"/>
  <c r="E76" i="102"/>
  <c r="E78" i="102"/>
  <c r="E80" i="102"/>
  <c r="E82" i="102"/>
  <c r="E84" i="102"/>
  <c r="E86" i="102"/>
  <c r="E88" i="102"/>
  <c r="E90" i="102"/>
  <c r="E92" i="102"/>
  <c r="E94" i="102"/>
  <c r="E96" i="102"/>
  <c r="E98" i="102"/>
  <c r="E100" i="102"/>
  <c r="E102" i="102"/>
  <c r="E104" i="102"/>
  <c r="E106" i="102"/>
  <c r="E108" i="102"/>
  <c r="E110" i="102"/>
  <c r="E112" i="102"/>
  <c r="E114" i="102"/>
  <c r="F28" i="102"/>
  <c r="F50" i="102"/>
  <c r="F68" i="102"/>
  <c r="F70" i="102"/>
  <c r="F72" i="102"/>
  <c r="F74" i="102"/>
  <c r="F76" i="102"/>
  <c r="F78" i="102"/>
  <c r="F80" i="102"/>
  <c r="F82" i="102"/>
  <c r="F84" i="102"/>
  <c r="F86" i="102"/>
  <c r="F88" i="102"/>
  <c r="F90" i="102"/>
  <c r="F92" i="102"/>
  <c r="F94" i="102"/>
  <c r="F96" i="102"/>
  <c r="F98" i="102"/>
  <c r="F100" i="102"/>
  <c r="F102" i="102"/>
  <c r="F104" i="102"/>
  <c r="F106" i="102"/>
  <c r="F108" i="102"/>
  <c r="F110" i="102"/>
  <c r="F112" i="102"/>
  <c r="F114" i="102"/>
  <c r="E27" i="102"/>
  <c r="F27" i="102" s="1"/>
  <c r="B29" i="102"/>
  <c r="E29" i="102"/>
  <c r="F29" i="102" s="1"/>
  <c r="E31" i="102"/>
  <c r="F31" i="102" s="1"/>
  <c r="E33" i="102"/>
  <c r="F33" i="102" s="1"/>
  <c r="E35" i="102"/>
  <c r="F35" i="102" s="1"/>
  <c r="E37" i="102"/>
  <c r="F37" i="102" s="1"/>
  <c r="E39" i="102"/>
  <c r="F39" i="102" s="1"/>
  <c r="E41" i="102"/>
  <c r="F41" i="102" s="1"/>
  <c r="E43" i="102"/>
  <c r="F43" i="102" s="1"/>
  <c r="E45" i="102"/>
  <c r="F45" i="102" s="1"/>
  <c r="E47" i="102"/>
  <c r="F47" i="102" s="1"/>
  <c r="E49" i="102"/>
  <c r="F49" i="102" s="1"/>
  <c r="E51" i="102"/>
  <c r="F51" i="102" s="1"/>
  <c r="E53" i="102"/>
  <c r="F53" i="102" s="1"/>
  <c r="E55" i="102"/>
  <c r="F55" i="102" s="1"/>
  <c r="E57" i="102"/>
  <c r="F57" i="102" s="1"/>
  <c r="E59" i="102"/>
  <c r="F59" i="102" s="1"/>
  <c r="E61" i="102"/>
  <c r="F61" i="102" s="1"/>
  <c r="E63" i="102"/>
  <c r="F63" i="102" s="1"/>
  <c r="E65" i="102"/>
  <c r="F65" i="102" s="1"/>
  <c r="E67" i="102"/>
  <c r="E69" i="102"/>
  <c r="E71" i="102"/>
  <c r="E73" i="102"/>
  <c r="E75" i="102"/>
  <c r="E77" i="102"/>
  <c r="E79" i="102"/>
  <c r="E81" i="102"/>
  <c r="E83" i="102"/>
  <c r="E85" i="102"/>
  <c r="E87" i="102"/>
  <c r="E89" i="102"/>
  <c r="E91" i="102"/>
  <c r="E93" i="102"/>
  <c r="E95" i="102"/>
  <c r="E97" i="102"/>
  <c r="E99" i="102"/>
  <c r="E101" i="102"/>
  <c r="E103" i="102"/>
  <c r="E105" i="102"/>
  <c r="E107" i="102"/>
  <c r="E109" i="102"/>
  <c r="E111" i="102"/>
  <c r="E113" i="102"/>
  <c r="E115" i="102"/>
  <c r="F67" i="102"/>
  <c r="F69" i="102"/>
  <c r="F71" i="102"/>
  <c r="F73" i="102"/>
  <c r="F75" i="102"/>
  <c r="F77" i="102"/>
  <c r="F79" i="102"/>
  <c r="F81" i="102"/>
  <c r="F83" i="102"/>
  <c r="F85" i="102"/>
  <c r="F87" i="102"/>
  <c r="F89" i="102"/>
  <c r="F91" i="102"/>
  <c r="F93" i="102"/>
  <c r="F95" i="102"/>
  <c r="F97" i="102"/>
  <c r="F99" i="102"/>
  <c r="F101" i="102"/>
  <c r="F103" i="102"/>
  <c r="F105" i="102"/>
  <c r="F107" i="102"/>
  <c r="F109" i="102"/>
  <c r="F111" i="102"/>
  <c r="F113" i="102"/>
  <c r="E3" i="101"/>
  <c r="F3" i="101" s="1"/>
  <c r="C25" i="101"/>
  <c r="O2" i="101"/>
  <c r="B28" i="101"/>
  <c r="E26" i="101"/>
  <c r="F26" i="101" s="1"/>
  <c r="E28" i="101"/>
  <c r="F28" i="101" s="1"/>
  <c r="E30" i="101"/>
  <c r="F30" i="101" s="1"/>
  <c r="E32" i="101"/>
  <c r="F32" i="101" s="1"/>
  <c r="E34" i="101"/>
  <c r="F34" i="101" s="1"/>
  <c r="E36" i="101"/>
  <c r="F36" i="101" s="1"/>
  <c r="E38" i="101"/>
  <c r="F38" i="101" s="1"/>
  <c r="E40" i="101"/>
  <c r="F40" i="101" s="1"/>
  <c r="E42" i="101"/>
  <c r="F42" i="101" s="1"/>
  <c r="E44" i="101"/>
  <c r="F44" i="101" s="1"/>
  <c r="E46" i="101"/>
  <c r="F46" i="101" s="1"/>
  <c r="E48" i="101"/>
  <c r="F48" i="101" s="1"/>
  <c r="E50" i="101"/>
  <c r="E52" i="101"/>
  <c r="F52" i="101" s="1"/>
  <c r="E54" i="101"/>
  <c r="F54" i="101" s="1"/>
  <c r="E56" i="101"/>
  <c r="F56" i="101" s="1"/>
  <c r="E58" i="101"/>
  <c r="F58" i="101" s="1"/>
  <c r="E60" i="101"/>
  <c r="F60" i="101" s="1"/>
  <c r="E62" i="101"/>
  <c r="F62" i="101" s="1"/>
  <c r="E64" i="101"/>
  <c r="F64" i="101" s="1"/>
  <c r="E66" i="101"/>
  <c r="F66" i="101" s="1"/>
  <c r="E68" i="101"/>
  <c r="E70" i="101"/>
  <c r="E72" i="101"/>
  <c r="E74" i="101"/>
  <c r="E76" i="101"/>
  <c r="E78" i="101"/>
  <c r="E80" i="101"/>
  <c r="E82" i="101"/>
  <c r="E84" i="101"/>
  <c r="E86" i="101"/>
  <c r="E88" i="101"/>
  <c r="E90" i="101"/>
  <c r="E92" i="101"/>
  <c r="E94" i="101"/>
  <c r="E96" i="101"/>
  <c r="E98" i="101"/>
  <c r="E100" i="101"/>
  <c r="E102" i="101"/>
  <c r="E104" i="101"/>
  <c r="E106" i="101"/>
  <c r="E108" i="101"/>
  <c r="E110" i="101"/>
  <c r="E112" i="101"/>
  <c r="E114" i="101"/>
  <c r="F50" i="101"/>
  <c r="F68" i="101"/>
  <c r="F70" i="101"/>
  <c r="F72" i="101"/>
  <c r="F74" i="101"/>
  <c r="F76" i="101"/>
  <c r="F78" i="101"/>
  <c r="F80" i="101"/>
  <c r="F82" i="101"/>
  <c r="F84" i="101"/>
  <c r="F86" i="101"/>
  <c r="F88" i="101"/>
  <c r="F90" i="101"/>
  <c r="F92" i="101"/>
  <c r="F94" i="101"/>
  <c r="F96" i="101"/>
  <c r="F98" i="101"/>
  <c r="F100" i="101"/>
  <c r="F102" i="101"/>
  <c r="F104" i="101"/>
  <c r="F106" i="101"/>
  <c r="F108" i="101"/>
  <c r="F110" i="101"/>
  <c r="F112" i="101"/>
  <c r="F114" i="101"/>
  <c r="B29" i="101"/>
  <c r="E27" i="101"/>
  <c r="F27" i="101" s="1"/>
  <c r="E29" i="101"/>
  <c r="E31" i="101"/>
  <c r="F31" i="101" s="1"/>
  <c r="E33" i="101"/>
  <c r="F33" i="101" s="1"/>
  <c r="E35" i="101"/>
  <c r="F35" i="101" s="1"/>
  <c r="E37" i="101"/>
  <c r="F37" i="101" s="1"/>
  <c r="E39" i="101"/>
  <c r="E41" i="101"/>
  <c r="F41" i="101" s="1"/>
  <c r="E43" i="101"/>
  <c r="E45" i="101"/>
  <c r="F45" i="101" s="1"/>
  <c r="E47" i="101"/>
  <c r="F47" i="101" s="1"/>
  <c r="E49" i="101"/>
  <c r="F49" i="101" s="1"/>
  <c r="E51" i="101"/>
  <c r="F51" i="101" s="1"/>
  <c r="E53" i="101"/>
  <c r="F53" i="101" s="1"/>
  <c r="E55" i="101"/>
  <c r="F55" i="101" s="1"/>
  <c r="E57" i="101"/>
  <c r="F57" i="101" s="1"/>
  <c r="E59" i="101"/>
  <c r="F59" i="101" s="1"/>
  <c r="E61" i="101"/>
  <c r="E63" i="101"/>
  <c r="F63" i="101" s="1"/>
  <c r="E65" i="101"/>
  <c r="F65" i="101" s="1"/>
  <c r="E67" i="101"/>
  <c r="E69" i="101"/>
  <c r="E71" i="101"/>
  <c r="E73" i="101"/>
  <c r="E75" i="101"/>
  <c r="E77" i="101"/>
  <c r="E79" i="101"/>
  <c r="E81" i="101"/>
  <c r="E83" i="101"/>
  <c r="E85" i="101"/>
  <c r="E87" i="101"/>
  <c r="E89" i="101"/>
  <c r="E91" i="101"/>
  <c r="E93" i="101"/>
  <c r="E95" i="101"/>
  <c r="E97" i="101"/>
  <c r="E99" i="101"/>
  <c r="E101" i="101"/>
  <c r="E103" i="101"/>
  <c r="E105" i="101"/>
  <c r="E107" i="101"/>
  <c r="E109" i="101"/>
  <c r="E111" i="101"/>
  <c r="E113" i="101"/>
  <c r="E115" i="101"/>
  <c r="F29" i="101"/>
  <c r="F39" i="101"/>
  <c r="F43" i="101"/>
  <c r="F61" i="101"/>
  <c r="F67" i="101"/>
  <c r="F69" i="101"/>
  <c r="F71" i="101"/>
  <c r="F73" i="101"/>
  <c r="F75" i="101"/>
  <c r="F77" i="101"/>
  <c r="F79" i="101"/>
  <c r="F81" i="101"/>
  <c r="F83" i="101"/>
  <c r="F85" i="101"/>
  <c r="F87" i="101"/>
  <c r="F89" i="101"/>
  <c r="F91" i="101"/>
  <c r="F93" i="101"/>
  <c r="F95" i="101"/>
  <c r="F97" i="101"/>
  <c r="F99" i="101"/>
  <c r="F101" i="101"/>
  <c r="F103" i="101"/>
  <c r="F105" i="101"/>
  <c r="F107" i="101"/>
  <c r="F109" i="101"/>
  <c r="F111" i="101"/>
  <c r="F113" i="101"/>
  <c r="O2" i="100"/>
  <c r="C25" i="100"/>
  <c r="E30" i="100"/>
  <c r="F30" i="100" s="1"/>
  <c r="E27" i="100"/>
  <c r="F27" i="100" s="1"/>
  <c r="E32" i="100"/>
  <c r="F32" i="100" s="1"/>
  <c r="E34" i="100"/>
  <c r="F34" i="100" s="1"/>
  <c r="E36" i="100"/>
  <c r="F36" i="100" s="1"/>
  <c r="E38" i="100"/>
  <c r="F38" i="100" s="1"/>
  <c r="E40" i="100"/>
  <c r="F40" i="100" s="1"/>
  <c r="E42" i="100"/>
  <c r="E44" i="100"/>
  <c r="F44" i="100" s="1"/>
  <c r="E46" i="100"/>
  <c r="F46" i="100" s="1"/>
  <c r="E48" i="100"/>
  <c r="F48" i="100" s="1"/>
  <c r="E50" i="100"/>
  <c r="F50" i="100" s="1"/>
  <c r="E52" i="100"/>
  <c r="F52" i="100" s="1"/>
  <c r="E54" i="100"/>
  <c r="F54" i="100" s="1"/>
  <c r="E56" i="100"/>
  <c r="F56" i="100" s="1"/>
  <c r="E58" i="100"/>
  <c r="F58" i="100" s="1"/>
  <c r="E60" i="100"/>
  <c r="E62" i="100"/>
  <c r="E64" i="100"/>
  <c r="E66" i="100"/>
  <c r="E68" i="100"/>
  <c r="E70" i="100"/>
  <c r="E72" i="100"/>
  <c r="E74" i="100"/>
  <c r="E76" i="100"/>
  <c r="E78" i="100"/>
  <c r="E80" i="100"/>
  <c r="E82" i="100"/>
  <c r="E84" i="100"/>
  <c r="E86" i="100"/>
  <c r="E88" i="100"/>
  <c r="E90" i="100"/>
  <c r="E92" i="100"/>
  <c r="E94" i="100"/>
  <c r="E96" i="100"/>
  <c r="E98" i="100"/>
  <c r="E100" i="100"/>
  <c r="E102" i="100"/>
  <c r="E104" i="100"/>
  <c r="E106" i="100"/>
  <c r="E108" i="100"/>
  <c r="E110" i="100"/>
  <c r="E112" i="100"/>
  <c r="E114" i="100"/>
  <c r="B29" i="100"/>
  <c r="F42" i="100"/>
  <c r="F60" i="100"/>
  <c r="F62" i="100"/>
  <c r="F64" i="100"/>
  <c r="F66" i="100"/>
  <c r="F68" i="100"/>
  <c r="F70" i="100"/>
  <c r="F72" i="100"/>
  <c r="F74" i="100"/>
  <c r="F76" i="100"/>
  <c r="F78" i="100"/>
  <c r="F80" i="100"/>
  <c r="F82" i="100"/>
  <c r="F84" i="100"/>
  <c r="F86" i="100"/>
  <c r="F88" i="100"/>
  <c r="F90" i="100"/>
  <c r="F92" i="100"/>
  <c r="F94" i="100"/>
  <c r="F96" i="100"/>
  <c r="F98" i="100"/>
  <c r="F100" i="100"/>
  <c r="F102" i="100"/>
  <c r="F104" i="100"/>
  <c r="F106" i="100"/>
  <c r="F108" i="100"/>
  <c r="F110" i="100"/>
  <c r="F112" i="100"/>
  <c r="F114" i="100"/>
  <c r="E29" i="100"/>
  <c r="F29" i="100" s="1"/>
  <c r="E26" i="100"/>
  <c r="F26" i="100" s="1"/>
  <c r="E31" i="100"/>
  <c r="F31" i="100" s="1"/>
  <c r="E33" i="100"/>
  <c r="F33" i="100" s="1"/>
  <c r="E35" i="100"/>
  <c r="F35" i="100" s="1"/>
  <c r="E37" i="100"/>
  <c r="F37" i="100" s="1"/>
  <c r="E39" i="100"/>
  <c r="F39" i="100" s="1"/>
  <c r="E41" i="100"/>
  <c r="F41" i="100" s="1"/>
  <c r="E43" i="100"/>
  <c r="F43" i="100" s="1"/>
  <c r="E45" i="100"/>
  <c r="F45" i="100" s="1"/>
  <c r="E47" i="100"/>
  <c r="F47" i="100" s="1"/>
  <c r="E49" i="100"/>
  <c r="F49" i="100" s="1"/>
  <c r="E51" i="100"/>
  <c r="F51" i="100" s="1"/>
  <c r="E53" i="100"/>
  <c r="E55" i="100"/>
  <c r="F55" i="100" s="1"/>
  <c r="E57" i="100"/>
  <c r="F57" i="100" s="1"/>
  <c r="E59" i="100"/>
  <c r="F59" i="100" s="1"/>
  <c r="E61" i="100"/>
  <c r="F61" i="100" s="1"/>
  <c r="E63" i="100"/>
  <c r="E65" i="100"/>
  <c r="E67" i="100"/>
  <c r="E69" i="100"/>
  <c r="E71" i="100"/>
  <c r="E73" i="100"/>
  <c r="E75" i="100"/>
  <c r="E77" i="100"/>
  <c r="E79" i="100"/>
  <c r="E81" i="100"/>
  <c r="E83" i="100"/>
  <c r="E85" i="100"/>
  <c r="E87" i="100"/>
  <c r="E89" i="100"/>
  <c r="E91" i="100"/>
  <c r="E93" i="100"/>
  <c r="E95" i="100"/>
  <c r="E97" i="100"/>
  <c r="E99" i="100"/>
  <c r="E101" i="100"/>
  <c r="E103" i="100"/>
  <c r="E105" i="100"/>
  <c r="E107" i="100"/>
  <c r="E109" i="100"/>
  <c r="E111" i="100"/>
  <c r="E113" i="100"/>
  <c r="E115" i="100"/>
  <c r="E28" i="100"/>
  <c r="F28" i="100" s="1"/>
  <c r="F53" i="100"/>
  <c r="F63" i="100"/>
  <c r="F65" i="100"/>
  <c r="F67" i="100"/>
  <c r="F69" i="100"/>
  <c r="F71" i="100"/>
  <c r="F73" i="100"/>
  <c r="F75" i="100"/>
  <c r="F77" i="100"/>
  <c r="F79" i="100"/>
  <c r="F81" i="100"/>
  <c r="F83" i="100"/>
  <c r="F85" i="100"/>
  <c r="F87" i="100"/>
  <c r="F89" i="100"/>
  <c r="F91" i="100"/>
  <c r="F93" i="100"/>
  <c r="F95" i="100"/>
  <c r="F97" i="100"/>
  <c r="F99" i="100"/>
  <c r="F101" i="100"/>
  <c r="F103" i="100"/>
  <c r="F105" i="100"/>
  <c r="F107" i="100"/>
  <c r="F109" i="100"/>
  <c r="F111" i="100"/>
  <c r="F113" i="100"/>
  <c r="B27" i="99"/>
  <c r="O2" i="99"/>
  <c r="E3" i="99"/>
  <c r="F3" i="99" s="1"/>
  <c r="C25" i="99"/>
  <c r="B28" i="99"/>
  <c r="E26" i="99"/>
  <c r="F26" i="99" s="1"/>
  <c r="E28" i="99"/>
  <c r="F28" i="99" s="1"/>
  <c r="E30" i="99"/>
  <c r="F30" i="99" s="1"/>
  <c r="E32" i="99"/>
  <c r="F32" i="99" s="1"/>
  <c r="E34" i="99"/>
  <c r="F34" i="99" s="1"/>
  <c r="E36" i="99"/>
  <c r="F36" i="99" s="1"/>
  <c r="E38" i="99"/>
  <c r="F38" i="99" s="1"/>
  <c r="E40" i="99"/>
  <c r="F40" i="99" s="1"/>
  <c r="E42" i="99"/>
  <c r="F42" i="99" s="1"/>
  <c r="E44" i="99"/>
  <c r="F44" i="99" s="1"/>
  <c r="E46" i="99"/>
  <c r="F46" i="99" s="1"/>
  <c r="E48" i="99"/>
  <c r="F48" i="99" s="1"/>
  <c r="E50" i="99"/>
  <c r="F50" i="99" s="1"/>
  <c r="E52" i="99"/>
  <c r="F52" i="99" s="1"/>
  <c r="E54" i="99"/>
  <c r="F54" i="99" s="1"/>
  <c r="E56" i="99"/>
  <c r="F56" i="99" s="1"/>
  <c r="E58" i="99"/>
  <c r="F58" i="99" s="1"/>
  <c r="E60" i="99"/>
  <c r="F60" i="99" s="1"/>
  <c r="E62" i="99"/>
  <c r="E64" i="99"/>
  <c r="E66" i="99"/>
  <c r="E68" i="99"/>
  <c r="E70" i="99"/>
  <c r="E72" i="99"/>
  <c r="E74" i="99"/>
  <c r="E76" i="99"/>
  <c r="E78" i="99"/>
  <c r="E80" i="99"/>
  <c r="E82" i="99"/>
  <c r="E84" i="99"/>
  <c r="E86" i="99"/>
  <c r="E88" i="99"/>
  <c r="E90" i="99"/>
  <c r="E92" i="99"/>
  <c r="E94" i="99"/>
  <c r="E96" i="99"/>
  <c r="E98" i="99"/>
  <c r="E100" i="99"/>
  <c r="E102" i="99"/>
  <c r="E104" i="99"/>
  <c r="E106" i="99"/>
  <c r="E108" i="99"/>
  <c r="E110" i="99"/>
  <c r="E112" i="99"/>
  <c r="E114" i="99"/>
  <c r="F62" i="99"/>
  <c r="F64" i="99"/>
  <c r="F66" i="99"/>
  <c r="F68" i="99"/>
  <c r="F70" i="99"/>
  <c r="F72" i="99"/>
  <c r="F74" i="99"/>
  <c r="F76" i="99"/>
  <c r="F78" i="99"/>
  <c r="F80" i="99"/>
  <c r="F82" i="99"/>
  <c r="F84" i="99"/>
  <c r="F86" i="99"/>
  <c r="F88" i="99"/>
  <c r="F90" i="99"/>
  <c r="F92" i="99"/>
  <c r="F94" i="99"/>
  <c r="F96" i="99"/>
  <c r="F98" i="99"/>
  <c r="F100" i="99"/>
  <c r="F102" i="99"/>
  <c r="F104" i="99"/>
  <c r="F106" i="99"/>
  <c r="F108" i="99"/>
  <c r="F110" i="99"/>
  <c r="F112" i="99"/>
  <c r="F114" i="99"/>
  <c r="B29" i="99"/>
  <c r="E27" i="99"/>
  <c r="F27" i="99" s="1"/>
  <c r="E29" i="99"/>
  <c r="F29" i="99" s="1"/>
  <c r="E31" i="99"/>
  <c r="F31" i="99" s="1"/>
  <c r="E33" i="99"/>
  <c r="F33" i="99" s="1"/>
  <c r="E35" i="99"/>
  <c r="F35" i="99" s="1"/>
  <c r="E37" i="99"/>
  <c r="F37" i="99" s="1"/>
  <c r="E39" i="99"/>
  <c r="F39" i="99" s="1"/>
  <c r="E41" i="99"/>
  <c r="F41" i="99" s="1"/>
  <c r="E43" i="99"/>
  <c r="F43" i="99" s="1"/>
  <c r="E45" i="99"/>
  <c r="F45" i="99" s="1"/>
  <c r="E47" i="99"/>
  <c r="F47" i="99" s="1"/>
  <c r="E49" i="99"/>
  <c r="F49" i="99" s="1"/>
  <c r="E51" i="99"/>
  <c r="F51" i="99" s="1"/>
  <c r="E53" i="99"/>
  <c r="E55" i="99"/>
  <c r="F55" i="99" s="1"/>
  <c r="E57" i="99"/>
  <c r="F57" i="99" s="1"/>
  <c r="E59" i="99"/>
  <c r="F59" i="99" s="1"/>
  <c r="E61" i="99"/>
  <c r="F61" i="99" s="1"/>
  <c r="E63" i="99"/>
  <c r="E65" i="99"/>
  <c r="E67" i="99"/>
  <c r="E69" i="99"/>
  <c r="E71" i="99"/>
  <c r="E73" i="99"/>
  <c r="E75" i="99"/>
  <c r="E77" i="99"/>
  <c r="E79" i="99"/>
  <c r="E81" i="99"/>
  <c r="E83" i="99"/>
  <c r="E85" i="99"/>
  <c r="E87" i="99"/>
  <c r="E89" i="99"/>
  <c r="E91" i="99"/>
  <c r="E93" i="99"/>
  <c r="E95" i="99"/>
  <c r="E97" i="99"/>
  <c r="E99" i="99"/>
  <c r="E101" i="99"/>
  <c r="E103" i="99"/>
  <c r="E105" i="99"/>
  <c r="E107" i="99"/>
  <c r="E109" i="99"/>
  <c r="E111" i="99"/>
  <c r="E113" i="99"/>
  <c r="E115" i="99"/>
  <c r="F53" i="99"/>
  <c r="F63" i="99"/>
  <c r="F65" i="99"/>
  <c r="F67" i="99"/>
  <c r="F69" i="99"/>
  <c r="F71" i="99"/>
  <c r="F73" i="99"/>
  <c r="F75" i="99"/>
  <c r="F77" i="99"/>
  <c r="F79" i="99"/>
  <c r="F81" i="99"/>
  <c r="F83" i="99"/>
  <c r="F85" i="99"/>
  <c r="F87" i="99"/>
  <c r="F89" i="99"/>
  <c r="F91" i="99"/>
  <c r="F93" i="99"/>
  <c r="F95" i="99"/>
  <c r="F97" i="99"/>
  <c r="F99" i="99"/>
  <c r="F101" i="99"/>
  <c r="F103" i="99"/>
  <c r="F105" i="99"/>
  <c r="F107" i="99"/>
  <c r="F109" i="99"/>
  <c r="F111" i="99"/>
  <c r="F113" i="99"/>
  <c r="F13" i="97"/>
  <c r="E13" i="97"/>
  <c r="B13" i="97"/>
  <c r="F12" i="97"/>
  <c r="E12" i="97"/>
  <c r="B12" i="97"/>
  <c r="F11" i="97"/>
  <c r="E11" i="97"/>
  <c r="B11" i="97"/>
  <c r="F10" i="97"/>
  <c r="E10" i="97"/>
  <c r="B10" i="97"/>
  <c r="F9" i="97"/>
  <c r="E9" i="97"/>
  <c r="B9" i="97"/>
  <c r="F8" i="97"/>
  <c r="E8" i="97"/>
  <c r="B8" i="97"/>
  <c r="F7" i="97"/>
  <c r="E7" i="97"/>
  <c r="B7" i="97"/>
  <c r="F6" i="97"/>
  <c r="E6" i="97"/>
  <c r="B6" i="97"/>
  <c r="F5" i="97"/>
  <c r="E5" i="97"/>
  <c r="B5" i="97"/>
  <c r="F4" i="97"/>
  <c r="E4" i="97"/>
  <c r="B4" i="97"/>
  <c r="I3" i="97"/>
  <c r="H3" i="97"/>
  <c r="D3" i="97"/>
  <c r="F3" i="97" s="1"/>
  <c r="C3" i="97"/>
  <c r="B34" i="108" l="1"/>
  <c r="B31" i="107"/>
  <c r="B32" i="107" s="1"/>
  <c r="B32" i="106"/>
  <c r="B33" i="106" s="1"/>
  <c r="B34" i="106" s="1"/>
  <c r="B35" i="106" s="1"/>
  <c r="B31" i="105"/>
  <c r="B32" i="105"/>
  <c r="F25" i="104"/>
  <c r="B28" i="104"/>
  <c r="E25" i="104"/>
  <c r="F25" i="103"/>
  <c r="B29" i="103"/>
  <c r="E25" i="103"/>
  <c r="F25" i="102"/>
  <c r="B30" i="102"/>
  <c r="E25" i="102"/>
  <c r="F25" i="101"/>
  <c r="E25" i="101"/>
  <c r="B30" i="101"/>
  <c r="B31" i="101" s="1"/>
  <c r="F25" i="100"/>
  <c r="E25" i="100"/>
  <c r="B30" i="100"/>
  <c r="F25" i="99"/>
  <c r="E25" i="99"/>
  <c r="B30" i="99"/>
  <c r="E3" i="97"/>
  <c r="B32" i="101" l="1"/>
  <c r="B35" i="108"/>
  <c r="B36" i="108" s="1"/>
  <c r="B37" i="108" s="1"/>
  <c r="B38" i="108" s="1"/>
  <c r="B39" i="108" s="1"/>
  <c r="B40" i="108" s="1"/>
  <c r="B41" i="108" s="1"/>
  <c r="B42" i="108" s="1"/>
  <c r="B43" i="108" s="1"/>
  <c r="B44" i="108" s="1"/>
  <c r="B45" i="108" s="1"/>
  <c r="B46" i="108" s="1"/>
  <c r="B47" i="108" s="1"/>
  <c r="B48" i="108" s="1"/>
  <c r="B49" i="108" s="1"/>
  <c r="B33" i="107"/>
  <c r="B36" i="106"/>
  <c r="B33" i="105"/>
  <c r="B29" i="104"/>
  <c r="B30" i="103"/>
  <c r="B31" i="102"/>
  <c r="B32" i="102" s="1"/>
  <c r="B33" i="101"/>
  <c r="B31" i="100"/>
  <c r="B31" i="99"/>
  <c r="G27" i="97"/>
  <c r="G28" i="97"/>
  <c r="G29" i="97"/>
  <c r="G30" i="97"/>
  <c r="G31" i="97"/>
  <c r="G32" i="97"/>
  <c r="G33" i="97"/>
  <c r="G34" i="97"/>
  <c r="G35" i="97"/>
  <c r="G36" i="97"/>
  <c r="G37" i="97"/>
  <c r="G38" i="97"/>
  <c r="G39" i="97"/>
  <c r="G40" i="97"/>
  <c r="G41" i="97"/>
  <c r="G42" i="97"/>
  <c r="G43" i="97"/>
  <c r="G44" i="97"/>
  <c r="G45" i="97"/>
  <c r="G46" i="97"/>
  <c r="G47" i="97"/>
  <c r="G48" i="97"/>
  <c r="G49" i="97"/>
  <c r="G50" i="97"/>
  <c r="G51" i="97"/>
  <c r="G52" i="97"/>
  <c r="G53" i="97"/>
  <c r="G54" i="97"/>
  <c r="G55" i="97"/>
  <c r="G56" i="97"/>
  <c r="G57" i="97"/>
  <c r="G58" i="97"/>
  <c r="G59" i="97"/>
  <c r="G60" i="97"/>
  <c r="G61" i="97"/>
  <c r="G62" i="97"/>
  <c r="G63" i="97"/>
  <c r="G64" i="97"/>
  <c r="G65" i="97"/>
  <c r="G66" i="97"/>
  <c r="G67" i="97"/>
  <c r="G68" i="97"/>
  <c r="G69" i="97"/>
  <c r="G70" i="97"/>
  <c r="G71" i="97"/>
  <c r="G72" i="97"/>
  <c r="G73" i="97"/>
  <c r="G74" i="97"/>
  <c r="G75" i="97"/>
  <c r="G76" i="97"/>
  <c r="G77" i="97"/>
  <c r="G78" i="97"/>
  <c r="G79" i="97"/>
  <c r="G80" i="97"/>
  <c r="G81" i="97"/>
  <c r="G82" i="97"/>
  <c r="G83" i="97"/>
  <c r="G84" i="97"/>
  <c r="G85" i="97"/>
  <c r="G86" i="97"/>
  <c r="G87" i="97"/>
  <c r="G88" i="97"/>
  <c r="G89" i="97"/>
  <c r="G90" i="97"/>
  <c r="G91" i="97"/>
  <c r="G92" i="97"/>
  <c r="G93" i="97"/>
  <c r="G94" i="97"/>
  <c r="G95" i="97"/>
  <c r="G96" i="97"/>
  <c r="G97" i="97"/>
  <c r="G98" i="97"/>
  <c r="G99" i="97"/>
  <c r="G100" i="97"/>
  <c r="G101" i="97"/>
  <c r="G102" i="97"/>
  <c r="G103" i="97"/>
  <c r="G104" i="97"/>
  <c r="G105" i="97"/>
  <c r="G106" i="97"/>
  <c r="G107" i="97"/>
  <c r="G108" i="97"/>
  <c r="G109" i="97"/>
  <c r="G110" i="97"/>
  <c r="G111" i="97"/>
  <c r="G112" i="97"/>
  <c r="G113" i="97"/>
  <c r="G114" i="97"/>
  <c r="G26" i="97"/>
  <c r="B33" i="102" l="1"/>
  <c r="B34" i="102" s="1"/>
  <c r="B35" i="102" s="1"/>
  <c r="B34" i="107"/>
  <c r="B37" i="106"/>
  <c r="B34" i="105"/>
  <c r="B35" i="105" s="1"/>
  <c r="B36" i="105" s="1"/>
  <c r="B37" i="105" s="1"/>
  <c r="B38" i="105" s="1"/>
  <c r="B39" i="105" s="1"/>
  <c r="B40" i="105" s="1"/>
  <c r="B41" i="105" s="1"/>
  <c r="B42" i="105" s="1"/>
  <c r="B43" i="105" s="1"/>
  <c r="B44" i="105" s="1"/>
  <c r="B45" i="105" s="1"/>
  <c r="B46" i="105" s="1"/>
  <c r="B47" i="105" s="1"/>
  <c r="B48" i="105" s="1"/>
  <c r="B49" i="105" s="1"/>
  <c r="B30" i="104"/>
  <c r="B31" i="104" s="1"/>
  <c r="B31" i="103"/>
  <c r="B34" i="101"/>
  <c r="B32" i="100"/>
  <c r="B32" i="99"/>
  <c r="B33" i="99"/>
  <c r="O3" i="97" a="1"/>
  <c r="O3" i="97" s="1"/>
  <c r="B36" i="102" l="1"/>
  <c r="B35" i="107"/>
  <c r="B36" i="107" s="1"/>
  <c r="B37" i="107" s="1"/>
  <c r="B38" i="107" s="1"/>
  <c r="B39" i="107" s="1"/>
  <c r="B40" i="107" s="1"/>
  <c r="B41" i="107" s="1"/>
  <c r="B42" i="107" s="1"/>
  <c r="B43" i="107" s="1"/>
  <c r="B44" i="107" s="1"/>
  <c r="B45" i="107" s="1"/>
  <c r="B46" i="107" s="1"/>
  <c r="B47" i="107" s="1"/>
  <c r="B48" i="107" s="1"/>
  <c r="B49" i="107" s="1"/>
  <c r="B50" i="107" s="1"/>
  <c r="B51" i="107" s="1"/>
  <c r="B52" i="107" s="1"/>
  <c r="B53" i="107" s="1"/>
  <c r="B54" i="107" s="1"/>
  <c r="B55" i="107" s="1"/>
  <c r="B56" i="107" s="1"/>
  <c r="B57" i="107" s="1"/>
  <c r="B58" i="107" s="1"/>
  <c r="B59" i="107" s="1"/>
  <c r="B60" i="107" s="1"/>
  <c r="B61" i="107" s="1"/>
  <c r="B38" i="106"/>
  <c r="B32" i="104"/>
  <c r="B32" i="103"/>
  <c r="B33" i="103"/>
  <c r="B34" i="103" s="1"/>
  <c r="B35" i="103" s="1"/>
  <c r="B37" i="102"/>
  <c r="B35" i="101"/>
  <c r="B33" i="100"/>
  <c r="B34" i="99"/>
  <c r="B115" i="97"/>
  <c r="B114" i="97"/>
  <c r="B113" i="97"/>
  <c r="B112" i="97"/>
  <c r="B111" i="97"/>
  <c r="B110" i="97"/>
  <c r="B109" i="97"/>
  <c r="B108" i="97"/>
  <c r="B107" i="97"/>
  <c r="B106" i="97"/>
  <c r="B105" i="97"/>
  <c r="B104" i="97"/>
  <c r="B103" i="97"/>
  <c r="B102" i="97"/>
  <c r="B101" i="97"/>
  <c r="B100" i="97"/>
  <c r="B99" i="97"/>
  <c r="B98" i="97"/>
  <c r="B97" i="97"/>
  <c r="B96" i="97"/>
  <c r="B95" i="97"/>
  <c r="B94" i="97"/>
  <c r="B93" i="97"/>
  <c r="B92" i="97"/>
  <c r="B26" i="97"/>
  <c r="B27" i="97" s="1"/>
  <c r="I25" i="97"/>
  <c r="H25" i="97"/>
  <c r="D25" i="97" a="1"/>
  <c r="D25" i="97" s="1"/>
  <c r="M3" i="97"/>
  <c r="L3" i="97"/>
  <c r="K3" i="97"/>
  <c r="B2" i="97"/>
  <c r="B39" i="106" l="1"/>
  <c r="B40" i="106" s="1"/>
  <c r="B41" i="106" s="1"/>
  <c r="B42" i="106" s="1"/>
  <c r="B43" i="106" s="1"/>
  <c r="B44" i="106" s="1"/>
  <c r="B45" i="106" s="1"/>
  <c r="B46" i="106" s="1"/>
  <c r="B47" i="106" s="1"/>
  <c r="B48" i="106" s="1"/>
  <c r="B49" i="106" s="1"/>
  <c r="B50" i="106" s="1"/>
  <c r="B51" i="106" s="1"/>
  <c r="B52" i="106" s="1"/>
  <c r="B53" i="106" s="1"/>
  <c r="B54" i="106" s="1"/>
  <c r="B55" i="106" s="1"/>
  <c r="B56" i="106" s="1"/>
  <c r="B57" i="106" s="1"/>
  <c r="B58" i="106" s="1"/>
  <c r="B59" i="106" s="1"/>
  <c r="B60" i="106" s="1"/>
  <c r="B61" i="106" s="1"/>
  <c r="B33" i="104"/>
  <c r="B34" i="104"/>
  <c r="B35" i="104" s="1"/>
  <c r="B36" i="103"/>
  <c r="B37" i="103" s="1"/>
  <c r="B38" i="102"/>
  <c r="B36" i="101"/>
  <c r="B37" i="101"/>
  <c r="B38" i="101" s="1"/>
  <c r="B34" i="100"/>
  <c r="B35" i="99"/>
  <c r="B36" i="99" s="1"/>
  <c r="F67" i="97"/>
  <c r="F75" i="97"/>
  <c r="F83" i="97"/>
  <c r="F91" i="97"/>
  <c r="F99" i="97"/>
  <c r="F107" i="97"/>
  <c r="F115" i="97"/>
  <c r="E33" i="97"/>
  <c r="F33" i="97" s="1"/>
  <c r="E41" i="97"/>
  <c r="F41" i="97" s="1"/>
  <c r="E49" i="97"/>
  <c r="F49" i="97" s="1"/>
  <c r="E57" i="97"/>
  <c r="F57" i="97" s="1"/>
  <c r="E65" i="97"/>
  <c r="F65" i="97" s="1"/>
  <c r="E73" i="97"/>
  <c r="E81" i="97"/>
  <c r="E89" i="97"/>
  <c r="E97" i="97"/>
  <c r="E105" i="97"/>
  <c r="E113" i="97"/>
  <c r="F68" i="97"/>
  <c r="F76" i="97"/>
  <c r="F84" i="97"/>
  <c r="F92" i="97"/>
  <c r="F100" i="97"/>
  <c r="F108" i="97"/>
  <c r="E26" i="97"/>
  <c r="F26" i="97" s="1"/>
  <c r="E34" i="97"/>
  <c r="F34" i="97" s="1"/>
  <c r="E42" i="97"/>
  <c r="F42" i="97" s="1"/>
  <c r="E50" i="97"/>
  <c r="F50" i="97" s="1"/>
  <c r="E58" i="97"/>
  <c r="F58" i="97" s="1"/>
  <c r="E66" i="97"/>
  <c r="F66" i="97" s="1"/>
  <c r="E74" i="97"/>
  <c r="E82" i="97"/>
  <c r="E90" i="97"/>
  <c r="F70" i="97"/>
  <c r="F78" i="97"/>
  <c r="F86" i="97"/>
  <c r="F94" i="97"/>
  <c r="F102" i="97"/>
  <c r="F110" i="97"/>
  <c r="E28" i="97"/>
  <c r="F28" i="97" s="1"/>
  <c r="E36" i="97"/>
  <c r="F36" i="97" s="1"/>
  <c r="E44" i="97"/>
  <c r="F44" i="97" s="1"/>
  <c r="E52" i="97"/>
  <c r="F52" i="97" s="1"/>
  <c r="E60" i="97"/>
  <c r="F60" i="97" s="1"/>
  <c r="E68" i="97"/>
  <c r="E76" i="97"/>
  <c r="E84" i="97"/>
  <c r="E92" i="97"/>
  <c r="E100" i="97"/>
  <c r="E108" i="97"/>
  <c r="F71" i="97"/>
  <c r="F79" i="97"/>
  <c r="F87" i="97"/>
  <c r="F95" i="97"/>
  <c r="F103" i="97"/>
  <c r="F111" i="97"/>
  <c r="E29" i="97"/>
  <c r="F29" i="97" s="1"/>
  <c r="E37" i="97"/>
  <c r="F37" i="97" s="1"/>
  <c r="E45" i="97"/>
  <c r="F45" i="97" s="1"/>
  <c r="E53" i="97"/>
  <c r="F53" i="97" s="1"/>
  <c r="E61" i="97"/>
  <c r="F61" i="97" s="1"/>
  <c r="E69" i="97"/>
  <c r="E77" i="97"/>
  <c r="E85" i="97"/>
  <c r="E93" i="97"/>
  <c r="E101" i="97"/>
  <c r="E109" i="97"/>
  <c r="F72" i="97"/>
  <c r="F80" i="97"/>
  <c r="F88" i="97"/>
  <c r="F96" i="97"/>
  <c r="F104" i="97"/>
  <c r="F112" i="97"/>
  <c r="E30" i="97"/>
  <c r="F30" i="97" s="1"/>
  <c r="E38" i="97"/>
  <c r="F38" i="97" s="1"/>
  <c r="E46" i="97"/>
  <c r="F46" i="97" s="1"/>
  <c r="E54" i="97"/>
  <c r="F54" i="97" s="1"/>
  <c r="E62" i="97"/>
  <c r="F62" i="97" s="1"/>
  <c r="E70" i="97"/>
  <c r="E78" i="97"/>
  <c r="E86" i="97"/>
  <c r="E94" i="97"/>
  <c r="E102" i="97"/>
  <c r="E110" i="97"/>
  <c r="F73" i="97"/>
  <c r="F81" i="97"/>
  <c r="F89" i="97"/>
  <c r="F97" i="97"/>
  <c r="F105" i="97"/>
  <c r="F113" i="97"/>
  <c r="E31" i="97"/>
  <c r="F31" i="97" s="1"/>
  <c r="E39" i="97"/>
  <c r="F39" i="97" s="1"/>
  <c r="E47" i="97"/>
  <c r="F47" i="97" s="1"/>
  <c r="E55" i="97"/>
  <c r="F55" i="97" s="1"/>
  <c r="E63" i="97"/>
  <c r="F63" i="97" s="1"/>
  <c r="E71" i="97"/>
  <c r="E79" i="97"/>
  <c r="E87" i="97"/>
  <c r="F93" i="97"/>
  <c r="E35" i="97"/>
  <c r="F35" i="97" s="1"/>
  <c r="E67" i="97"/>
  <c r="E96" i="97"/>
  <c r="E112" i="97"/>
  <c r="F98" i="97"/>
  <c r="E40" i="97"/>
  <c r="F40" i="97" s="1"/>
  <c r="E72" i="97"/>
  <c r="E98" i="97"/>
  <c r="E114" i="97"/>
  <c r="F69" i="97"/>
  <c r="F101" i="97"/>
  <c r="E43" i="97"/>
  <c r="F43" i="97" s="1"/>
  <c r="E75" i="97"/>
  <c r="E99" i="97"/>
  <c r="E115" i="97"/>
  <c r="F74" i="97"/>
  <c r="F106" i="97"/>
  <c r="E48" i="97"/>
  <c r="F48" i="97" s="1"/>
  <c r="E103" i="97"/>
  <c r="F77" i="97"/>
  <c r="F109" i="97"/>
  <c r="E51" i="97"/>
  <c r="F51" i="97" s="1"/>
  <c r="E83" i="97"/>
  <c r="E104" i="97"/>
  <c r="F82" i="97"/>
  <c r="F114" i="97"/>
  <c r="E56" i="97"/>
  <c r="F56" i="97" s="1"/>
  <c r="E88" i="97"/>
  <c r="E106" i="97"/>
  <c r="F85" i="97"/>
  <c r="E27" i="97"/>
  <c r="F27" i="97" s="1"/>
  <c r="E59" i="97"/>
  <c r="F59" i="97" s="1"/>
  <c r="E91" i="97"/>
  <c r="E107" i="97"/>
  <c r="F90" i="97"/>
  <c r="E32" i="97"/>
  <c r="F32" i="97" s="1"/>
  <c r="E64" i="97"/>
  <c r="F64" i="97" s="1"/>
  <c r="E95" i="97"/>
  <c r="E111" i="97"/>
  <c r="E80" i="97"/>
  <c r="O1" i="97"/>
  <c r="O2" i="97"/>
  <c r="B28" i="97"/>
  <c r="C25" i="97"/>
  <c r="B36" i="104" l="1"/>
  <c r="B38" i="103"/>
  <c r="B39" i="102"/>
  <c r="B39" i="101"/>
  <c r="B40" i="101" s="1"/>
  <c r="B41" i="101" s="1"/>
  <c r="B42" i="101" s="1"/>
  <c r="B43" i="101" s="1"/>
  <c r="B44" i="101" s="1"/>
  <c r="B45" i="101" s="1"/>
  <c r="B46" i="101" s="1"/>
  <c r="B47" i="101" s="1"/>
  <c r="B48" i="101" s="1"/>
  <c r="B49" i="101" s="1"/>
  <c r="B50" i="101" s="1"/>
  <c r="B51" i="101" s="1"/>
  <c r="B52" i="101" s="1"/>
  <c r="B53" i="101" s="1"/>
  <c r="B54" i="101" s="1"/>
  <c r="B55" i="101" s="1"/>
  <c r="B56" i="101" s="1"/>
  <c r="B57" i="101" s="1"/>
  <c r="B58" i="101" s="1"/>
  <c r="B59" i="101" s="1"/>
  <c r="B60" i="101" s="1"/>
  <c r="B61" i="101" s="1"/>
  <c r="B62" i="101" s="1"/>
  <c r="B63" i="101" s="1"/>
  <c r="B64" i="101" s="1"/>
  <c r="B65" i="101" s="1"/>
  <c r="B66" i="101" s="1"/>
  <c r="B35" i="100"/>
  <c r="B37" i="99"/>
  <c r="B38" i="99" s="1"/>
  <c r="F25" i="97"/>
  <c r="E25" i="97"/>
  <c r="B29" i="97"/>
  <c r="B39" i="99" l="1"/>
  <c r="B40" i="99" s="1"/>
  <c r="B41" i="99" s="1"/>
  <c r="B42" i="99" s="1"/>
  <c r="B43" i="99" s="1"/>
  <c r="B44" i="99" s="1"/>
  <c r="B45" i="99" s="1"/>
  <c r="B46" i="99" s="1"/>
  <c r="B47" i="99" s="1"/>
  <c r="B48" i="99" s="1"/>
  <c r="B49" i="99" s="1"/>
  <c r="B50" i="99" s="1"/>
  <c r="B51" i="99" s="1"/>
  <c r="B52" i="99" s="1"/>
  <c r="B53" i="99" s="1"/>
  <c r="B54" i="99" s="1"/>
  <c r="B55" i="99" s="1"/>
  <c r="B56" i="99" s="1"/>
  <c r="B57" i="99" s="1"/>
  <c r="B58" i="99" s="1"/>
  <c r="B59" i="99" s="1"/>
  <c r="B60" i="99" s="1"/>
  <c r="B61" i="99" s="1"/>
  <c r="B37" i="104"/>
  <c r="B39" i="103"/>
  <c r="B40" i="103" s="1"/>
  <c r="B41" i="103" s="1"/>
  <c r="B42" i="103" s="1"/>
  <c r="B43" i="103" s="1"/>
  <c r="B44" i="103" s="1"/>
  <c r="B45" i="103" s="1"/>
  <c r="B46" i="103" s="1"/>
  <c r="B47" i="103" s="1"/>
  <c r="B48" i="103" s="1"/>
  <c r="B49" i="103" s="1"/>
  <c r="B50" i="103" s="1"/>
  <c r="B51" i="103" s="1"/>
  <c r="B52" i="103" s="1"/>
  <c r="B53" i="103" s="1"/>
  <c r="B54" i="103" s="1"/>
  <c r="B55" i="103" s="1"/>
  <c r="B56" i="103" s="1"/>
  <c r="B57" i="103" s="1"/>
  <c r="B58" i="103" s="1"/>
  <c r="B59" i="103" s="1"/>
  <c r="B60" i="103" s="1"/>
  <c r="B61" i="103" s="1"/>
  <c r="B62" i="103" s="1"/>
  <c r="B63" i="103" s="1"/>
  <c r="B64" i="103" s="1"/>
  <c r="B65" i="103" s="1"/>
  <c r="B66" i="103" s="1"/>
  <c r="B67" i="103" s="1"/>
  <c r="B68" i="103" s="1"/>
  <c r="B69" i="103" s="1"/>
  <c r="B70" i="103" s="1"/>
  <c r="B71" i="103" s="1"/>
  <c r="B72" i="103" s="1"/>
  <c r="B73" i="103" s="1"/>
  <c r="B74" i="103" s="1"/>
  <c r="B75" i="103" s="1"/>
  <c r="B76" i="103" s="1"/>
  <c r="B77" i="103" s="1"/>
  <c r="B78" i="103" s="1"/>
  <c r="B79" i="103" s="1"/>
  <c r="B80" i="103" s="1"/>
  <c r="B81" i="103" s="1"/>
  <c r="B82" i="103" s="1"/>
  <c r="B83" i="103" s="1"/>
  <c r="B84" i="103" s="1"/>
  <c r="B85" i="103" s="1"/>
  <c r="B86" i="103" s="1"/>
  <c r="B87" i="103" s="1"/>
  <c r="B88" i="103" s="1"/>
  <c r="B89" i="103" s="1"/>
  <c r="B90" i="103" s="1"/>
  <c r="B91" i="103" s="1"/>
  <c r="B40" i="102"/>
  <c r="B41" i="102" s="1"/>
  <c r="B42" i="102" s="1"/>
  <c r="B43" i="102" s="1"/>
  <c r="B44" i="102" s="1"/>
  <c r="B45" i="102" s="1"/>
  <c r="B46" i="102" s="1"/>
  <c r="B47" i="102" s="1"/>
  <c r="B48" i="102" s="1"/>
  <c r="B49" i="102" s="1"/>
  <c r="B50" i="102" s="1"/>
  <c r="B51" i="102" s="1"/>
  <c r="B52" i="102" s="1"/>
  <c r="B53" i="102" s="1"/>
  <c r="B54" i="102" s="1"/>
  <c r="B55" i="102" s="1"/>
  <c r="B56" i="102" s="1"/>
  <c r="B57" i="102" s="1"/>
  <c r="B58" i="102" s="1"/>
  <c r="B59" i="102" s="1"/>
  <c r="B60" i="102" s="1"/>
  <c r="B61" i="102" s="1"/>
  <c r="B62" i="102" s="1"/>
  <c r="B63" i="102" s="1"/>
  <c r="B64" i="102" s="1"/>
  <c r="B65" i="102" s="1"/>
  <c r="B66" i="102" s="1"/>
  <c r="B36" i="100"/>
  <c r="B37" i="100" s="1"/>
  <c r="B38" i="100" s="1"/>
  <c r="B39" i="100" s="1"/>
  <c r="B40" i="100" s="1"/>
  <c r="B41" i="100" s="1"/>
  <c r="B42" i="100" s="1"/>
  <c r="B43" i="100" s="1"/>
  <c r="B44" i="100" s="1"/>
  <c r="B45" i="100" s="1"/>
  <c r="B46" i="100" s="1"/>
  <c r="B47" i="100" s="1"/>
  <c r="B48" i="100" s="1"/>
  <c r="B49" i="100" s="1"/>
  <c r="B50" i="100" s="1"/>
  <c r="B51" i="100" s="1"/>
  <c r="B52" i="100" s="1"/>
  <c r="B53" i="100" s="1"/>
  <c r="B54" i="100" s="1"/>
  <c r="B55" i="100" s="1"/>
  <c r="B56" i="100" s="1"/>
  <c r="B57" i="100" s="1"/>
  <c r="B58" i="100" s="1"/>
  <c r="B59" i="100" s="1"/>
  <c r="B60" i="100" s="1"/>
  <c r="B61" i="100" s="1"/>
  <c r="B30" i="97"/>
  <c r="B31" i="97" s="1"/>
  <c r="B32" i="97" s="1"/>
  <c r="B38" i="104" l="1"/>
  <c r="B39" i="104" s="1"/>
  <c r="B40" i="104" s="1"/>
  <c r="B41" i="104" s="1"/>
  <c r="B42" i="104" s="1"/>
  <c r="B43" i="104" s="1"/>
  <c r="B44" i="104" s="1"/>
  <c r="B45" i="104" s="1"/>
  <c r="B46" i="104" s="1"/>
  <c r="B47" i="104" s="1"/>
  <c r="B48" i="104" s="1"/>
  <c r="B49" i="104" s="1"/>
  <c r="B50" i="104" s="1"/>
  <c r="B51" i="104" s="1"/>
  <c r="B52" i="104" s="1"/>
  <c r="B53" i="104" s="1"/>
  <c r="B54" i="104" s="1"/>
  <c r="B55" i="104" s="1"/>
  <c r="B56" i="104" s="1"/>
  <c r="B57" i="104" s="1"/>
  <c r="B58" i="104" s="1"/>
  <c r="B59" i="104" s="1"/>
  <c r="B60" i="104" s="1"/>
  <c r="B61" i="104" s="1"/>
  <c r="B62" i="104" s="1"/>
  <c r="B63" i="104" s="1"/>
  <c r="B64" i="104" s="1"/>
  <c r="B65" i="104" s="1"/>
  <c r="B66" i="104" s="1"/>
  <c r="B67" i="104" s="1"/>
  <c r="B68" i="104" s="1"/>
  <c r="B69" i="104" s="1"/>
  <c r="B70" i="104" s="1"/>
  <c r="B71" i="104" s="1"/>
  <c r="B72" i="104" s="1"/>
  <c r="B73" i="104" s="1"/>
  <c r="B74" i="104" s="1"/>
  <c r="B75" i="104" s="1"/>
  <c r="B76" i="104" s="1"/>
  <c r="B77" i="104" s="1"/>
  <c r="B78" i="104" s="1"/>
  <c r="B79" i="104" s="1"/>
  <c r="B80" i="104" s="1"/>
  <c r="B81" i="104" s="1"/>
  <c r="B82" i="104" s="1"/>
  <c r="B83" i="104" s="1"/>
  <c r="B84" i="104" s="1"/>
  <c r="B85" i="104" s="1"/>
  <c r="B86" i="104" s="1"/>
  <c r="B87" i="104" s="1"/>
  <c r="B88" i="104" s="1"/>
  <c r="B89" i="104" s="1"/>
  <c r="B90" i="104" s="1"/>
  <c r="B91" i="104" s="1"/>
  <c r="B33" i="97"/>
  <c r="B34" i="97" l="1"/>
  <c r="B35" i="97" s="1"/>
  <c r="B36" i="97" l="1"/>
  <c r="B37" i="97" l="1"/>
  <c r="B38" i="97" l="1"/>
  <c r="B39" i="97" s="1"/>
  <c r="B40" i="97" s="1"/>
  <c r="B41" i="97" l="1"/>
  <c r="B42" i="97" s="1"/>
  <c r="B43" i="97" l="1"/>
  <c r="B44" i="97" l="1"/>
  <c r="B45" i="97" l="1"/>
  <c r="B46" i="97" s="1"/>
  <c r="B47" i="97" s="1"/>
  <c r="B48" i="97" l="1"/>
  <c r="B49" i="97" l="1"/>
  <c r="B50" i="97" l="1"/>
  <c r="B51" i="97" l="1"/>
  <c r="B52" i="97" l="1"/>
  <c r="B53" i="97" l="1"/>
  <c r="B54" i="97" s="1"/>
  <c r="B55" i="97" s="1"/>
  <c r="B56" i="97" s="1"/>
  <c r="B57" i="97" s="1"/>
  <c r="B58" i="97" s="1"/>
  <c r="B59" i="97" s="1"/>
  <c r="B60" i="97" s="1"/>
  <c r="B61" i="97" s="1"/>
  <c r="B62" i="97" l="1"/>
  <c r="B63" i="97" s="1"/>
  <c r="B64" i="97" s="1"/>
  <c r="B65" i="97" s="1"/>
  <c r="B66" i="97" s="1"/>
  <c r="B67" i="97" s="1"/>
  <c r="B68" i="97" s="1"/>
  <c r="B69" i="97" s="1"/>
  <c r="B70" i="97" s="1"/>
  <c r="B71" i="97" s="1"/>
  <c r="B72" i="97" s="1"/>
  <c r="B73" i="97" l="1"/>
  <c r="B74" i="97" s="1"/>
  <c r="B75" i="97" l="1"/>
  <c r="B76" i="97" s="1"/>
  <c r="B77" i="97" s="1"/>
  <c r="B78" i="97" s="1"/>
  <c r="B79" i="97" s="1"/>
  <c r="B80" i="97" s="1"/>
  <c r="B81" i="97" s="1"/>
  <c r="B82" i="97" s="1"/>
  <c r="B83" i="97" s="1"/>
  <c r="B84" i="97" s="1"/>
  <c r="B85" i="97" s="1"/>
  <c r="B86" i="97" s="1"/>
  <c r="B87" i="97" s="1"/>
  <c r="B88" i="97" s="1"/>
  <c r="B89" i="97" s="1"/>
  <c r="B90" i="97" s="1"/>
  <c r="B91" i="97" s="1"/>
</calcChain>
</file>

<file path=xl/sharedStrings.xml><?xml version="1.0" encoding="utf-8"?>
<sst xmlns="http://schemas.openxmlformats.org/spreadsheetml/2006/main" count="605" uniqueCount="272">
  <si>
    <t>Кол-во</t>
  </si>
  <si>
    <t>Размер</t>
  </si>
  <si>
    <t>Нужно</t>
  </si>
  <si>
    <t>Есть</t>
  </si>
  <si>
    <t>Решение</t>
  </si>
  <si>
    <t>Не сделано</t>
  </si>
  <si>
    <t>Расход</t>
  </si>
  <si>
    <t>Раскрой</t>
  </si>
  <si>
    <t>Разложено</t>
  </si>
  <si>
    <t>Не разложено</t>
  </si>
  <si>
    <t>Использовано</t>
  </si>
  <si>
    <t>Кол-во исп.
заготовок</t>
  </si>
  <si>
    <t>Не использов.</t>
  </si>
  <si>
    <t>Ширина реза</t>
  </si>
  <si>
    <t>№</t>
  </si>
  <si>
    <t>Оптимизация остатка</t>
  </si>
  <si>
    <t>Оптимизация вариантов</t>
  </si>
  <si>
    <t>Кромка</t>
  </si>
  <si>
    <t>Деловой остат.</t>
  </si>
  <si>
    <t>Осталось</t>
  </si>
  <si>
    <t>Ограничение по времени, сек.</t>
  </si>
  <si>
    <t>Настройки DP:</t>
  </si>
  <si>
    <t>Использовать CspSolve</t>
  </si>
  <si>
    <t>Случайность решения</t>
  </si>
  <si>
    <t>Кол-во потоков</t>
  </si>
  <si>
    <t>Размер неликвида</t>
  </si>
  <si>
    <t>Нет</t>
  </si>
  <si>
    <t>Использовать остатки</t>
  </si>
  <si>
    <t>=(2613+10) + (1305+10) + (1175+10) + (857+10) + [10]</t>
  </si>
  <si>
    <t>=(2613+10) + (1391+10) + (1345+10) + (600+10) + [10]</t>
  </si>
  <si>
    <t>=(2613+10) + (1375+10) + (1107+10) + (855+10) + [10]</t>
  </si>
  <si>
    <t>=(2095+10) + (1605+10) + (1295+10) + (955+10) + [10]</t>
  </si>
  <si>
    <t>=(1526+10) + (1506+10) + (1506+10) + (1406+10) + [10]</t>
  </si>
  <si>
    <t>=(1836+10) + (1406+10) + (1396+10) + (1306+10) + [10]</t>
  </si>
  <si>
    <t>=(2066+10) + (1406+10) + (1406+10) + (1066+10) + [10]</t>
  </si>
  <si>
    <t>=(2106+10) + (1396+10) + (1306+10) + (1136+10) + [10]</t>
  </si>
  <si>
    <t>=(2136+10) + (1416+10) + (1326+10) + (1066+10) + [10]</t>
  </si>
  <si>
    <t>=(2176+10) + (1396+10) + (1306+10) + (1066+10) + [10]</t>
  </si>
  <si>
    <t>=(2286+10) + (2126+10) + (1526+10) + [10]</t>
  </si>
  <si>
    <t>=(1526+10) + (1526+10) + (1526+10) + (1346+10) + [10]</t>
  </si>
  <si>
    <t>1. Быстро</t>
  </si>
  <si>
    <t>2. Нормально</t>
  </si>
  <si>
    <t>3. Медленно</t>
  </si>
  <si>
    <t>4. Очень медленно</t>
  </si>
  <si>
    <t>5.</t>
  </si>
  <si>
    <t>=(1326+10) + (1326+10) + (1306+10) + (1306+10) + (676+10) + [10]</t>
  </si>
  <si>
    <t>=(1336+10) + (1326+10) + (1306+10) + (1266+10) + (706+10) + [10]</t>
  </si>
  <si>
    <t>=(1336+10) + (1336+10) + (1306+10) + (1266+10) + (696+10) + [10]</t>
  </si>
  <si>
    <t>=(1336+10) + (1336+10) + (1326+10) + (1276+10) + (666+10) + [10]</t>
  </si>
  <si>
    <t>=(1336+10) + (1336+10) + (1326+10) + (1306+10) + (636+10) + [10]</t>
  </si>
  <si>
    <t>=(1396+10) + (1326+10) + (1306+10) + (1276+10) + (636+10) + [10]</t>
  </si>
  <si>
    <t>=(1396+10) + (1376+10) + (1336+10) + (1166+10) + (666+10) + [10]</t>
  </si>
  <si>
    <t>=(1406+10) + (1406+10) + (1326+10) + (1126+10) + (676+10) + [10]</t>
  </si>
  <si>
    <t>=(1526+10) + (1336+10) + (1256+10) + (1136+10) + (686+10) + [10]</t>
  </si>
  <si>
    <t>=(2086+10) + (1346+10) + (1126+10) + (696+10) + (686+10) + [10]</t>
  </si>
  <si>
    <t>=(2346+10) + (2176+10) + (1436+10) + [10]</t>
  </si>
  <si>
    <t>=(2346+10) + (2286+10) + (1326+10) + [10]</t>
  </si>
  <si>
    <t>=(1906+10) + (1406+10) + (1316+10) + (1316+10) + [10]</t>
  </si>
  <si>
    <t>=(1906+10) + (1406+10) + (1326+10) + (1306+10) + [10]</t>
  </si>
  <si>
    <t>=(2066+10) + (1836+10) + (1336+10) + (706+10) + [10]</t>
  </si>
  <si>
    <t>=(2086+10) + (1436+10) + (1256+10) + (1166+10) + [10]</t>
  </si>
  <si>
    <t>=(2106+10) + (1396+10) + (1376+10) + (1066+10) + [10]</t>
  </si>
  <si>
    <t>=(2126+10) + (1416+10) + (1336+10) + (1066+10) + [10]</t>
  </si>
  <si>
    <t>=(2136+10) + (1526+10) + (1416+10) + (866+10) + [10]</t>
  </si>
  <si>
    <t>=(2286+10) + (1396+10) + (1396+10) + (866+10) + [10]</t>
  </si>
  <si>
    <t>=(1336+10) + (1326+10) + (1306+10) + (1276+10) + (696+10) + [10]</t>
  </si>
  <si>
    <t>=(1346+10) + (1326+10) + (1326+10) + (1266+10) + (676+10) + [10]</t>
  </si>
  <si>
    <t>=(1406+10) + (1306+10) + (1306+10) + (1256+10) + (666+10) + [10]</t>
  </si>
  <si>
    <t>=(1416+10) + (1336+10) + (1316+10) + (1166+10) + (706+10) + [10]</t>
  </si>
  <si>
    <t>=(1506+10) + (1406+10) + (1326+10) + (1066+10) + (636+10) + [10]</t>
  </si>
  <si>
    <t>=(1526+10) + (1526+10) + (1336+10) + (866+10) + (686+10) + [10]</t>
  </si>
  <si>
    <t>=(1906+10) + (1396+10) + (1336+10) + (1306+10) + [10]</t>
  </si>
  <si>
    <t>=(2066+10) + (1416+10) + (1396+10) + (1066+10) + [10]</t>
  </si>
  <si>
    <t>=(2086+10) + (1396+10) + (1336+10) + (1126+10) + [10]</t>
  </si>
  <si>
    <t>=(2106+10) + (1376+10) + (1326+10) + (1136+10) + [10]</t>
  </si>
  <si>
    <t>=(2136+10) + (1406+10) + (1336+10) + (1066+10) + [10]</t>
  </si>
  <si>
    <t>=(1246+10) + (1196+10) + (1196+10) + (1166+10) + (1136+10) + [10]</t>
  </si>
  <si>
    <t>=(1316+10) + (1316+10) + (1166+10) + (1166+10) + (976+10) + [10]</t>
  </si>
  <si>
    <t>=(1426+10) + (1226+10) + (1176+10) + (1156+10) + (956+10) + [10]</t>
  </si>
  <si>
    <t>=(1426+10) + (1386+10) + (1156+10) + (1016+10) + (956+10) + [10]</t>
  </si>
  <si>
    <t>=(1426+10) + (1426+10) + (1226+10) + (1166+10) + (696+10) + [10]</t>
  </si>
  <si>
    <t>=(1426+10) + (1426+10) + (1246+10) + (1166+10) + (676+10) + [10]</t>
  </si>
  <si>
    <t>=(1436+10) + (1436+10) + (1116+10) + (976+10) + (976+10) + [10]</t>
  </si>
  <si>
    <t>=(1456+10) + (1386+10) + (1166+10) + (976+10) + (956+10) + [10]</t>
  </si>
  <si>
    <t>=(1476+10) + (1316+10) + (1176+10) + (1176+10) + (796+10) + [10]</t>
  </si>
  <si>
    <t>=(1476+10) + (1426+10) + (1316+10) + (976+10) + (746+10) + [10]</t>
  </si>
  <si>
    <t>=(1496+10) + (1246+10) + (1176+10) + (1016+10) + (1006+10) + [10]</t>
  </si>
  <si>
    <t>=(1496+10) + (1456+10) + (1196+10) + (1186+10) + (606+10) + [10]</t>
  </si>
  <si>
    <t>=(1526+10) + (1386+10) + (1166+10) + (1166+10) + (696+10) + [10]</t>
  </si>
  <si>
    <t>=(1526+10) + (1386+10) + (1186+10) + (1006+10) + (836+10) + [10]</t>
  </si>
  <si>
    <t>=(1576+10) + (1386+10) + (1196+10) + (976+10) + (806+10) + [10]</t>
  </si>
  <si>
    <t>=(1576+10) + (1426+10) + (1116+10) + (1066+10) + (756+10) + [10]</t>
  </si>
  <si>
    <t>=(1936+10) + (1166+10) + (1166+10) + (836+10) + (836+10) + [10]</t>
  </si>
  <si>
    <t>=(1936+10) + (1246+10) + (1136+10) + (846+10) + (776+10) + [10]</t>
  </si>
  <si>
    <t>=(2036+10) + (1196+10) + (1066+10) + (836+10) + (806+10) + [10]</t>
  </si>
  <si>
    <t>=(2036+10) + (1196+10) + (976+10) + (976+10) + (756+10) + [10]</t>
  </si>
  <si>
    <t>=(796+10) + (706+10) + (686+10) + (636+10) + (606+10) + (556+10) + (496+10) + (496+10) + (456+10) + (456+10) + [10]</t>
  </si>
  <si>
    <t>=(846+10) + (756+10) + (756+10) + (746+10) + (706+10) + (706+10) + (706+10) + (686+10) + [10]</t>
  </si>
  <si>
    <t>=(956+10) + (836+10) + (836+10) + (706+10) + (706+10) + (676+10) + (636+10) + (556+10) + [10]</t>
  </si>
  <si>
    <t>=(1386+10) + (776+10) + [10]</t>
  </si>
  <si>
    <t>=(1386+10) + (1246+10) + (1186+10) + (1116+10) + (1006+10) + [10]</t>
  </si>
  <si>
    <t>=(1386+10) + (1386+10) + (1316+10) + (1016+10) + (836+10) + [10]</t>
  </si>
  <si>
    <t>=(1426+10) + (1196+10) + (1176+10) + (1166+10) + (976+10) + [10]</t>
  </si>
  <si>
    <t>=(1426+10) + (1196+10) + (1196+10) + (1166+10) + (956+10) + [10]</t>
  </si>
  <si>
    <t>=(1426+10) + (1426+10) + (1316+10) + (1166+10) + (606+10) + [10]</t>
  </si>
  <si>
    <t>=(1476+10) + (1436+10) + (1246+10) + (976+10) + (806+10) + [10]</t>
  </si>
  <si>
    <t>=(1496+10) + (1456+10) + (1176+10) + (1066+10) + (746+10) + [10]</t>
  </si>
  <si>
    <t>=(1576+10) + (1526+10) + (1156+10) + (976+10) + (706+10) + [10]</t>
  </si>
  <si>
    <t>=(1936+10) + (1226+10) + (1166+10) + (976+10) + (636+10) + [10]</t>
  </si>
  <si>
    <t>=(2036+10) + (1166+10) + (1136+10) + (846+10) + (756+10) + [10]</t>
  </si>
  <si>
    <t>=(956+10) + (836+10) + (796+10) + (756+10) + (706+10) + (686+10) + (676+10) + (496+10) + [10]</t>
  </si>
  <si>
    <t>=(836+10) + (776+10) + (706+10) + (696+10) + (556+10) + (456+10) + [10]</t>
  </si>
  <si>
    <t>=(1306+10) + (1226+10) + (1166+10) + (1126+10) + (1116+10) + [10]</t>
  </si>
  <si>
    <t>=(1326+10) + (1326+10) + (1256+10) + (1196+10) + (836+10) + [10]</t>
  </si>
  <si>
    <t>=(1336+10) + (1306+10) + (1276+10) + (1246+10) + (776+10) + [10]</t>
  </si>
  <si>
    <t>=(1336+10) + (1316+10) + (1246+10) + (1066+10) + (976+10) + [10]</t>
  </si>
  <si>
    <t>=(1336+10) + (1336+10) + (1316+10) + (1246+10) + (706+10) + [10]</t>
  </si>
  <si>
    <t>=(1406+10) + (1306+10) + (1266+10) + (1256+10) + (706+10) + [10]</t>
  </si>
  <si>
    <t>=(1406+10) + (1386+10) + (1306+10) + (1176+10) + (666+10) + [10]</t>
  </si>
  <si>
    <t>=(1406+10) + (1386+10) + (1336+10) + (976+10) + (836+10) + [10]</t>
  </si>
  <si>
    <t>=(1406+10) + (1396+10) + (1066+10) + (1066+10) + (1006+10) + [10]</t>
  </si>
  <si>
    <t>=(1416+10) + (1386+10) + (1266+10) + (1176+10) + (696+10) + [10]</t>
  </si>
  <si>
    <t>=(1416+10) + (1396+10) + (1326+10) + (1306+10) + (496+10) + [10]</t>
  </si>
  <si>
    <t>=(1426+10) + (1376+10) + (1166+10) + (1166+10) + (806+10) + [10]</t>
  </si>
  <si>
    <t>=(1426+10) + (1386+10) + (1306+10) + (1136+10) + (686+10) + [10]</t>
  </si>
  <si>
    <t>=(1426+10) + (1396+10) + (1176+10) + (1136+10) + (806+10) + [10]</t>
  </si>
  <si>
    <t>=(1426+10) + (1396+10) + (1316+10) + (1116+10) + (686+10) + [10]</t>
  </si>
  <si>
    <t>=(1426+10) + (1406+10) + (1396+10) + (956+10) + (756+10) + [10]</t>
  </si>
  <si>
    <t>=(1426+10) + (1416+10) + (1336+10) + (1306+10) + (456+10) + [10]</t>
  </si>
  <si>
    <t>=(1436+10) + (1396+10) + (1336+10) + (1016+10) + (756+10) + [10]</t>
  </si>
  <si>
    <t>=(1436+10) + (1406+10) + (1336+10) + (1016+10) + (746+10) + [10]</t>
  </si>
  <si>
    <t>=(1436+10) + (1426+10) + (1336+10) + (1066+10) + (676+10) + [10]</t>
  </si>
  <si>
    <t>=(1456+10) + (1326+10) + (1246+10) + (1166+10) + (746+10) + [10]</t>
  </si>
  <si>
    <t>=(1476+10) + (1326+10) + (1326+10) + (976+10) + (836+10) + [10]</t>
  </si>
  <si>
    <t>=(1476+10) + (1456+10) + (1186+10) + (1066+10) + (756+10) + [10]</t>
  </si>
  <si>
    <t>=(1496+10) + (1326+10) + (1166+10) + (976+10) + (976+10) + [10]</t>
  </si>
  <si>
    <t>=(1506+10) + (1326+10) + (1306+10) + (956+10) + (846+10) + [10]</t>
  </si>
  <si>
    <t>=(1506+10) + (1386+10) + (1276+10) + (1166+10) + (606+10) + [10]</t>
  </si>
  <si>
    <t>=(1526+10) + (1156+10) + (1156+10) + (1126+10) + (976+10) + [10]</t>
  </si>
  <si>
    <t>=(1526+10) + (1336+10) + (1166+10) + (1136+10) + (776+10) + [10]</t>
  </si>
  <si>
    <t>=(1526+10) + (1346+10) + (1196+10) + (1166+10) + (706+10) + [10]</t>
  </si>
  <si>
    <t>=(1526+10) + (1386+10) + (1316+10) + (866+10) + (846+10) + [10]</t>
  </si>
  <si>
    <t>=(1526+10) + (1406+10) + (1336+10) + (976+10) + (696+10) + [10]</t>
  </si>
  <si>
    <t>=(1526+10) + (1436+10) + (1176+10) + (1166+10) + (636+10) + [10]</t>
  </si>
  <si>
    <t>=(1526+10) + (1506+10) + (1416+10) + (796+10) + (696+10) + [10]</t>
  </si>
  <si>
    <t>=(1526+10) + (1526+10) + (1346+10) + (836+10) + (706+10) + [10]</t>
  </si>
  <si>
    <t>=(1576+10) + (1316+10) + (1196+10) + (1186+10) + (666+10) + [10]</t>
  </si>
  <si>
    <t>=(1576+10) + (1336+10) + (1166+10) + (1066+10) + (796+10) + [10]</t>
  </si>
  <si>
    <t>=(1836+10) + (1326+10) + (1316+10) + (756+10) + (706+10) + [10]</t>
  </si>
  <si>
    <t>=(1836+10) + (1396+10) + (1196+10) + (836+10) + (676+10) + [10]</t>
  </si>
  <si>
    <t>=(1906+10) + (1396+10) + (1226+10) + (706+10) + (706+10) + [10]</t>
  </si>
  <si>
    <t>=(2036+10) + (1136+10) + (1066+10) + (1066+10) + (636+10) + [10]</t>
  </si>
  <si>
    <t>=(2066+10) + (1306+10) + (1196+10) + (696+10) + (676+10) + [10]</t>
  </si>
  <si>
    <t>=(2086+10) + (1306+10) + (1006+10) + (866+10) + (676+10) + [10]</t>
  </si>
  <si>
    <t>=(2106+10) + (1406+10) + (956+10) + (836+10) + (636+10) + [10]</t>
  </si>
  <si>
    <t>=(2126+10) + (1406+10) + (1166+10) + (686+10) + (556+10) + [10]</t>
  </si>
  <si>
    <t>=(2126+10) + (1506+10) + (1166+10) + (686+10) + (456+10) + [10]</t>
  </si>
  <si>
    <t>=(2176+10) + (1376+10) + (1196+10) + (636+10) + (556+10) + [10]</t>
  </si>
  <si>
    <t>=(2346+10) + (1326+10) + (956+10) + (706+10) + (606+10) + [10]</t>
  </si>
  <si>
    <t>=(2086+10) + (1936+10) + (1936+10) + [10]</t>
  </si>
  <si>
    <t>=(2286+10) + (2176+10) + (1496+10) + [10]</t>
  </si>
  <si>
    <t>=(2346+10) + (2106+10) + (1506+10) + [10]</t>
  </si>
  <si>
    <t>=(2036+10) + (1906+10) + (1506+10) + (496+10) + [10]</t>
  </si>
  <si>
    <t>=(2136+10) + (1426+10) + (1406+10) + (976+10) + [10]</t>
  </si>
  <si>
    <t>=(2286+10) + (2136+10) + (1526+10) + [10]</t>
  </si>
  <si>
    <t>=(2066+10) + [10]</t>
  </si>
  <si>
    <t>=(1386+10) + (1306+10) + (1156+10) + (1136+10) + (956+10) + [10]</t>
  </si>
  <si>
    <t>=(1406+10) + (1326+10) + (1276+10) + (1256+10) + (676+10) + [10]</t>
  </si>
  <si>
    <t>=(1416+10) + (1406+10) + (1336+10) + (1326+10) + (456+10) + [10]</t>
  </si>
  <si>
    <t>=(1426+10) + (1176+10) + (1166+10) + (1166+10) + (1006+10) + [10]</t>
  </si>
  <si>
    <t>=(1426+10) + (1336+10) + (1246+10) + (1226+10) + (706+10) + [10]</t>
  </si>
  <si>
    <t>=(1426+10) + (1336+10) + (1336+10) + (1136+10) + (706+10) + [10]</t>
  </si>
  <si>
    <t>=(1426+10) + (1396+10) + (1396+10) + (976+10) + (746+10) + [10]</t>
  </si>
  <si>
    <t>=(1436+10) + (1386+10) + (1316+10) + (1166+10) + (636+10) + [10]</t>
  </si>
  <si>
    <t>=(1456+10) + (1406+10) + (1316+10) + (1066+10) + (696+10) + [10]</t>
  </si>
  <si>
    <t>=(1476+10) + (1406+10) + (1196+10) + (1166+10) + (696+10) + [10]</t>
  </si>
  <si>
    <t>=(1496+10) + (1336+10) + (1186+10) + (1166+10) + (756+10) + [10]</t>
  </si>
  <si>
    <t>=(1506+10) + (1326+10) + (1246+10) + (1066+10) + (796+10) + [10]</t>
  </si>
  <si>
    <t>=(1526+10) + (1386+10) + (1346+10) + (976+10) + (706+10) + [10]</t>
  </si>
  <si>
    <t>=(1526+10) + (1416+10) + (1306+10) + (1016+10) + (676+10) + [10]</t>
  </si>
  <si>
    <t>=(1526+10) + (1506+10) + (976+10) + (976+10) + (956+10) + [10]</t>
  </si>
  <si>
    <t>=(1526+10) + (1526+10) + (1396+10) + (806+10) + (686+10) + [10]</t>
  </si>
  <si>
    <t>=(1576+10) + (1506+10) + (1176+10) + (846+10) + (836+10) + [10]</t>
  </si>
  <si>
    <t>=(1906+10) + (1306+10) + (1196+10) + (866+10) + (666+10) + [10]</t>
  </si>
  <si>
    <t>=(1936+10) + (1396+10) + (1316+10) + (686+10) + (606+10) + [10]</t>
  </si>
  <si>
    <t>=(2106+10) + (1326+10) + (1196+10) + (756+10) + (556+10) + [10]</t>
  </si>
  <si>
    <t>=(2136+10) + (1126+10) + (1066+10) + (836+10) + (776+10) + [10]</t>
  </si>
  <si>
    <t>=(2286+10) + (1116+10) + (1066+10) + (836+10) + (636+10) + [10]</t>
  </si>
  <si>
    <t>=(2086+10) + (2036+10) + (1836+10) + [10]</t>
  </si>
  <si>
    <t>=(2066+10) + (1406+10) + (1306+10) + (1166+10) + [10]</t>
  </si>
  <si>
    <t>=(2126+10) + (1376+10) + (496+10) + [10]</t>
  </si>
  <si>
    <t>=(2613+10) + (1449+10) + (1285+10) + (600+10) + [10]</t>
  </si>
  <si>
    <t>=(1929+10) + (1391+10) + (1315+10 - 2 шт.) + [10]</t>
  </si>
  <si>
    <t>=(1655+10) + (1535+10 - 2 шт.) + (1225+10) + [10]</t>
  </si>
  <si>
    <t>=(2255+10 - 2 шт.) + (1449+10) + [10]</t>
  </si>
  <si>
    <t>=(2095+10) + (1929+10 - 2 шт.) + [10]</t>
  </si>
  <si>
    <t>=(1929+10) + (1605+10) + (749+10) + [10]</t>
  </si>
  <si>
    <t>=(1595+10 - 2 шт.) + (1535+10) + (1225+10) + [10]</t>
  </si>
  <si>
    <t>=(1535+10 - 3 шт.) + (1345+10) + [10]</t>
  </si>
  <si>
    <t>=(1655+10) + (1295+10) + (1285+10) + (955+10) + (749+10) + [10]</t>
  </si>
  <si>
    <t>=(2666+6) + (2260+6) + (1056+6)</t>
  </si>
  <si>
    <t>=(2666+6) + (1166+6) + (1086+6) + (1056+6)</t>
  </si>
  <si>
    <t>=(2666+6) + (2666+6) + (646+6)</t>
  </si>
  <si>
    <t>=(2666+6) + (1626+6) + (1626+6)</t>
  </si>
  <si>
    <t>=(1746+6) + (1746+6) + (1746+6) + (666+6)</t>
  </si>
  <si>
    <t>=(1436+6) + (586+6)</t>
  </si>
  <si>
    <t>=(1166+6) + (686+6)</t>
  </si>
  <si>
    <t>=(1626+6)</t>
  </si>
  <si>
    <t>=(2666+6) + (1166+6) + (1076+6) + (1056+6)</t>
  </si>
  <si>
    <t>=(2666+6) + (1086+6) + (1086+6) + (1056+6)</t>
  </si>
  <si>
    <t>=(1766+6) + (1766+6) + (1746+6) + (686+6)</t>
  </si>
  <si>
    <t>=(2660+6) + (2656+6) + (646+6)</t>
  </si>
  <si>
    <t>=(1746+6) + (1746+6) + (1356+6) + (1056+6)</t>
  </si>
  <si>
    <t>=(2656+6) + (1626+6) + (1626+6)</t>
  </si>
  <si>
    <t>=(1746+6) + (1746+6) + (666+6) + (586+6)</t>
  </si>
  <si>
    <t>=(1086+6)</t>
  </si>
  <si>
    <t>=(1526) + (1526) + (1506) + (1436)</t>
  </si>
  <si>
    <t>=(2066) + (1336) + (1336) + (1256)</t>
  </si>
  <si>
    <t>=(2346) + (2136) + (1506)</t>
  </si>
  <si>
    <t>=(1396) + (1306) + (1306) + (1306) + (686)</t>
  </si>
  <si>
    <t>=(1836) + (1416) + (1406) + (1336)</t>
  </si>
  <si>
    <t>=(2286) + (1506) + (1506) + (696)</t>
  </si>
  <si>
    <t>=(1336) + (1336) + (1326) + (1306) + (696)</t>
  </si>
  <si>
    <t>=(1396) + (1326) + (1326) + (1316) + (636)</t>
  </si>
  <si>
    <t>=(1396) + (1336) + (1336) + (1066) + (866)</t>
  </si>
  <si>
    <t>=(1406) + (1326) + (1326) + (1306) + (636)</t>
  </si>
  <si>
    <t>=(1406) + (1406) + (1396) + (1136) + (656)</t>
  </si>
  <si>
    <t>=(1416) + (1406) + (1406) + (1066) + (706)</t>
  </si>
  <si>
    <t>=(1526) + (1346) + (1306) + (1136) + (686)</t>
  </si>
  <si>
    <t>=(1526) + (1526) + (1526) + (1416)</t>
  </si>
  <si>
    <t>=(1906) + (1506) + (1316) + (1266)</t>
  </si>
  <si>
    <t>=(2066) + (1326) + (1326) + (1276)</t>
  </si>
  <si>
    <t>=(2086) + (1436) + (1406) + (1066)</t>
  </si>
  <si>
    <t>=(2086) + (1506) + (1336) + (1066)</t>
  </si>
  <si>
    <t>=(2106) + (1416) + (1406) + (1066)</t>
  </si>
  <si>
    <t>=(2106) + (1906) + (1326) + (656)</t>
  </si>
  <si>
    <t>=(2126) + (1396) + (1306) + (1166)</t>
  </si>
  <si>
    <t>=(2126) + (1406) + (1336) + (1126)</t>
  </si>
  <si>
    <t>=(2136) + (1396) + (1336) + (1126)</t>
  </si>
  <si>
    <t>=(2176) + (1396) + (1256) + (1166)</t>
  </si>
  <si>
    <t>=(1376) + (1336) + (1326) + (1276) + (676)</t>
  </si>
  <si>
    <t>=(2286) + (2176) + (1526)</t>
  </si>
  <si>
    <t>=(1836) + (1406) + (1396) + (1346)</t>
  </si>
  <si>
    <t>=(2346) + (1306) + (1266) + (1066)</t>
  </si>
  <si>
    <t>=(1336) + (1326) + (1306) + (1306) + (706)</t>
  </si>
  <si>
    <t>=(1526) + (1376) + (866) + (676)</t>
  </si>
  <si>
    <t>=(980) + (1040 - 2 шт.) + (1130) + (1305 - 2 шт.)</t>
  </si>
  <si>
    <t>=(630) + (1040 - 2 шт.) + (1305 - 2 шт.) + (1480)</t>
  </si>
  <si>
    <t>=(630) + (1040 - 2 шт.) + (1130) + (1480 - 2 шт.)</t>
  </si>
  <si>
    <t>=(1280 - 3 шт.) + (1480 - 2 шт.)</t>
  </si>
  <si>
    <t>=(680 - 3 шт.) + (930) + (1040) + (1305) + (1480)</t>
  </si>
  <si>
    <t>=(630) + (930) + (1305 - 4 шт.)</t>
  </si>
  <si>
    <t>=(1130 - 6 шт.)</t>
  </si>
  <si>
    <t>=(630 - 2 шт.)</t>
  </si>
  <si>
    <t>=(930 - 2 шт.) + (1040) + (1280) + (1305 - 2 шт.)</t>
  </si>
  <si>
    <t>=(1040) + (1305) + (1480 - 3 шт.)</t>
  </si>
  <si>
    <t>=(1040 - 2 шт.) + (1305) + (1705 - 2 шт.)</t>
  </si>
  <si>
    <t>=(930) + (1040 - 4 шт.) + (1705)</t>
  </si>
  <si>
    <t>=(680) + (930) + (1040) + (1130) + (1305) + (1705)</t>
  </si>
  <si>
    <t>=(630 - 2 шт.) + (680) + (930) + (980 - 4 шт.)</t>
  </si>
  <si>
    <t>=(1520) + (1930) + (2150)</t>
  </si>
  <si>
    <t>=(1520) + (1880) + (2200)</t>
  </si>
  <si>
    <t>=(1560) + (1880) + (2150)</t>
  </si>
  <si>
    <t>=(1520) + (1930) + (2140)</t>
  </si>
  <si>
    <t>=(1560) + (1820) + (2200)</t>
  </si>
  <si>
    <t>=(1380) + (2100 - 2 шт.)</t>
  </si>
  <si>
    <t>=(1380) + (2000) + (2200)</t>
  </si>
  <si>
    <t>=(1820 - 2 шт.) + (1930)</t>
  </si>
  <si>
    <t>=(1380) + (1820 - 2 шт.)</t>
  </si>
  <si>
    <t>=(1710) + (1820) + (2050)</t>
  </si>
  <si>
    <t>=(1380) + (2050) + (2150)</t>
  </si>
  <si>
    <t>=(1710 - 2 шт.) + (2140)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</si>
</sst>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;\-#,##0;\-"/>
    <numFmt numFmtId="165" formatCode="&quot;всего: &quot;#,##0&quot; шт.&quot;;\-#,##0;\-"/>
    <numFmt numFmtId="166" formatCode="0&quot; шт.&quot;"/>
  </numFmts>
  <fonts count="31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8"/>
      <color rgb="FF000000"/>
      <name val="Tahoma"/>
      <family val="2"/>
      <charset val="204"/>
    </font>
    <font>
      <b/>
      <sz val="10"/>
      <name val="Arial Cyr"/>
      <charset val="204"/>
    </font>
    <font>
      <sz val="10"/>
      <color theme="0"/>
      <name val="Arial Cyr"/>
      <charset val="204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CC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1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/>
      <right/>
      <top/>
      <bottom style="thin">
        <color indexed="0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0"/>
      </top>
      <bottom style="hair">
        <color indexed="64"/>
      </bottom>
      <diagonal/>
    </border>
  </borders>
  <cellStyleXfs count="48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9" borderId="0" applyNumberFormat="0" applyBorder="0" applyAlignment="0" applyProtection="0"/>
    <xf numFmtId="0" fontId="6" fillId="7" borderId="1" applyNumberFormat="0" applyAlignment="0" applyProtection="0"/>
    <xf numFmtId="0" fontId="7" fillId="20" borderId="2" applyNumberFormat="0" applyAlignment="0" applyProtection="0"/>
    <xf numFmtId="0" fontId="8" fillId="20" borderId="1" applyNumberFormat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0" borderId="6" applyNumberFormat="0" applyFill="0" applyAlignment="0" applyProtection="0"/>
    <xf numFmtId="0" fontId="13" fillId="21" borderId="7" applyNumberFormat="0" applyAlignment="0" applyProtection="0"/>
    <xf numFmtId="0" fontId="14" fillId="0" borderId="0" applyNumberFormat="0" applyFill="0" applyBorder="0" applyAlignment="0" applyProtection="0"/>
    <xf numFmtId="0" fontId="15" fillId="22" borderId="0" applyNumberFormat="0" applyBorder="0" applyAlignment="0" applyProtection="0"/>
    <xf numFmtId="0" fontId="22" fillId="0" borderId="0"/>
    <xf numFmtId="0" fontId="21" fillId="0" borderId="0"/>
    <xf numFmtId="0" fontId="16" fillId="3" borderId="0" applyNumberFormat="0" applyBorder="0" applyAlignment="0" applyProtection="0"/>
    <xf numFmtId="0" fontId="17" fillId="0" borderId="0" applyNumberFormat="0" applyFill="0" applyBorder="0" applyAlignment="0" applyProtection="0"/>
    <xf numFmtId="0" fontId="21" fillId="23" borderId="8" applyNumberFormat="0" applyFont="0" applyAlignment="0" applyProtection="0"/>
    <xf numFmtId="9" fontId="3" fillId="0" borderId="0" applyFont="0" applyFill="0" applyBorder="0" applyAlignment="0" applyProtection="0"/>
    <xf numFmtId="0" fontId="18" fillId="0" borderId="9" applyNumberFormat="0" applyFill="0" applyAlignment="0" applyProtection="0"/>
    <xf numFmtId="0" fontId="19" fillId="0" borderId="0" applyNumberFormat="0" applyFill="0" applyBorder="0" applyAlignment="0" applyProtection="0"/>
    <xf numFmtId="0" fontId="20" fillId="4" borderId="0" applyNumberFormat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</cellStyleXfs>
  <cellXfs count="76">
    <xf numFmtId="0" fontId="0" fillId="0" borderId="0" xfId="0"/>
    <xf numFmtId="0" fontId="22" fillId="0" borderId="0" xfId="36"/>
    <xf numFmtId="0" fontId="24" fillId="0" borderId="0" xfId="36" applyFont="1"/>
    <xf numFmtId="0" fontId="24" fillId="24" borderId="10" xfId="36" applyFont="1" applyFill="1" applyBorder="1" applyAlignment="1">
      <alignment horizontal="center" vertical="center"/>
    </xf>
    <xf numFmtId="0" fontId="24" fillId="24" borderId="10" xfId="36" applyFont="1" applyFill="1" applyBorder="1" applyAlignment="1">
      <alignment horizontal="center" vertical="center" wrapText="1"/>
    </xf>
    <xf numFmtId="0" fontId="24" fillId="24" borderId="14" xfId="36" applyFont="1" applyFill="1" applyBorder="1" applyAlignment="1">
      <alignment horizontal="center" vertical="center"/>
    </xf>
    <xf numFmtId="0" fontId="24" fillId="24" borderId="14" xfId="36" applyFont="1" applyFill="1" applyBorder="1" applyAlignment="1">
      <alignment horizontal="center" vertical="center" wrapText="1"/>
    </xf>
    <xf numFmtId="0" fontId="22" fillId="26" borderId="13" xfId="36" applyFill="1" applyBorder="1" applyProtection="1">
      <protection locked="0"/>
    </xf>
    <xf numFmtId="0" fontId="22" fillId="26" borderId="12" xfId="36" applyFill="1" applyBorder="1" applyProtection="1">
      <protection locked="0"/>
    </xf>
    <xf numFmtId="164" fontId="22" fillId="27" borderId="11" xfId="36" applyNumberFormat="1" applyFill="1" applyBorder="1" applyProtection="1">
      <protection locked="0"/>
    </xf>
    <xf numFmtId="164" fontId="22" fillId="27" borderId="13" xfId="36" applyNumberFormat="1" applyFill="1" applyBorder="1" applyProtection="1">
      <protection locked="0"/>
    </xf>
    <xf numFmtId="164" fontId="22" fillId="27" borderId="12" xfId="36" applyNumberFormat="1" applyFill="1" applyBorder="1" applyProtection="1">
      <protection locked="0"/>
    </xf>
    <xf numFmtId="0" fontId="24" fillId="0" borderId="15" xfId="36" applyFont="1" applyBorder="1"/>
    <xf numFmtId="0" fontId="22" fillId="0" borderId="15" xfId="36" applyBorder="1"/>
    <xf numFmtId="10" fontId="23" fillId="0" borderId="15" xfId="41" applyNumberFormat="1" applyFont="1" applyBorder="1"/>
    <xf numFmtId="0" fontId="26" fillId="0" borderId="0" xfId="36" applyFont="1"/>
    <xf numFmtId="3" fontId="26" fillId="0" borderId="0" xfId="36" applyNumberFormat="1" applyFont="1"/>
    <xf numFmtId="0" fontId="23" fillId="0" borderId="0" xfId="36" applyFont="1"/>
    <xf numFmtId="0" fontId="22" fillId="25" borderId="11" xfId="36" applyFill="1" applyBorder="1" applyProtection="1">
      <protection locked="0"/>
    </xf>
    <xf numFmtId="0" fontId="22" fillId="25" borderId="13" xfId="36" applyFill="1" applyBorder="1" applyProtection="1">
      <protection locked="0"/>
    </xf>
    <xf numFmtId="0" fontId="22" fillId="25" borderId="12" xfId="36" applyFill="1" applyBorder="1" applyProtection="1">
      <protection locked="0"/>
    </xf>
    <xf numFmtId="0" fontId="23" fillId="0" borderId="0" xfId="36" applyFont="1" applyProtection="1">
      <protection locked="0"/>
    </xf>
    <xf numFmtId="0" fontId="25" fillId="0" borderId="0" xfId="36" applyFont="1" applyProtection="1">
      <protection locked="0"/>
    </xf>
    <xf numFmtId="165" fontId="27" fillId="28" borderId="10" xfId="36" applyNumberFormat="1" applyFont="1" applyFill="1" applyBorder="1" applyAlignment="1">
      <alignment horizontal="right"/>
    </xf>
    <xf numFmtId="164" fontId="22" fillId="28" borderId="11" xfId="36" applyNumberFormat="1" applyFill="1" applyBorder="1"/>
    <xf numFmtId="164" fontId="22" fillId="28" borderId="13" xfId="36" applyNumberFormat="1" applyFill="1" applyBorder="1"/>
    <xf numFmtId="164" fontId="22" fillId="28" borderId="12" xfId="36" applyNumberFormat="1" applyFill="1" applyBorder="1"/>
    <xf numFmtId="164" fontId="24" fillId="28" borderId="10" xfId="36" applyNumberFormat="1" applyFont="1" applyFill="1" applyBorder="1"/>
    <xf numFmtId="164" fontId="26" fillId="28" borderId="11" xfId="36" applyNumberFormat="1" applyFont="1" applyFill="1" applyBorder="1"/>
    <xf numFmtId="164" fontId="26" fillId="28" borderId="13" xfId="36" applyNumberFormat="1" applyFont="1" applyFill="1" applyBorder="1"/>
    <xf numFmtId="164" fontId="26" fillId="28" borderId="12" xfId="36" applyNumberFormat="1" applyFont="1" applyFill="1" applyBorder="1"/>
    <xf numFmtId="3" fontId="24" fillId="28" borderId="14" xfId="36" applyNumberFormat="1" applyFont="1" applyFill="1" applyBorder="1"/>
    <xf numFmtId="165" fontId="27" fillId="28" borderId="14" xfId="36" applyNumberFormat="1" applyFont="1" applyFill="1" applyBorder="1" applyAlignment="1">
      <alignment horizontal="right"/>
    </xf>
    <xf numFmtId="0" fontId="24" fillId="28" borderId="14" xfId="36" quotePrefix="1" applyFont="1" applyFill="1" applyBorder="1"/>
    <xf numFmtId="3" fontId="22" fillId="28" borderId="13" xfId="36" applyNumberFormat="1" applyFill="1" applyBorder="1"/>
    <xf numFmtId="3" fontId="22" fillId="28" borderId="12" xfId="36" applyNumberFormat="1" applyFill="1" applyBorder="1"/>
    <xf numFmtId="3" fontId="22" fillId="28" borderId="11" xfId="36" applyNumberFormat="1" applyFill="1" applyBorder="1"/>
    <xf numFmtId="164" fontId="22" fillId="29" borderId="10" xfId="36" applyNumberFormat="1" applyFill="1" applyBorder="1" applyProtection="1">
      <protection locked="0"/>
    </xf>
    <xf numFmtId="0" fontId="27" fillId="0" borderId="0" xfId="36" applyFont="1"/>
    <xf numFmtId="164" fontId="26" fillId="29" borderId="10" xfId="36" applyNumberFormat="1" applyFont="1" applyFill="1" applyBorder="1" applyProtection="1">
      <protection locked="0"/>
    </xf>
    <xf numFmtId="164" fontId="26" fillId="0" borderId="0" xfId="36" applyNumberFormat="1" applyFont="1" applyProtection="1">
      <protection locked="0"/>
    </xf>
    <xf numFmtId="164" fontId="22" fillId="25" borderId="11" xfId="36" applyNumberFormat="1" applyFill="1" applyBorder="1" applyProtection="1">
      <protection locked="0"/>
    </xf>
    <xf numFmtId="164" fontId="22" fillId="25" borderId="13" xfId="36" applyNumberFormat="1" applyFill="1" applyBorder="1" applyProtection="1">
      <protection locked="0"/>
    </xf>
    <xf numFmtId="164" fontId="22" fillId="25" borderId="12" xfId="36" applyNumberFormat="1" applyFill="1" applyBorder="1" applyProtection="1">
      <protection locked="0"/>
    </xf>
    <xf numFmtId="0" fontId="22" fillId="26" borderId="11" xfId="36" applyFill="1" applyBorder="1" applyProtection="1">
      <protection locked="0"/>
    </xf>
    <xf numFmtId="0" fontId="0" fillId="0" borderId="13" xfId="0" applyBorder="1"/>
    <xf numFmtId="0" fontId="0" fillId="0" borderId="12" xfId="0" applyBorder="1"/>
    <xf numFmtId="3" fontId="23" fillId="0" borderId="0" xfId="36" applyNumberFormat="1" applyFont="1"/>
    <xf numFmtId="1" fontId="22" fillId="27" borderId="11" xfId="36" applyNumberFormat="1" applyFill="1" applyBorder="1" applyProtection="1">
      <protection locked="0"/>
    </xf>
    <xf numFmtId="1" fontId="22" fillId="27" borderId="13" xfId="36" applyNumberFormat="1" applyFill="1" applyBorder="1" applyProtection="1">
      <protection locked="0"/>
    </xf>
    <xf numFmtId="1" fontId="22" fillId="27" borderId="12" xfId="36" applyNumberFormat="1" applyFill="1" applyBorder="1" applyProtection="1">
      <protection locked="0"/>
    </xf>
    <xf numFmtId="1" fontId="22" fillId="25" borderId="11" xfId="36" applyNumberFormat="1" applyFill="1" applyBorder="1" applyProtection="1">
      <protection locked="0"/>
    </xf>
    <xf numFmtId="1" fontId="22" fillId="25" borderId="13" xfId="36" applyNumberFormat="1" applyFill="1" applyBorder="1" applyProtection="1">
      <protection locked="0"/>
    </xf>
    <xf numFmtId="1" fontId="22" fillId="25" borderId="12" xfId="36" applyNumberFormat="1" applyFill="1" applyBorder="1" applyProtection="1">
      <protection locked="0"/>
    </xf>
    <xf numFmtId="1" fontId="22" fillId="26" borderId="11" xfId="36" applyNumberFormat="1" applyFill="1" applyBorder="1" applyProtection="1">
      <protection locked="0"/>
    </xf>
    <xf numFmtId="1" fontId="22" fillId="26" borderId="13" xfId="36" applyNumberFormat="1" applyFill="1" applyBorder="1" applyProtection="1">
      <protection locked="0"/>
    </xf>
    <xf numFmtId="1" fontId="22" fillId="26" borderId="12" xfId="36" applyNumberFormat="1" applyFill="1" applyBorder="1" applyProtection="1">
      <protection locked="0"/>
    </xf>
    <xf numFmtId="0" fontId="0" fillId="0" borderId="11" xfId="0" applyBorder="1"/>
    <xf numFmtId="0" fontId="0" fillId="26" borderId="11" xfId="0" applyFill="1" applyBorder="1" applyAlignment="1" applyProtection="1">
      <alignment horizontal="center"/>
      <protection locked="0"/>
    </xf>
    <xf numFmtId="0" fontId="0" fillId="26" borderId="13" xfId="0" applyFill="1" applyBorder="1" applyAlignment="1" applyProtection="1">
      <alignment horizontal="center"/>
      <protection locked="0"/>
    </xf>
    <xf numFmtId="0" fontId="0" fillId="26" borderId="12" xfId="0" applyFill="1" applyBorder="1" applyAlignment="1" applyProtection="1">
      <alignment horizontal="center"/>
      <protection locked="0"/>
    </xf>
    <xf numFmtId="0" fontId="29" fillId="0" borderId="0" xfId="0" applyFont="1"/>
    <xf numFmtId="0" fontId="0" fillId="0" borderId="16" xfId="0" applyBorder="1"/>
    <xf numFmtId="0" fontId="0" fillId="26" borderId="16" xfId="0" applyFill="1" applyBorder="1" applyAlignment="1" applyProtection="1">
      <alignment horizontal="center"/>
      <protection locked="0"/>
    </xf>
    <xf numFmtId="0" fontId="30" fillId="0" borderId="0" xfId="0" applyFont="1" applyProtection="1">
      <protection locked="0"/>
    </xf>
    <xf numFmtId="0" fontId="0" fillId="0" borderId="17" xfId="0" applyBorder="1"/>
    <xf numFmtId="0" fontId="29" fillId="0" borderId="17" xfId="0" applyFont="1" applyBorder="1"/>
    <xf numFmtId="0" fontId="29" fillId="0" borderId="13" xfId="0" applyFont="1" applyBorder="1"/>
    <xf numFmtId="0" fontId="29" fillId="0" borderId="12" xfId="0" applyFont="1" applyBorder="1"/>
    <xf numFmtId="0" fontId="29" fillId="0" borderId="17" xfId="0" quotePrefix="1" applyFont="1" applyBorder="1"/>
    <xf numFmtId="0" fontId="29" fillId="0" borderId="13" xfId="0" quotePrefix="1" applyFont="1" applyBorder="1"/>
    <xf numFmtId="0" fontId="29" fillId="0" borderId="12" xfId="0" quotePrefix="1" applyFont="1" applyBorder="1"/>
    <xf numFmtId="166" fontId="29" fillId="0" borderId="17" xfId="0" applyNumberFormat="1" applyFont="1" applyBorder="1"/>
    <xf numFmtId="166" fontId="29" fillId="0" borderId="13" xfId="0" applyNumberFormat="1" applyFont="1" applyBorder="1"/>
    <xf numFmtId="166" fontId="29" fillId="0" borderId="12" xfId="0" applyNumberFormat="1" applyFont="1" applyBorder="1"/>
    <xf numFmtId="164" fontId="1" fillId="25" borderId="13" xfId="36" applyNumberFormat="1" applyFont="1" applyFill="1" applyBorder="1" applyProtection="1">
      <protection locked="0"/>
    </xf>
  </cellXfs>
  <cellStyles count="48">
    <cellStyle name="20% - Акцент1 2" xfId="1" xr:uid="{00000000-0005-0000-0000-000000000000}"/>
    <cellStyle name="20% - Акцент2 2" xfId="2" xr:uid="{00000000-0005-0000-0000-000001000000}"/>
    <cellStyle name="20% - Акцент3 2" xfId="3" xr:uid="{00000000-0005-0000-0000-000002000000}"/>
    <cellStyle name="20% - Акцент4 2" xfId="4" xr:uid="{00000000-0005-0000-0000-000003000000}"/>
    <cellStyle name="20% - Акцент5 2" xfId="5" xr:uid="{00000000-0005-0000-0000-000004000000}"/>
    <cellStyle name="20% - Акцент6 2" xfId="6" xr:uid="{00000000-0005-0000-0000-000005000000}"/>
    <cellStyle name="40% - Акцент1 2" xfId="7" xr:uid="{00000000-0005-0000-0000-000006000000}"/>
    <cellStyle name="40% - Акцент2 2" xfId="8" xr:uid="{00000000-0005-0000-0000-000007000000}"/>
    <cellStyle name="40% - Акцент3 2" xfId="9" xr:uid="{00000000-0005-0000-0000-000008000000}"/>
    <cellStyle name="40% - Акцент4 2" xfId="10" xr:uid="{00000000-0005-0000-0000-000009000000}"/>
    <cellStyle name="40% - Акцент5 2" xfId="11" xr:uid="{00000000-0005-0000-0000-00000A000000}"/>
    <cellStyle name="40% - Акцент6 2" xfId="12" xr:uid="{00000000-0005-0000-0000-00000B000000}"/>
    <cellStyle name="60% - Акцент1 2" xfId="13" xr:uid="{00000000-0005-0000-0000-00000C000000}"/>
    <cellStyle name="60% - Акцент2 2" xfId="14" xr:uid="{00000000-0005-0000-0000-00000D000000}"/>
    <cellStyle name="60% - Акцент3 2" xfId="15" xr:uid="{00000000-0005-0000-0000-00000E000000}"/>
    <cellStyle name="60% - Акцент4 2" xfId="16" xr:uid="{00000000-0005-0000-0000-00000F000000}"/>
    <cellStyle name="60% - Акцент5 2" xfId="17" xr:uid="{00000000-0005-0000-0000-000010000000}"/>
    <cellStyle name="60% - Акцент6 2" xfId="18" xr:uid="{00000000-0005-0000-0000-000011000000}"/>
    <cellStyle name="Акцент1 2" xfId="19" xr:uid="{00000000-0005-0000-0000-000012000000}"/>
    <cellStyle name="Акцент2 2" xfId="20" xr:uid="{00000000-0005-0000-0000-000013000000}"/>
    <cellStyle name="Акцент3 2" xfId="21" xr:uid="{00000000-0005-0000-0000-000014000000}"/>
    <cellStyle name="Акцент4 2" xfId="22" xr:uid="{00000000-0005-0000-0000-000015000000}"/>
    <cellStyle name="Акцент5 2" xfId="23" xr:uid="{00000000-0005-0000-0000-000016000000}"/>
    <cellStyle name="Акцент6 2" xfId="24" xr:uid="{00000000-0005-0000-0000-000017000000}"/>
    <cellStyle name="Ввод  2" xfId="25" xr:uid="{00000000-0005-0000-0000-000018000000}"/>
    <cellStyle name="Вывод 2" xfId="26" xr:uid="{00000000-0005-0000-0000-000019000000}"/>
    <cellStyle name="Вычисление 2" xfId="27" xr:uid="{00000000-0005-0000-0000-00001A000000}"/>
    <cellStyle name="Заголовок 1 2" xfId="28" xr:uid="{00000000-0005-0000-0000-00001B000000}"/>
    <cellStyle name="Заголовок 2 2" xfId="29" xr:uid="{00000000-0005-0000-0000-00001C000000}"/>
    <cellStyle name="Заголовок 3 2" xfId="30" xr:uid="{00000000-0005-0000-0000-00001D000000}"/>
    <cellStyle name="Заголовок 4 2" xfId="31" xr:uid="{00000000-0005-0000-0000-00001E000000}"/>
    <cellStyle name="Итог 2" xfId="32" xr:uid="{00000000-0005-0000-0000-00001F000000}"/>
    <cellStyle name="Контрольная ячейка 2" xfId="33" xr:uid="{00000000-0005-0000-0000-000020000000}"/>
    <cellStyle name="Название 2" xfId="34" xr:uid="{00000000-0005-0000-0000-000021000000}"/>
    <cellStyle name="Нейтральный 2" xfId="35" xr:uid="{00000000-0005-0000-0000-000022000000}"/>
    <cellStyle name="Обычный" xfId="0" builtinId="0"/>
    <cellStyle name="Обычный 2" xfId="36" xr:uid="{00000000-0005-0000-0000-000024000000}"/>
    <cellStyle name="Обычный 3" xfId="37" xr:uid="{00000000-0005-0000-0000-000025000000}"/>
    <cellStyle name="Обычный 4" xfId="45" xr:uid="{00000000-0005-0000-0000-000026000000}"/>
    <cellStyle name="Обычный 5" xfId="46" xr:uid="{00000000-0005-0000-0000-000027000000}"/>
    <cellStyle name="Плохой 2" xfId="38" xr:uid="{00000000-0005-0000-0000-000028000000}"/>
    <cellStyle name="Пояснение 2" xfId="39" xr:uid="{00000000-0005-0000-0000-000029000000}"/>
    <cellStyle name="Примечание 2" xfId="40" xr:uid="{00000000-0005-0000-0000-00002A000000}"/>
    <cellStyle name="Процентный" xfId="41" builtinId="5"/>
    <cellStyle name="Процентный 2" xfId="47" xr:uid="{00000000-0005-0000-0000-00002C000000}"/>
    <cellStyle name="Связанная ячейка 2" xfId="42" xr:uid="{00000000-0005-0000-0000-00002D000000}"/>
    <cellStyle name="Текст предупреждения 2" xfId="43" xr:uid="{00000000-0005-0000-0000-00002E000000}"/>
    <cellStyle name="Хороший 2" xfId="44" xr:uid="{00000000-0005-0000-0000-00002F000000}"/>
  </cellStyles>
  <dxfs count="1">
    <dxf>
      <font>
        <color theme="0" tint="-0.34998626667073579"/>
      </font>
    </dxf>
  </dxfs>
  <tableStyles count="0" defaultTableStyle="TableStyleMedium2" defaultPivotStyle="PivotStyleLight16"/>
  <colors>
    <mruColors>
      <color rgb="FFFFFFCC"/>
      <color rgb="FFCCFFCC"/>
      <color rgb="FFFFCC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16" fmlaLink="$H$15" fmlaRange="$G$15:$G$19" noThreeD="1" sel="5" val="0"/>
</file>

<file path=xl/ctrlProps/ctrlProp2.xml><?xml version="1.0" encoding="utf-8"?>
<formControlPr xmlns="http://schemas.microsoft.com/office/spreadsheetml/2009/9/main" objectType="CheckBox" checked="Checked" fmlaLink="$E$15" lockText="1" noThreeD="1"/>
</file>

<file path=xl/ctrlProps/ctrlProp3.xml><?xml version="1.0" encoding="utf-8"?>
<formControlPr xmlns="http://schemas.microsoft.com/office/spreadsheetml/2009/9/main" objectType="CheckBox" checked="Checked" fmlaLink="$E$16" lockText="1" noThreeD="1"/>
</file>

<file path=xl/ctrlProps/ctrlProp4.xml><?xml version="1.0" encoding="utf-8"?>
<formControlPr xmlns="http://schemas.microsoft.com/office/spreadsheetml/2009/9/main" objectType="Drop" dropLines="2" dropStyle="combo" dx="16" fmlaLink="$H$16" fmlaRange="$J$97:$J$98" noThreeD="1" sel="1" val="0"/>
</file>

<file path=xl/ctrlProps/ctrlProp5.xml><?xml version="1.0" encoding="utf-8"?>
<formControlPr xmlns="http://schemas.microsoft.com/office/spreadsheetml/2009/9/main" objectType="CheckBox" fmlaLink="$F$17" lockText="1" noThreeD="1"/>
</file>

<file path=xl/ctrlProps/ctrlProp6.xml><?xml version="1.0" encoding="utf-8"?>
<formControlPr xmlns="http://schemas.microsoft.com/office/spreadsheetml/2009/9/main" objectType="CheckBox" fmlaLink="$E$17" lockText="1" noThreeD="1"/>
</file>

<file path=xl/ctrlProps/ctrlProp7.xml><?xml version="1.0" encoding="utf-8"?>
<formControlPr xmlns="http://schemas.microsoft.com/office/spreadsheetml/2009/9/main" objectType="Drop" dropStyle="combo" dx="16" fmlaLink="$H$15" fmlaRange="$G$15:$G$19" noThreeD="1" sel="5" val="0"/>
</file>

<file path=xl/ctrlProps/ctrlProp8.xml><?xml version="1.0" encoding="utf-8"?>
<formControlPr xmlns="http://schemas.microsoft.com/office/spreadsheetml/2009/9/main" objectType="CheckBox" checked="Checked" fmlaLink="$E$15" lockText="1" noThreeD="1"/>
</file>

<file path=xl/ctrlProps/ctrlProp9.xml><?xml version="1.0" encoding="utf-8"?>
<formControlPr xmlns="http://schemas.microsoft.com/office/spreadsheetml/2009/9/main" objectType="CheckBox" checked="Checked" fmlaLink="$E$16" lockText="1" noThreeD="1"/>
</file>

<file path=xl/ctrlProps/ctrlProp10.xml><?xml version="1.0" encoding="utf-8"?>
<formControlPr xmlns="http://schemas.microsoft.com/office/spreadsheetml/2009/9/main" objectType="Drop" dropLines="2" dropStyle="combo" dx="16" fmlaLink="$H$16" fmlaRange="$J$97:$J$98" noThreeD="1" sel="1" val="0"/>
</file>

<file path=xl/ctrlProps/ctrlProp11.xml><?xml version="1.0" encoding="utf-8"?>
<formControlPr xmlns="http://schemas.microsoft.com/office/spreadsheetml/2009/9/main" objectType="CheckBox" fmlaLink="$F$17" lockText="1" noThreeD="1"/>
</file>

<file path=xl/ctrlProps/ctrlProp12.xml><?xml version="1.0" encoding="utf-8"?>
<formControlPr xmlns="http://schemas.microsoft.com/office/spreadsheetml/2009/9/main" objectType="CheckBox" fmlaLink="$E$17" lockText="1" noThreeD="1"/>
</file>

<file path=xl/ctrlProps/ctrlProp13.xml><?xml version="1.0" encoding="utf-8"?>
<formControlPr xmlns="http://schemas.microsoft.com/office/spreadsheetml/2009/9/main" objectType="Drop" dropStyle="combo" dx="16" fmlaLink="$H$15" fmlaRange="$G$15:$G$19" noThreeD="1" sel="5" val="0"/>
</file>

<file path=xl/ctrlProps/ctrlProp14.xml><?xml version="1.0" encoding="utf-8"?>
<formControlPr xmlns="http://schemas.microsoft.com/office/spreadsheetml/2009/9/main" objectType="CheckBox" checked="Checked" fmlaLink="$E$15" lockText="1" noThreeD="1"/>
</file>

<file path=xl/ctrlProps/ctrlProp15.xml><?xml version="1.0" encoding="utf-8"?>
<formControlPr xmlns="http://schemas.microsoft.com/office/spreadsheetml/2009/9/main" objectType="CheckBox" checked="Checked" fmlaLink="$E$16" lockText="1" noThreeD="1"/>
</file>

<file path=xl/ctrlProps/ctrlProp16.xml><?xml version="1.0" encoding="utf-8"?>
<formControlPr xmlns="http://schemas.microsoft.com/office/spreadsheetml/2009/9/main" objectType="Drop" dropLines="2" dropStyle="combo" dx="16" fmlaLink="$H$16" fmlaRange="$J$97:$J$98" noThreeD="1" sel="1" val="0"/>
</file>

<file path=xl/ctrlProps/ctrlProp17.xml><?xml version="1.0" encoding="utf-8"?>
<formControlPr xmlns="http://schemas.microsoft.com/office/spreadsheetml/2009/9/main" objectType="CheckBox" fmlaLink="$F$17" lockText="1" noThreeD="1"/>
</file>

<file path=xl/ctrlProps/ctrlProp18.xml><?xml version="1.0" encoding="utf-8"?>
<formControlPr xmlns="http://schemas.microsoft.com/office/spreadsheetml/2009/9/main" objectType="CheckBox" checked="Checked" fmlaLink="$E$17" lockText="1" noThreeD="1"/>
</file>

<file path=xl/ctrlProps/ctrlProp19.xml><?xml version="1.0" encoding="utf-8"?>
<formControlPr xmlns="http://schemas.microsoft.com/office/spreadsheetml/2009/9/main" objectType="Drop" dropStyle="combo" dx="16" fmlaLink="$H$15" fmlaRange="$G$15:$G$19" noThreeD="1" sel="5" val="0"/>
</file>

<file path=xl/ctrlProps/ctrlProp20.xml><?xml version="1.0" encoding="utf-8"?>
<formControlPr xmlns="http://schemas.microsoft.com/office/spreadsheetml/2009/9/main" objectType="CheckBox" checked="Checked" fmlaLink="$E$15" lockText="1" noThreeD="1"/>
</file>

<file path=xl/ctrlProps/ctrlProp21.xml><?xml version="1.0" encoding="utf-8"?>
<formControlPr xmlns="http://schemas.microsoft.com/office/spreadsheetml/2009/9/main" objectType="CheckBox" checked="Checked" fmlaLink="$E$16" lockText="1" noThreeD="1"/>
</file>

<file path=xl/ctrlProps/ctrlProp22.xml><?xml version="1.0" encoding="utf-8"?>
<formControlPr xmlns="http://schemas.microsoft.com/office/spreadsheetml/2009/9/main" objectType="Drop" dropLines="2" dropStyle="combo" dx="16" fmlaLink="$H$16" fmlaRange="$J$97:$J$98" noThreeD="1" sel="1" val="0"/>
</file>

<file path=xl/ctrlProps/ctrlProp23.xml><?xml version="1.0" encoding="utf-8"?>
<formControlPr xmlns="http://schemas.microsoft.com/office/spreadsheetml/2009/9/main" objectType="CheckBox" fmlaLink="$F$17" lockText="1" noThreeD="1"/>
</file>

<file path=xl/ctrlProps/ctrlProp24.xml><?xml version="1.0" encoding="utf-8"?>
<formControlPr xmlns="http://schemas.microsoft.com/office/spreadsheetml/2009/9/main" objectType="CheckBox" fmlaLink="$E$17" lockText="1" noThreeD="1"/>
</file>

<file path=xl/ctrlProps/ctrlProp25.xml><?xml version="1.0" encoding="utf-8"?>
<formControlPr xmlns="http://schemas.microsoft.com/office/spreadsheetml/2009/9/main" objectType="Drop" dropStyle="combo" dx="16" fmlaLink="$H$15" fmlaRange="$G$15:$G$19" noThreeD="1" sel="5" val="0"/>
</file>

<file path=xl/ctrlProps/ctrlProp26.xml><?xml version="1.0" encoding="utf-8"?>
<formControlPr xmlns="http://schemas.microsoft.com/office/spreadsheetml/2009/9/main" objectType="CheckBox" checked="Checked" fmlaLink="$E$15" lockText="1" noThreeD="1"/>
</file>

<file path=xl/ctrlProps/ctrlProp27.xml><?xml version="1.0" encoding="utf-8"?>
<formControlPr xmlns="http://schemas.microsoft.com/office/spreadsheetml/2009/9/main" objectType="CheckBox" checked="Checked" fmlaLink="$E$16" lockText="1" noThreeD="1"/>
</file>

<file path=xl/ctrlProps/ctrlProp28.xml><?xml version="1.0" encoding="utf-8"?>
<formControlPr xmlns="http://schemas.microsoft.com/office/spreadsheetml/2009/9/main" objectType="Drop" dropLines="2" dropStyle="combo" dx="16" fmlaLink="$H$16" fmlaRange="$J$97:$J$98" noThreeD="1" sel="1" val="0"/>
</file>

<file path=xl/ctrlProps/ctrlProp29.xml><?xml version="1.0" encoding="utf-8"?>
<formControlPr xmlns="http://schemas.microsoft.com/office/spreadsheetml/2009/9/main" objectType="CheckBox" fmlaLink="$F$17" lockText="1" noThreeD="1"/>
</file>

<file path=xl/ctrlProps/ctrlProp30.xml><?xml version="1.0" encoding="utf-8"?>
<formControlPr xmlns="http://schemas.microsoft.com/office/spreadsheetml/2009/9/main" objectType="CheckBox" checked="Checked" fmlaLink="$E$17" lockText="1" noThreeD="1"/>
</file>

<file path=xl/ctrlProps/ctrlProp31.xml><?xml version="1.0" encoding="utf-8"?>
<formControlPr xmlns="http://schemas.microsoft.com/office/spreadsheetml/2009/9/main" objectType="Drop" dropStyle="combo" dx="16" fmlaLink="$H$15" fmlaRange="$G$15:$G$19" noThreeD="1" sel="5" val="0"/>
</file>

<file path=xl/ctrlProps/ctrlProp32.xml><?xml version="1.0" encoding="utf-8"?>
<formControlPr xmlns="http://schemas.microsoft.com/office/spreadsheetml/2009/9/main" objectType="CheckBox" checked="Checked" fmlaLink="$E$15" lockText="1" noThreeD="1"/>
</file>

<file path=xl/ctrlProps/ctrlProp33.xml><?xml version="1.0" encoding="utf-8"?>
<formControlPr xmlns="http://schemas.microsoft.com/office/spreadsheetml/2009/9/main" objectType="CheckBox" checked="Checked" fmlaLink="$E$16" lockText="1" noThreeD="1"/>
</file>

<file path=xl/ctrlProps/ctrlProp34.xml><?xml version="1.0" encoding="utf-8"?>
<formControlPr xmlns="http://schemas.microsoft.com/office/spreadsheetml/2009/9/main" objectType="Drop" dropLines="2" dropStyle="combo" dx="16" fmlaLink="$H$16" fmlaRange="$J$97:$J$98" noThreeD="1" sel="1" val="0"/>
</file>

<file path=xl/ctrlProps/ctrlProp35.xml><?xml version="1.0" encoding="utf-8"?>
<formControlPr xmlns="http://schemas.microsoft.com/office/spreadsheetml/2009/9/main" objectType="CheckBox" fmlaLink="$F$17" lockText="1" noThreeD="1"/>
</file>

<file path=xl/ctrlProps/ctrlProp36.xml><?xml version="1.0" encoding="utf-8"?>
<formControlPr xmlns="http://schemas.microsoft.com/office/spreadsheetml/2009/9/main" objectType="CheckBox" fmlaLink="$E$17" lockText="1" noThreeD="1"/>
</file>

<file path=xl/ctrlProps/ctrlProp37.xml><?xml version="1.0" encoding="utf-8"?>
<formControlPr xmlns="http://schemas.microsoft.com/office/spreadsheetml/2009/9/main" objectType="Drop" dropStyle="combo" dx="16" fmlaLink="$H$15" fmlaRange="$G$15:$G$19" noThreeD="1" sel="5" val="0"/>
</file>

<file path=xl/ctrlProps/ctrlProp38.xml><?xml version="1.0" encoding="utf-8"?>
<formControlPr xmlns="http://schemas.microsoft.com/office/spreadsheetml/2009/9/main" objectType="CheckBox" checked="Checked" fmlaLink="$E$15" lockText="1" noThreeD="1"/>
</file>

<file path=xl/ctrlProps/ctrlProp39.xml><?xml version="1.0" encoding="utf-8"?>
<formControlPr xmlns="http://schemas.microsoft.com/office/spreadsheetml/2009/9/main" objectType="CheckBox" checked="Checked" fmlaLink="$E$16" lockText="1" noThreeD="1"/>
</file>

<file path=xl/ctrlProps/ctrlProp40.xml><?xml version="1.0" encoding="utf-8"?>
<formControlPr xmlns="http://schemas.microsoft.com/office/spreadsheetml/2009/9/main" objectType="Drop" dropLines="2" dropStyle="combo" dx="16" fmlaLink="$H$16" fmlaRange="$J$97:$J$98" noThreeD="1" sel="1" val="0"/>
</file>

<file path=xl/ctrlProps/ctrlProp41.xml><?xml version="1.0" encoding="utf-8"?>
<formControlPr xmlns="http://schemas.microsoft.com/office/spreadsheetml/2009/9/main" objectType="CheckBox" fmlaLink="$F$17" lockText="1" noThreeD="1"/>
</file>

<file path=xl/ctrlProps/ctrlProp42.xml><?xml version="1.0" encoding="utf-8"?>
<formControlPr xmlns="http://schemas.microsoft.com/office/spreadsheetml/2009/9/main" objectType="CheckBox" checked="Checked" fmlaLink="$E$17" lockText="1" noThreeD="1"/>
</file>

<file path=xl/ctrlProps/ctrlProp43.xml><?xml version="1.0" encoding="utf-8"?>
<formControlPr xmlns="http://schemas.microsoft.com/office/spreadsheetml/2009/9/main" objectType="Drop" dropStyle="combo" dx="16" fmlaLink="$H$15" fmlaRange="$G$15:$G$19" noThreeD="1" sel="3" val="0"/>
</file>

<file path=xl/ctrlProps/ctrlProp44.xml><?xml version="1.0" encoding="utf-8"?>
<formControlPr xmlns="http://schemas.microsoft.com/office/spreadsheetml/2009/9/main" objectType="CheckBox" checked="Checked" fmlaLink="$E$15" lockText="1" noThreeD="1"/>
</file>

<file path=xl/ctrlProps/ctrlProp45.xml><?xml version="1.0" encoding="utf-8"?>
<formControlPr xmlns="http://schemas.microsoft.com/office/spreadsheetml/2009/9/main" objectType="CheckBox" checked="Checked" fmlaLink="$E$16" lockText="1" noThreeD="1"/>
</file>

<file path=xl/ctrlProps/ctrlProp46.xml><?xml version="1.0" encoding="utf-8"?>
<formControlPr xmlns="http://schemas.microsoft.com/office/spreadsheetml/2009/9/main" objectType="Drop" dropLines="2" dropStyle="combo" dx="16" fmlaLink="$H$16" fmlaRange="$J$97:$J$98" noThreeD="1" sel="1" val="0"/>
</file>

<file path=xl/ctrlProps/ctrlProp47.xml><?xml version="1.0" encoding="utf-8"?>
<formControlPr xmlns="http://schemas.microsoft.com/office/spreadsheetml/2009/9/main" objectType="CheckBox" fmlaLink="$F$17" lockText="1" noThreeD="1"/>
</file>

<file path=xl/ctrlProps/ctrlProp48.xml><?xml version="1.0" encoding="utf-8"?>
<formControlPr xmlns="http://schemas.microsoft.com/office/spreadsheetml/2009/9/main" objectType="CheckBox" fmlaLink="$E$17" lockText="1" noThreeD="1"/>
</file>

<file path=xl/ctrlProps/ctrlProp49.xml><?xml version="1.0" encoding="utf-8"?>
<formControlPr xmlns="http://schemas.microsoft.com/office/spreadsheetml/2009/9/main" objectType="Drop" dropStyle="combo" dx="16" fmlaLink="$H$15" fmlaRange="$G$15:$G$19" noThreeD="1" sel="5" val="0"/>
</file>

<file path=xl/ctrlProps/ctrlProp50.xml><?xml version="1.0" encoding="utf-8"?>
<formControlPr xmlns="http://schemas.microsoft.com/office/spreadsheetml/2009/9/main" objectType="CheckBox" checked="Checked" fmlaLink="$E$15" lockText="1" noThreeD="1"/>
</file>

<file path=xl/ctrlProps/ctrlProp51.xml><?xml version="1.0" encoding="utf-8"?>
<formControlPr xmlns="http://schemas.microsoft.com/office/spreadsheetml/2009/9/main" objectType="CheckBox" checked="Checked" fmlaLink="$E$16" lockText="1" noThreeD="1"/>
</file>

<file path=xl/ctrlProps/ctrlProp52.xml><?xml version="1.0" encoding="utf-8"?>
<formControlPr xmlns="http://schemas.microsoft.com/office/spreadsheetml/2009/9/main" objectType="Drop" dropLines="2" dropStyle="combo" dx="16" fmlaLink="$H$16" fmlaRange="$J$97:$J$98" noThreeD="1" sel="1" val="0"/>
</file>

<file path=xl/ctrlProps/ctrlProp53.xml><?xml version="1.0" encoding="utf-8"?>
<formControlPr xmlns="http://schemas.microsoft.com/office/spreadsheetml/2009/9/main" objectType="CheckBox" fmlaLink="$F$17" lockText="1" noThreeD="1"/>
</file>

<file path=xl/ctrlProps/ctrlProp54.xml><?xml version="1.0" encoding="utf-8"?>
<formControlPr xmlns="http://schemas.microsoft.com/office/spreadsheetml/2009/9/main" objectType="CheckBox" fmlaLink="$E$17" lockText="1" noThreeD="1"/>
</file>

<file path=xl/ctrlProps/ctrlProp55.xml><?xml version="1.0" encoding="utf-8"?>
<formControlPr xmlns="http://schemas.microsoft.com/office/spreadsheetml/2009/9/main" objectType="Drop" dropStyle="combo" dx="16" fmlaLink="$H$15" fmlaRange="$G$15:$G$19" noThreeD="1" sel="3" val="0"/>
</file>

<file path=xl/ctrlProps/ctrlProp56.xml><?xml version="1.0" encoding="utf-8"?>
<formControlPr xmlns="http://schemas.microsoft.com/office/spreadsheetml/2009/9/main" objectType="CheckBox" checked="Checked" fmlaLink="$E$15" lockText="1" noThreeD="1"/>
</file>

<file path=xl/ctrlProps/ctrlProp57.xml><?xml version="1.0" encoding="utf-8"?>
<formControlPr xmlns="http://schemas.microsoft.com/office/spreadsheetml/2009/9/main" objectType="CheckBox" checked="Checked" fmlaLink="$E$16" lockText="1" noThreeD="1"/>
</file>

<file path=xl/ctrlProps/ctrlProp58.xml><?xml version="1.0" encoding="utf-8"?>
<formControlPr xmlns="http://schemas.microsoft.com/office/spreadsheetml/2009/9/main" objectType="Drop" dropLines="2" dropStyle="combo" dx="16" fmlaLink="$H$16" fmlaRange="$J$97:$J$98" noThreeD="1" sel="1" val="0"/>
</file>

<file path=xl/ctrlProps/ctrlProp59.xml><?xml version="1.0" encoding="utf-8"?>
<formControlPr xmlns="http://schemas.microsoft.com/office/spreadsheetml/2009/9/main" objectType="CheckBox" fmlaLink="$F$17" lockText="1" noThreeD="1"/>
</file>

<file path=xl/ctrlProps/ctrlProp60.xml><?xml version="1.0" encoding="utf-8"?>
<formControlPr xmlns="http://schemas.microsoft.com/office/spreadsheetml/2009/9/main" objectType="CheckBox" fmlaLink="$E$17" lockText="1" noThreeD="1"/>
</file>

<file path=xl/ctrlProps/ctrlProp61.xml><?xml version="1.0" encoding="utf-8"?>
<formControlPr xmlns="http://schemas.microsoft.com/office/spreadsheetml/2009/9/main" objectType="Drop" dropStyle="combo" dx="16" fmlaLink="$H$15" fmlaRange="$G$15:$G$19" noThreeD="1" sel="3" val="0"/>
</file>

<file path=xl/ctrlProps/ctrlProp62.xml><?xml version="1.0" encoding="utf-8"?>
<formControlPr xmlns="http://schemas.microsoft.com/office/spreadsheetml/2009/9/main" objectType="CheckBox" checked="Checked" fmlaLink="$E$15" lockText="1" noThreeD="1"/>
</file>

<file path=xl/ctrlProps/ctrlProp63.xml><?xml version="1.0" encoding="utf-8"?>
<formControlPr xmlns="http://schemas.microsoft.com/office/spreadsheetml/2009/9/main" objectType="CheckBox" checked="Checked" fmlaLink="$E$16" lockText="1" noThreeD="1"/>
</file>

<file path=xl/ctrlProps/ctrlProp64.xml><?xml version="1.0" encoding="utf-8"?>
<formControlPr xmlns="http://schemas.microsoft.com/office/spreadsheetml/2009/9/main" objectType="Drop" dropLines="2" dropStyle="combo" dx="16" fmlaLink="$H$16" fmlaRange="$J$97:$J$98" noThreeD="1" sel="1" val="0"/>
</file>

<file path=xl/ctrlProps/ctrlProp65.xml><?xml version="1.0" encoding="utf-8"?>
<formControlPr xmlns="http://schemas.microsoft.com/office/spreadsheetml/2009/9/main" objectType="CheckBox" fmlaLink="$F$17" lockText="1" noThreeD="1"/>
</file>

<file path=xl/ctrlProps/ctrlProp66.xml><?xml version="1.0" encoding="utf-8"?>
<formControlPr xmlns="http://schemas.microsoft.com/office/spreadsheetml/2009/9/main" objectType="CheckBox" fmlaLink="$E$17" lockText="1" noThreeD="1"/>
</file>

<file path=xl/ctrlProps/ctrlProp67.xml><?xml version="1.0" encoding="utf-8"?>
<formControlPr xmlns="http://schemas.microsoft.com/office/spreadsheetml/2009/9/main" objectType="CheckBox" checked="Checked" fmlaLink="$C$4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44825</xdr:colOff>
      <xdr:row>17</xdr:row>
      <xdr:rowOff>150420</xdr:rowOff>
    </xdr:from>
    <xdr:to>
      <xdr:col>3</xdr:col>
      <xdr:colOff>307043</xdr:colOff>
      <xdr:row>19</xdr:row>
      <xdr:rowOff>76200</xdr:rowOff>
    </xdr:to>
    <xdr:sp macro="[0]!Raskroy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24119" y="3613038"/>
          <a:ext cx="1214718" cy="30678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Расчет</a:t>
          </a:r>
          <a:r>
            <a:rPr lang="en-US" sz="1100"/>
            <a:t> DP</a:t>
          </a:r>
          <a:endParaRPr lang="ru-RU" sz="1100"/>
        </a:p>
      </xdr:txBody>
    </xdr:sp>
    <xdr:clientData fPrintsWithSheet="0"/>
  </xdr:twoCellAnchor>
  <xdr:twoCellAnchor>
    <xdr:from>
      <xdr:col>3</xdr:col>
      <xdr:colOff>472817</xdr:colOff>
      <xdr:row>17</xdr:row>
      <xdr:rowOff>150420</xdr:rowOff>
    </xdr:from>
    <xdr:to>
      <xdr:col>4</xdr:col>
      <xdr:colOff>735035</xdr:colOff>
      <xdr:row>19</xdr:row>
      <xdr:rowOff>76200</xdr:rowOff>
    </xdr:to>
    <xdr:sp macro="[0]!ClearData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04611" y="3613038"/>
          <a:ext cx="1214718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Очистить все</a:t>
          </a:r>
        </a:p>
      </xdr:txBody>
    </xdr:sp>
    <xdr:clientData fPrintsWithSheet="0"/>
  </xdr:twoCellAnchor>
  <xdr:twoCellAnchor>
    <xdr:from>
      <xdr:col>4</xdr:col>
      <xdr:colOff>924205</xdr:colOff>
      <xdr:row>17</xdr:row>
      <xdr:rowOff>150420</xdr:rowOff>
    </xdr:from>
    <xdr:to>
      <xdr:col>7</xdr:col>
      <xdr:colOff>21011</xdr:colOff>
      <xdr:row>19</xdr:row>
      <xdr:rowOff>76200</xdr:rowOff>
    </xdr:to>
    <xdr:sp macro="[0]!OutGraph" textlink="">
      <xdr:nvSpPr>
        <xdr:cNvPr id="4" name="Скругленный 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008499" y="3613038"/>
          <a:ext cx="1214718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Отобразить</a:t>
          </a:r>
        </a:p>
      </xdr:txBody>
    </xdr:sp>
    <xdr:clientData fPrintsWithSheet="0"/>
  </xdr:twoCellAnchor>
  <xdr:twoCellAnchor>
    <xdr:from>
      <xdr:col>7</xdr:col>
      <xdr:colOff>197224</xdr:colOff>
      <xdr:row>17</xdr:row>
      <xdr:rowOff>150420</xdr:rowOff>
    </xdr:from>
    <xdr:to>
      <xdr:col>8</xdr:col>
      <xdr:colOff>806824</xdr:colOff>
      <xdr:row>19</xdr:row>
      <xdr:rowOff>76200</xdr:rowOff>
    </xdr:to>
    <xdr:sp macro="[0]!Export2PDF" textlink="">
      <xdr:nvSpPr>
        <xdr:cNvPr id="5" name="Скругленный 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99430" y="3613038"/>
          <a:ext cx="1214718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Экспорт в </a:t>
          </a:r>
          <a:r>
            <a:rPr lang="en-US" sz="1100"/>
            <a:t>PDF</a:t>
          </a:r>
          <a:endParaRPr lang="ru-RU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13</xdr:row>
          <xdr:rowOff>180975</xdr:rowOff>
        </xdr:from>
        <xdr:to>
          <xdr:col>9</xdr:col>
          <xdr:colOff>9525</xdr:colOff>
          <xdr:row>15</xdr:row>
          <xdr:rowOff>0</xdr:rowOff>
        </xdr:to>
        <xdr:sp macro="" textlink="">
          <xdr:nvSpPr>
            <xdr:cNvPr id="161793" name="Drop Down 1" hidden="1">
              <a:extLst>
                <a:ext uri="{63B3BB69-23CF-44E3-9099-C40C66FF867C}">
                  <a14:compatExt spid="_x0000_s161793"/>
                </a:ext>
                <a:ext uri="{FF2B5EF4-FFF2-40B4-BE49-F238E27FC236}">
                  <a16:creationId xmlns:a16="http://schemas.microsoft.com/office/drawing/2014/main" id="{00000000-0008-0000-0000-000001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13</xdr:row>
          <xdr:rowOff>161925</xdr:rowOff>
        </xdr:from>
        <xdr:to>
          <xdr:col>5</xdr:col>
          <xdr:colOff>981075</xdr:colOff>
          <xdr:row>15</xdr:row>
          <xdr:rowOff>0</xdr:rowOff>
        </xdr:to>
        <xdr:sp macro="" textlink="">
          <xdr:nvSpPr>
            <xdr:cNvPr id="161794" name="Check Box 2" hidden="1">
              <a:extLst>
                <a:ext uri="{63B3BB69-23CF-44E3-9099-C40C66FF867C}">
                  <a14:compatExt spid="_x0000_s161794"/>
                </a:ext>
                <a:ext uri="{FF2B5EF4-FFF2-40B4-BE49-F238E27FC236}">
                  <a16:creationId xmlns:a16="http://schemas.microsoft.com/office/drawing/2014/main" id="{00000000-0008-0000-0000-000002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Группировать решение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14</xdr:row>
          <xdr:rowOff>161925</xdr:rowOff>
        </xdr:from>
        <xdr:to>
          <xdr:col>5</xdr:col>
          <xdr:colOff>981075</xdr:colOff>
          <xdr:row>16</xdr:row>
          <xdr:rowOff>0</xdr:rowOff>
        </xdr:to>
        <xdr:sp macro="" textlink="">
          <xdr:nvSpPr>
            <xdr:cNvPr id="161795" name="Check Box 3" hidden="1">
              <a:extLst>
                <a:ext uri="{63B3BB69-23CF-44E3-9099-C40C66FF867C}">
                  <a14:compatExt spid="_x0000_s161795"/>
                </a:ext>
                <a:ext uri="{FF2B5EF4-FFF2-40B4-BE49-F238E27FC236}">
                  <a16:creationId xmlns:a16="http://schemas.microsoft.com/office/drawing/2014/main" id="{00000000-0008-0000-0000-000003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Отображать графику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15</xdr:row>
          <xdr:rowOff>0</xdr:rowOff>
        </xdr:from>
        <xdr:to>
          <xdr:col>9</xdr:col>
          <xdr:colOff>9525</xdr:colOff>
          <xdr:row>16</xdr:row>
          <xdr:rowOff>9525</xdr:rowOff>
        </xdr:to>
        <xdr:sp macro="" textlink="">
          <xdr:nvSpPr>
            <xdr:cNvPr id="161796" name="Drop Down 4" hidden="1">
              <a:extLst>
                <a:ext uri="{63B3BB69-23CF-44E3-9099-C40C66FF867C}">
                  <a14:compatExt spid="_x0000_s161796"/>
                </a:ext>
                <a:ext uri="{FF2B5EF4-FFF2-40B4-BE49-F238E27FC236}">
                  <a16:creationId xmlns:a16="http://schemas.microsoft.com/office/drawing/2014/main" id="{00000000-0008-0000-0000-000004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15</xdr:row>
          <xdr:rowOff>161925</xdr:rowOff>
        </xdr:from>
        <xdr:to>
          <xdr:col>5</xdr:col>
          <xdr:colOff>981075</xdr:colOff>
          <xdr:row>17</xdr:row>
          <xdr:rowOff>0</xdr:rowOff>
        </xdr:to>
        <xdr:sp macro="" textlink="">
          <xdr:nvSpPr>
            <xdr:cNvPr id="161797" name="Check Box 5" hidden="1">
              <a:extLst>
                <a:ext uri="{63B3BB69-23CF-44E3-9099-C40C66FF867C}">
                  <a14:compatExt spid="_x0000_s161797"/>
                </a:ext>
                <a:ext uri="{FF2B5EF4-FFF2-40B4-BE49-F238E27FC236}">
                  <a16:creationId xmlns:a16="http://schemas.microsoft.com/office/drawing/2014/main" id="{00000000-0008-0000-0000-000005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Рез под 45 градусов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16</xdr:row>
          <xdr:rowOff>0</xdr:rowOff>
        </xdr:from>
        <xdr:to>
          <xdr:col>9</xdr:col>
          <xdr:colOff>0</xdr:colOff>
          <xdr:row>17</xdr:row>
          <xdr:rowOff>28575</xdr:rowOff>
        </xdr:to>
        <xdr:sp macro="" textlink="">
          <xdr:nvSpPr>
            <xdr:cNvPr id="161798" name="Check Box 6" hidden="1">
              <a:extLst>
                <a:ext uri="{63B3BB69-23CF-44E3-9099-C40C66FF867C}">
                  <a14:compatExt spid="_x0000_s161798"/>
                </a:ext>
                <a:ext uri="{FF2B5EF4-FFF2-40B4-BE49-F238E27FC236}">
                  <a16:creationId xmlns:a16="http://schemas.microsoft.com/office/drawing/2014/main" id="{00000000-0008-0000-0000-000006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Раскрой в два профиля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44825</xdr:colOff>
      <xdr:row>20</xdr:row>
      <xdr:rowOff>0</xdr:rowOff>
    </xdr:from>
    <xdr:to>
      <xdr:col>3</xdr:col>
      <xdr:colOff>307043</xdr:colOff>
      <xdr:row>21</xdr:row>
      <xdr:rowOff>116280</xdr:rowOff>
    </xdr:to>
    <xdr:sp macro="[0]!lpCSP" textlink="">
      <xdr:nvSpPr>
        <xdr:cNvPr id="376" name="Скругленный прямоугольник 375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SpPr/>
      </xdr:nvSpPr>
      <xdr:spPr>
        <a:xfrm>
          <a:off x="224119" y="4034118"/>
          <a:ext cx="1214718" cy="30678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Расчет</a:t>
          </a:r>
          <a:r>
            <a:rPr lang="en-US" sz="1100"/>
            <a:t> LP</a:t>
          </a:r>
          <a:endParaRPr lang="ru-RU" sz="1100"/>
        </a:p>
      </xdr:txBody>
    </xdr:sp>
    <xdr:clientData fPrintsWithSheet="0"/>
  </xdr:twoCellAnchor>
  <xdr:twoCellAnchor>
    <xdr:from>
      <xdr:col>3</xdr:col>
      <xdr:colOff>472817</xdr:colOff>
      <xdr:row>20</xdr:row>
      <xdr:rowOff>0</xdr:rowOff>
    </xdr:from>
    <xdr:to>
      <xdr:col>4</xdr:col>
      <xdr:colOff>735035</xdr:colOff>
      <xdr:row>21</xdr:row>
      <xdr:rowOff>116280</xdr:rowOff>
    </xdr:to>
    <xdr:sp macro="[0]!ClearSolve" textlink="">
      <xdr:nvSpPr>
        <xdr:cNvPr id="377" name="Скругленный прямоугольник 376">
          <a:extLst>
            <a:ext uri="{FF2B5EF4-FFF2-40B4-BE49-F238E27FC236}">
              <a16:creationId xmlns:a16="http://schemas.microsoft.com/office/drawing/2014/main" id="{00000000-0008-0000-0000-000079010000}"/>
            </a:ext>
          </a:extLst>
        </xdr:cNvPr>
        <xdr:cNvSpPr/>
      </xdr:nvSpPr>
      <xdr:spPr>
        <a:xfrm>
          <a:off x="1604611" y="4034118"/>
          <a:ext cx="1214718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Убрать</a:t>
          </a:r>
          <a:r>
            <a:rPr lang="ru-RU" sz="1100" baseline="0"/>
            <a:t> решение</a:t>
          </a:r>
          <a:endParaRPr lang="ru-RU" sz="1100"/>
        </a:p>
      </xdr:txBody>
    </xdr:sp>
    <xdr:clientData fPrintsWithSheet="0"/>
  </xdr:twoCellAnchor>
  <xdr:twoCellAnchor>
    <xdr:from>
      <xdr:col>4</xdr:col>
      <xdr:colOff>924205</xdr:colOff>
      <xdr:row>20</xdr:row>
      <xdr:rowOff>0</xdr:rowOff>
    </xdr:from>
    <xdr:to>
      <xdr:col>7</xdr:col>
      <xdr:colOff>21011</xdr:colOff>
      <xdr:row>21</xdr:row>
      <xdr:rowOff>116280</xdr:rowOff>
    </xdr:to>
    <xdr:sp macro="[0]!OffGraph" textlink="">
      <xdr:nvSpPr>
        <xdr:cNvPr id="378" name="Скругленный прямоугольник 377">
          <a:extLst>
            <a:ext uri="{FF2B5EF4-FFF2-40B4-BE49-F238E27FC236}">
              <a16:creationId xmlns:a16="http://schemas.microsoft.com/office/drawing/2014/main" id="{00000000-0008-0000-0000-00007A010000}"/>
            </a:ext>
          </a:extLst>
        </xdr:cNvPr>
        <xdr:cNvSpPr/>
      </xdr:nvSpPr>
      <xdr:spPr>
        <a:xfrm>
          <a:off x="3008499" y="4034118"/>
          <a:ext cx="1214718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Убрать</a:t>
          </a:r>
          <a:r>
            <a:rPr lang="ru-RU" sz="1100" baseline="0"/>
            <a:t> графику</a:t>
          </a:r>
          <a:endParaRPr lang="ru-RU" sz="1100"/>
        </a:p>
      </xdr:txBody>
    </xdr:sp>
    <xdr:clientData fPrintsWithSheet="0"/>
  </xdr:twoCellAnchor>
  <xdr:twoCellAnchor>
    <xdr:from>
      <xdr:col>7</xdr:col>
      <xdr:colOff>197224</xdr:colOff>
      <xdr:row>20</xdr:row>
      <xdr:rowOff>0</xdr:rowOff>
    </xdr:from>
    <xdr:to>
      <xdr:col>8</xdr:col>
      <xdr:colOff>806824</xdr:colOff>
      <xdr:row>21</xdr:row>
      <xdr:rowOff>116280</xdr:rowOff>
    </xdr:to>
    <xdr:sp macro="" textlink="">
      <xdr:nvSpPr>
        <xdr:cNvPr id="379" name="Скругленный прямоугольник 378">
          <a:extLst>
            <a:ext uri="{FF2B5EF4-FFF2-40B4-BE49-F238E27FC236}">
              <a16:creationId xmlns:a16="http://schemas.microsoft.com/office/drawing/2014/main" id="{00000000-0008-0000-0000-00007B010000}"/>
            </a:ext>
          </a:extLst>
        </xdr:cNvPr>
        <xdr:cNvSpPr/>
      </xdr:nvSpPr>
      <xdr:spPr>
        <a:xfrm>
          <a:off x="4399430" y="4034118"/>
          <a:ext cx="1214718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Создать отчет</a:t>
          </a:r>
        </a:p>
      </xdr:txBody>
    </xdr:sp>
    <xdr:clientData fPrintsWithSheet="0"/>
  </xdr:twoCellAnchor>
  <xdr:twoCellAnchor>
    <xdr:from>
      <xdr:col>16</xdr:col>
      <xdr:colOff>0</xdr:colOff>
      <xdr:row>3</xdr:row>
      <xdr:rowOff>12700</xdr:rowOff>
    </xdr:from>
    <xdr:to>
      <xdr:col>16</xdr:col>
      <xdr:colOff>2502198</xdr:colOff>
      <xdr:row>3</xdr:row>
      <xdr:rowOff>177800</xdr:rowOff>
    </xdr:to>
    <xdr:sp macro="" textlink="">
      <xdr:nvSpPr>
        <xdr:cNvPr id="166043" name="Скругленный прямоугольник 166042">
          <a:extLst>
            <a:ext uri="{FF2B5EF4-FFF2-40B4-BE49-F238E27FC236}">
              <a16:creationId xmlns:a16="http://schemas.microsoft.com/office/drawing/2014/main" id="{00000000-0008-0000-0000-00009B880200}"/>
            </a:ext>
          </a:extLst>
        </xdr:cNvPr>
        <xdr:cNvSpPr/>
      </xdr:nvSpPr>
      <xdr:spPr>
        <a:xfrm>
          <a:off x="12592050" y="812800"/>
          <a:ext cx="250219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2613</a:t>
          </a:r>
        </a:p>
      </xdr:txBody>
    </xdr:sp>
    <xdr:clientData/>
  </xdr:twoCellAnchor>
  <xdr:twoCellAnchor>
    <xdr:from>
      <xdr:col>16</xdr:col>
      <xdr:colOff>2537230</xdr:colOff>
      <xdr:row>3</xdr:row>
      <xdr:rowOff>12700</xdr:rowOff>
    </xdr:from>
    <xdr:to>
      <xdr:col>16</xdr:col>
      <xdr:colOff>3841890</xdr:colOff>
      <xdr:row>3</xdr:row>
      <xdr:rowOff>177800</xdr:rowOff>
    </xdr:to>
    <xdr:sp macro="" textlink="">
      <xdr:nvSpPr>
        <xdr:cNvPr id="166044" name="Скругленный прямоугольник 166043">
          <a:extLst>
            <a:ext uri="{FF2B5EF4-FFF2-40B4-BE49-F238E27FC236}">
              <a16:creationId xmlns:a16="http://schemas.microsoft.com/office/drawing/2014/main" id="{00000000-0008-0000-0000-00009C880200}"/>
            </a:ext>
          </a:extLst>
        </xdr:cNvPr>
        <xdr:cNvSpPr/>
      </xdr:nvSpPr>
      <xdr:spPr>
        <a:xfrm>
          <a:off x="15129280" y="812800"/>
          <a:ext cx="130466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7C" mc:Ignorable="a14" a14:legacySpreadsheetColorIndex="1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CB" mc:Ignorable="a14" a14:legacySpreadsheetColorIndex="1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00" mc:Ignorable="a14" a14:legacySpreadsheetColorIndex="1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1375</a:t>
          </a:r>
        </a:p>
      </xdr:txBody>
    </xdr:sp>
    <xdr:clientData/>
  </xdr:twoCellAnchor>
  <xdr:twoCellAnchor>
    <xdr:from>
      <xdr:col>16</xdr:col>
      <xdr:colOff>3876920</xdr:colOff>
      <xdr:row>3</xdr:row>
      <xdr:rowOff>12700</xdr:rowOff>
    </xdr:from>
    <xdr:to>
      <xdr:col>16</xdr:col>
      <xdr:colOff>4922340</xdr:colOff>
      <xdr:row>3</xdr:row>
      <xdr:rowOff>177800</xdr:rowOff>
    </xdr:to>
    <xdr:sp macro="" textlink="">
      <xdr:nvSpPr>
        <xdr:cNvPr id="166045" name="Скругленный прямоугольник 166044">
          <a:extLst>
            <a:ext uri="{FF2B5EF4-FFF2-40B4-BE49-F238E27FC236}">
              <a16:creationId xmlns:a16="http://schemas.microsoft.com/office/drawing/2014/main" id="{00000000-0008-0000-0000-00009D880200}"/>
            </a:ext>
          </a:extLst>
        </xdr:cNvPr>
        <xdr:cNvSpPr/>
      </xdr:nvSpPr>
      <xdr:spPr>
        <a:xfrm>
          <a:off x="16468970" y="812800"/>
          <a:ext cx="104542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FF" mc:Ignorable="a14" a14:legacySpreadsheetColorIndex="2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FF" mc:Ignorable="a14" a14:legacySpreadsheetColorIndex="2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AA" mc:Ignorable="a14" a14:legacySpreadsheetColorIndex="2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1107</a:t>
          </a:r>
        </a:p>
      </xdr:txBody>
    </xdr:sp>
    <xdr:clientData/>
  </xdr:twoCellAnchor>
  <xdr:twoCellAnchor>
    <xdr:from>
      <xdr:col>16</xdr:col>
      <xdr:colOff>4957370</xdr:colOff>
      <xdr:row>3</xdr:row>
      <xdr:rowOff>12700</xdr:rowOff>
    </xdr:from>
    <xdr:to>
      <xdr:col>16</xdr:col>
      <xdr:colOff>5759027</xdr:colOff>
      <xdr:row>3</xdr:row>
      <xdr:rowOff>177800</xdr:rowOff>
    </xdr:to>
    <xdr:sp macro="" textlink="">
      <xdr:nvSpPr>
        <xdr:cNvPr id="166046" name="Скругленный прямоугольник 166045">
          <a:extLst>
            <a:ext uri="{FF2B5EF4-FFF2-40B4-BE49-F238E27FC236}">
              <a16:creationId xmlns:a16="http://schemas.microsoft.com/office/drawing/2014/main" id="{00000000-0008-0000-0000-00009E880200}"/>
            </a:ext>
          </a:extLst>
        </xdr:cNvPr>
        <xdr:cNvSpPr/>
      </xdr:nvSpPr>
      <xdr:spPr>
        <a:xfrm>
          <a:off x="17549420" y="812800"/>
          <a:ext cx="80165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855</a:t>
          </a:r>
        </a:p>
      </xdr:txBody>
    </xdr:sp>
    <xdr:clientData/>
  </xdr:twoCellAnchor>
  <xdr:twoCellAnchor>
    <xdr:from>
      <xdr:col>16</xdr:col>
      <xdr:colOff>0</xdr:colOff>
      <xdr:row>4</xdr:row>
      <xdr:rowOff>12700</xdr:rowOff>
    </xdr:from>
    <xdr:to>
      <xdr:col>16</xdr:col>
      <xdr:colOff>2502198</xdr:colOff>
      <xdr:row>4</xdr:row>
      <xdr:rowOff>177800</xdr:rowOff>
    </xdr:to>
    <xdr:sp macro="" textlink="">
      <xdr:nvSpPr>
        <xdr:cNvPr id="166047" name="Скругленный прямоугольник 166046">
          <a:extLst>
            <a:ext uri="{FF2B5EF4-FFF2-40B4-BE49-F238E27FC236}">
              <a16:creationId xmlns:a16="http://schemas.microsoft.com/office/drawing/2014/main" id="{00000000-0008-0000-0000-00009F880200}"/>
            </a:ext>
          </a:extLst>
        </xdr:cNvPr>
        <xdr:cNvSpPr/>
      </xdr:nvSpPr>
      <xdr:spPr>
        <a:xfrm>
          <a:off x="12592050" y="1003300"/>
          <a:ext cx="250219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2613</a:t>
          </a:r>
        </a:p>
      </xdr:txBody>
    </xdr:sp>
    <xdr:clientData/>
  </xdr:twoCellAnchor>
  <xdr:twoCellAnchor>
    <xdr:from>
      <xdr:col>16</xdr:col>
      <xdr:colOff>2537230</xdr:colOff>
      <xdr:row>4</xdr:row>
      <xdr:rowOff>12700</xdr:rowOff>
    </xdr:from>
    <xdr:to>
      <xdr:col>16</xdr:col>
      <xdr:colOff>3774177</xdr:colOff>
      <xdr:row>4</xdr:row>
      <xdr:rowOff>177800</xdr:rowOff>
    </xdr:to>
    <xdr:sp macro="" textlink="">
      <xdr:nvSpPr>
        <xdr:cNvPr id="166048" name="Скругленный прямоугольник 166047">
          <a:extLst>
            <a:ext uri="{FF2B5EF4-FFF2-40B4-BE49-F238E27FC236}">
              <a16:creationId xmlns:a16="http://schemas.microsoft.com/office/drawing/2014/main" id="{00000000-0008-0000-0000-0000A0880200}"/>
            </a:ext>
          </a:extLst>
        </xdr:cNvPr>
        <xdr:cNvSpPr/>
      </xdr:nvSpPr>
      <xdr:spPr>
        <a:xfrm>
          <a:off x="15129280" y="1003300"/>
          <a:ext cx="12369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CFCFCF" mc:Ignorable="a14" a14:legacySpreadsheetColorIndex="2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8E8E8" mc:Ignorable="a14" a14:legacySpreadsheetColorIndex="2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7F7F7F" mc:Ignorable="a14" a14:legacySpreadsheetColorIndex="2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1305</a:t>
          </a:r>
        </a:p>
      </xdr:txBody>
    </xdr:sp>
    <xdr:clientData/>
  </xdr:twoCellAnchor>
  <xdr:twoCellAnchor>
    <xdr:from>
      <xdr:col>16</xdr:col>
      <xdr:colOff>3809208</xdr:colOff>
      <xdr:row>4</xdr:row>
      <xdr:rowOff>12700</xdr:rowOff>
    </xdr:from>
    <xdr:to>
      <xdr:col>16</xdr:col>
      <xdr:colOff>4920405</xdr:colOff>
      <xdr:row>4</xdr:row>
      <xdr:rowOff>177800</xdr:rowOff>
    </xdr:to>
    <xdr:sp macro="" textlink="">
      <xdr:nvSpPr>
        <xdr:cNvPr id="166049" name="Скругленный прямоугольник 166048">
          <a:extLst>
            <a:ext uri="{FF2B5EF4-FFF2-40B4-BE49-F238E27FC236}">
              <a16:creationId xmlns:a16="http://schemas.microsoft.com/office/drawing/2014/main" id="{00000000-0008-0000-0000-0000A1880200}"/>
            </a:ext>
          </a:extLst>
        </xdr:cNvPr>
        <xdr:cNvSpPr/>
      </xdr:nvSpPr>
      <xdr:spPr>
        <a:xfrm>
          <a:off x="16401258" y="1003300"/>
          <a:ext cx="111119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1175</a:t>
          </a:r>
        </a:p>
      </xdr:txBody>
    </xdr:sp>
    <xdr:clientData/>
  </xdr:twoCellAnchor>
  <xdr:twoCellAnchor>
    <xdr:from>
      <xdr:col>16</xdr:col>
      <xdr:colOff>4955436</xdr:colOff>
      <xdr:row>4</xdr:row>
      <xdr:rowOff>12700</xdr:rowOff>
    </xdr:from>
    <xdr:to>
      <xdr:col>16</xdr:col>
      <xdr:colOff>5759025</xdr:colOff>
      <xdr:row>4</xdr:row>
      <xdr:rowOff>177800</xdr:rowOff>
    </xdr:to>
    <xdr:sp macro="" textlink="">
      <xdr:nvSpPr>
        <xdr:cNvPr id="166050" name="Скругленный прямоугольник 166049">
          <a:extLst>
            <a:ext uri="{FF2B5EF4-FFF2-40B4-BE49-F238E27FC236}">
              <a16:creationId xmlns:a16="http://schemas.microsoft.com/office/drawing/2014/main" id="{00000000-0008-0000-0000-0000A2880200}"/>
            </a:ext>
          </a:extLst>
        </xdr:cNvPr>
        <xdr:cNvSpPr/>
      </xdr:nvSpPr>
      <xdr:spPr>
        <a:xfrm>
          <a:off x="17547486" y="1003300"/>
          <a:ext cx="8035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857</a:t>
          </a:r>
        </a:p>
      </xdr:txBody>
    </xdr:sp>
    <xdr:clientData/>
  </xdr:twoCellAnchor>
  <xdr:twoCellAnchor>
    <xdr:from>
      <xdr:col>16</xdr:col>
      <xdr:colOff>0</xdr:colOff>
      <xdr:row>5</xdr:row>
      <xdr:rowOff>12700</xdr:rowOff>
    </xdr:from>
    <xdr:to>
      <xdr:col>16</xdr:col>
      <xdr:colOff>2001129</xdr:colOff>
      <xdr:row>5</xdr:row>
      <xdr:rowOff>177800</xdr:rowOff>
    </xdr:to>
    <xdr:sp macro="" textlink="">
      <xdr:nvSpPr>
        <xdr:cNvPr id="166051" name="Скругленный прямоугольник 166050">
          <a:extLst>
            <a:ext uri="{FF2B5EF4-FFF2-40B4-BE49-F238E27FC236}">
              <a16:creationId xmlns:a16="http://schemas.microsoft.com/office/drawing/2014/main" id="{00000000-0008-0000-0000-0000A3880200}"/>
            </a:ext>
          </a:extLst>
        </xdr:cNvPr>
        <xdr:cNvSpPr/>
      </xdr:nvSpPr>
      <xdr:spPr>
        <a:xfrm>
          <a:off x="12592050" y="1193800"/>
          <a:ext cx="200112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2095</a:t>
          </a:r>
        </a:p>
      </xdr:txBody>
    </xdr:sp>
    <xdr:clientData/>
  </xdr:twoCellAnchor>
  <xdr:twoCellAnchor>
    <xdr:from>
      <xdr:col>16</xdr:col>
      <xdr:colOff>2036159</xdr:colOff>
      <xdr:row>5</xdr:row>
      <xdr:rowOff>12700</xdr:rowOff>
    </xdr:from>
    <xdr:to>
      <xdr:col>16</xdr:col>
      <xdr:colOff>3563302</xdr:colOff>
      <xdr:row>5</xdr:row>
      <xdr:rowOff>177800</xdr:rowOff>
    </xdr:to>
    <xdr:sp macro="" textlink="">
      <xdr:nvSpPr>
        <xdr:cNvPr id="166052" name="Скругленный прямоугольник 166051">
          <a:extLst>
            <a:ext uri="{FF2B5EF4-FFF2-40B4-BE49-F238E27FC236}">
              <a16:creationId xmlns:a16="http://schemas.microsoft.com/office/drawing/2014/main" id="{00000000-0008-0000-0000-0000A4880200}"/>
            </a:ext>
          </a:extLst>
        </xdr:cNvPr>
        <xdr:cNvSpPr/>
      </xdr:nvSpPr>
      <xdr:spPr>
        <a:xfrm>
          <a:off x="14628209" y="1193800"/>
          <a:ext cx="152714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1605</a:t>
          </a:r>
        </a:p>
      </xdr:txBody>
    </xdr:sp>
    <xdr:clientData/>
  </xdr:twoCellAnchor>
  <xdr:twoCellAnchor>
    <xdr:from>
      <xdr:col>16</xdr:col>
      <xdr:colOff>3598334</xdr:colOff>
      <xdr:row>5</xdr:row>
      <xdr:rowOff>12700</xdr:rowOff>
    </xdr:from>
    <xdr:to>
      <xdr:col>16</xdr:col>
      <xdr:colOff>4825609</xdr:colOff>
      <xdr:row>5</xdr:row>
      <xdr:rowOff>177800</xdr:rowOff>
    </xdr:to>
    <xdr:sp macro="" textlink="">
      <xdr:nvSpPr>
        <xdr:cNvPr id="166053" name="Скругленный прямоугольник 166052">
          <a:extLst>
            <a:ext uri="{FF2B5EF4-FFF2-40B4-BE49-F238E27FC236}">
              <a16:creationId xmlns:a16="http://schemas.microsoft.com/office/drawing/2014/main" id="{00000000-0008-0000-0000-0000A5880200}"/>
            </a:ext>
          </a:extLst>
        </xdr:cNvPr>
        <xdr:cNvSpPr/>
      </xdr:nvSpPr>
      <xdr:spPr>
        <a:xfrm>
          <a:off x="16190384" y="1193800"/>
          <a:ext cx="122727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1295</a:t>
          </a:r>
        </a:p>
      </xdr:txBody>
    </xdr:sp>
    <xdr:clientData/>
  </xdr:twoCellAnchor>
  <xdr:twoCellAnchor>
    <xdr:from>
      <xdr:col>16</xdr:col>
      <xdr:colOff>4860640</xdr:colOff>
      <xdr:row>5</xdr:row>
      <xdr:rowOff>12700</xdr:rowOff>
    </xdr:from>
    <xdr:to>
      <xdr:col>16</xdr:col>
      <xdr:colOff>5759027</xdr:colOff>
      <xdr:row>5</xdr:row>
      <xdr:rowOff>177800</xdr:rowOff>
    </xdr:to>
    <xdr:sp macro="" textlink="">
      <xdr:nvSpPr>
        <xdr:cNvPr id="166054" name="Скругленный прямоугольник 166053">
          <a:extLst>
            <a:ext uri="{FF2B5EF4-FFF2-40B4-BE49-F238E27FC236}">
              <a16:creationId xmlns:a16="http://schemas.microsoft.com/office/drawing/2014/main" id="{00000000-0008-0000-0000-0000A6880200}"/>
            </a:ext>
          </a:extLst>
        </xdr:cNvPr>
        <xdr:cNvSpPr/>
      </xdr:nvSpPr>
      <xdr:spPr>
        <a:xfrm>
          <a:off x="17452690" y="1193800"/>
          <a:ext cx="89838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7C96" mc:Ignorable="a14" a14:legacySpreadsheetColorIndex="2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CBD3" mc:Ignorable="a14" a14:legacySpreadsheetColorIndex="2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0041" mc:Ignorable="a14" a14:legacySpreadsheetColorIndex="2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955</a:t>
          </a:r>
        </a:p>
      </xdr:txBody>
    </xdr:sp>
    <xdr:clientData/>
  </xdr:twoCellAnchor>
  <xdr:twoCellAnchor>
    <xdr:from>
      <xdr:col>16</xdr:col>
      <xdr:colOff>0</xdr:colOff>
      <xdr:row>6</xdr:row>
      <xdr:rowOff>12700</xdr:rowOff>
    </xdr:from>
    <xdr:to>
      <xdr:col>16</xdr:col>
      <xdr:colOff>1840554</xdr:colOff>
      <xdr:row>6</xdr:row>
      <xdr:rowOff>177800</xdr:rowOff>
    </xdr:to>
    <xdr:sp macro="" textlink="">
      <xdr:nvSpPr>
        <xdr:cNvPr id="166055" name="Скругленный прямоугольник 166054">
          <a:extLst>
            <a:ext uri="{FF2B5EF4-FFF2-40B4-BE49-F238E27FC236}">
              <a16:creationId xmlns:a16="http://schemas.microsoft.com/office/drawing/2014/main" id="{00000000-0008-0000-0000-0000A7880200}"/>
            </a:ext>
          </a:extLst>
        </xdr:cNvPr>
        <xdr:cNvSpPr/>
      </xdr:nvSpPr>
      <xdr:spPr>
        <a:xfrm>
          <a:off x="12592050" y="1384300"/>
          <a:ext cx="184055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1929</a:t>
          </a:r>
        </a:p>
      </xdr:txBody>
    </xdr:sp>
    <xdr:clientData/>
  </xdr:twoCellAnchor>
  <xdr:twoCellAnchor>
    <xdr:from>
      <xdr:col>16</xdr:col>
      <xdr:colOff>1875585</xdr:colOff>
      <xdr:row>6</xdr:row>
      <xdr:rowOff>12700</xdr:rowOff>
    </xdr:from>
    <xdr:to>
      <xdr:col>16</xdr:col>
      <xdr:colOff>3195723</xdr:colOff>
      <xdr:row>6</xdr:row>
      <xdr:rowOff>177800</xdr:rowOff>
    </xdr:to>
    <xdr:sp macro="" textlink="">
      <xdr:nvSpPr>
        <xdr:cNvPr id="166056" name="Скругленный прямоугольник 166055">
          <a:extLst>
            <a:ext uri="{FF2B5EF4-FFF2-40B4-BE49-F238E27FC236}">
              <a16:creationId xmlns:a16="http://schemas.microsoft.com/office/drawing/2014/main" id="{00000000-0008-0000-0000-0000A8880200}"/>
            </a:ext>
          </a:extLst>
        </xdr:cNvPr>
        <xdr:cNvSpPr/>
      </xdr:nvSpPr>
      <xdr:spPr>
        <a:xfrm>
          <a:off x="14467635" y="1384300"/>
          <a:ext cx="132013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1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1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1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1391</a:t>
          </a:r>
        </a:p>
      </xdr:txBody>
    </xdr:sp>
    <xdr:clientData/>
  </xdr:twoCellAnchor>
  <xdr:twoCellAnchor>
    <xdr:from>
      <xdr:col>16</xdr:col>
      <xdr:colOff>3230753</xdr:colOff>
      <xdr:row>6</xdr:row>
      <xdr:rowOff>12700</xdr:rowOff>
    </xdr:from>
    <xdr:to>
      <xdr:col>16</xdr:col>
      <xdr:colOff>4477375</xdr:colOff>
      <xdr:row>6</xdr:row>
      <xdr:rowOff>177800</xdr:rowOff>
    </xdr:to>
    <xdr:sp macro="" textlink="">
      <xdr:nvSpPr>
        <xdr:cNvPr id="166057" name="Скругленный прямоугольник 166056">
          <a:extLst>
            <a:ext uri="{FF2B5EF4-FFF2-40B4-BE49-F238E27FC236}">
              <a16:creationId xmlns:a16="http://schemas.microsoft.com/office/drawing/2014/main" id="{00000000-0008-0000-0000-0000A9880200}"/>
            </a:ext>
          </a:extLst>
        </xdr:cNvPr>
        <xdr:cNvSpPr/>
      </xdr:nvSpPr>
      <xdr:spPr>
        <a:xfrm>
          <a:off x="15822803" y="1384300"/>
          <a:ext cx="124662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A4" mc:Ignorable="a14" a14:legacySpreadsheetColorIndex="2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D8" mc:Ignorable="a14" a14:legacySpreadsheetColorIndex="2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53" mc:Ignorable="a14" a14:legacySpreadsheetColorIndex="2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1315</a:t>
          </a:r>
        </a:p>
      </xdr:txBody>
    </xdr:sp>
    <xdr:clientData/>
  </xdr:twoCellAnchor>
  <xdr:twoCellAnchor>
    <xdr:from>
      <xdr:col>16</xdr:col>
      <xdr:colOff>4512405</xdr:colOff>
      <xdr:row>6</xdr:row>
      <xdr:rowOff>12700</xdr:rowOff>
    </xdr:from>
    <xdr:to>
      <xdr:col>16</xdr:col>
      <xdr:colOff>5759027</xdr:colOff>
      <xdr:row>6</xdr:row>
      <xdr:rowOff>177800</xdr:rowOff>
    </xdr:to>
    <xdr:sp macro="" textlink="">
      <xdr:nvSpPr>
        <xdr:cNvPr id="166058" name="Скругленный прямоугольник 166057">
          <a:extLst>
            <a:ext uri="{FF2B5EF4-FFF2-40B4-BE49-F238E27FC236}">
              <a16:creationId xmlns:a16="http://schemas.microsoft.com/office/drawing/2014/main" id="{00000000-0008-0000-0000-0000AA880200}"/>
            </a:ext>
          </a:extLst>
        </xdr:cNvPr>
        <xdr:cNvSpPr/>
      </xdr:nvSpPr>
      <xdr:spPr>
        <a:xfrm>
          <a:off x="17104455" y="1384300"/>
          <a:ext cx="124662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A4" mc:Ignorable="a14" a14:legacySpreadsheetColorIndex="2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D8" mc:Ignorable="a14" a14:legacySpreadsheetColorIndex="2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53" mc:Ignorable="a14" a14:legacySpreadsheetColorIndex="2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1315</a:t>
          </a:r>
        </a:p>
      </xdr:txBody>
    </xdr:sp>
    <xdr:clientData/>
  </xdr:twoCellAnchor>
  <xdr:twoCellAnchor>
    <xdr:from>
      <xdr:col>16</xdr:col>
      <xdr:colOff>0</xdr:colOff>
      <xdr:row>7</xdr:row>
      <xdr:rowOff>12700</xdr:rowOff>
    </xdr:from>
    <xdr:to>
      <xdr:col>16</xdr:col>
      <xdr:colOff>1575508</xdr:colOff>
      <xdr:row>7</xdr:row>
      <xdr:rowOff>177800</xdr:rowOff>
    </xdr:to>
    <xdr:sp macro="" textlink="">
      <xdr:nvSpPr>
        <xdr:cNvPr id="166059" name="Скругленный прямоугольник 166058">
          <a:extLst>
            <a:ext uri="{FF2B5EF4-FFF2-40B4-BE49-F238E27FC236}">
              <a16:creationId xmlns:a16="http://schemas.microsoft.com/office/drawing/2014/main" id="{00000000-0008-0000-0000-0000AB880200}"/>
            </a:ext>
          </a:extLst>
        </xdr:cNvPr>
        <xdr:cNvSpPr/>
      </xdr:nvSpPr>
      <xdr:spPr>
        <a:xfrm>
          <a:off x="12592050" y="1574800"/>
          <a:ext cx="157550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1655</a:t>
          </a:r>
        </a:p>
      </xdr:txBody>
    </xdr:sp>
    <xdr:clientData/>
  </xdr:twoCellAnchor>
  <xdr:twoCellAnchor>
    <xdr:from>
      <xdr:col>16</xdr:col>
      <xdr:colOff>1610540</xdr:colOff>
      <xdr:row>7</xdr:row>
      <xdr:rowOff>12700</xdr:rowOff>
    </xdr:from>
    <xdr:to>
      <xdr:col>16</xdr:col>
      <xdr:colOff>3069971</xdr:colOff>
      <xdr:row>7</xdr:row>
      <xdr:rowOff>177800</xdr:rowOff>
    </xdr:to>
    <xdr:sp macro="" textlink="">
      <xdr:nvSpPr>
        <xdr:cNvPr id="166060" name="Скругленный прямоугольник 166059">
          <a:extLst>
            <a:ext uri="{FF2B5EF4-FFF2-40B4-BE49-F238E27FC236}">
              <a16:creationId xmlns:a16="http://schemas.microsoft.com/office/drawing/2014/main" id="{00000000-0008-0000-0000-0000AC880200}"/>
            </a:ext>
          </a:extLst>
        </xdr:cNvPr>
        <xdr:cNvSpPr/>
      </xdr:nvSpPr>
      <xdr:spPr>
        <a:xfrm>
          <a:off x="14202590" y="1574800"/>
          <a:ext cx="145943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1535</a:t>
          </a:r>
        </a:p>
      </xdr:txBody>
    </xdr:sp>
    <xdr:clientData/>
  </xdr:twoCellAnchor>
  <xdr:twoCellAnchor>
    <xdr:from>
      <xdr:col>16</xdr:col>
      <xdr:colOff>3105001</xdr:colOff>
      <xdr:row>7</xdr:row>
      <xdr:rowOff>12700</xdr:rowOff>
    </xdr:from>
    <xdr:to>
      <xdr:col>16</xdr:col>
      <xdr:colOff>4564431</xdr:colOff>
      <xdr:row>7</xdr:row>
      <xdr:rowOff>177800</xdr:rowOff>
    </xdr:to>
    <xdr:sp macro="" textlink="">
      <xdr:nvSpPr>
        <xdr:cNvPr id="166061" name="Скругленный прямоугольник 166060">
          <a:extLst>
            <a:ext uri="{FF2B5EF4-FFF2-40B4-BE49-F238E27FC236}">
              <a16:creationId xmlns:a16="http://schemas.microsoft.com/office/drawing/2014/main" id="{00000000-0008-0000-0000-0000AD880200}"/>
            </a:ext>
          </a:extLst>
        </xdr:cNvPr>
        <xdr:cNvSpPr/>
      </xdr:nvSpPr>
      <xdr:spPr>
        <a:xfrm>
          <a:off x="15697051" y="1574800"/>
          <a:ext cx="145943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1535</a:t>
          </a:r>
        </a:p>
      </xdr:txBody>
    </xdr:sp>
    <xdr:clientData/>
  </xdr:twoCellAnchor>
  <xdr:twoCellAnchor>
    <xdr:from>
      <xdr:col>16</xdr:col>
      <xdr:colOff>4599463</xdr:colOff>
      <xdr:row>7</xdr:row>
      <xdr:rowOff>12700</xdr:rowOff>
    </xdr:from>
    <xdr:to>
      <xdr:col>16</xdr:col>
      <xdr:colOff>5759027</xdr:colOff>
      <xdr:row>7</xdr:row>
      <xdr:rowOff>177800</xdr:rowOff>
    </xdr:to>
    <xdr:sp macro="" textlink="">
      <xdr:nvSpPr>
        <xdr:cNvPr id="166062" name="Скругленный прямоугольник 166061">
          <a:extLst>
            <a:ext uri="{FF2B5EF4-FFF2-40B4-BE49-F238E27FC236}">
              <a16:creationId xmlns:a16="http://schemas.microsoft.com/office/drawing/2014/main" id="{00000000-0008-0000-0000-0000AE880200}"/>
            </a:ext>
          </a:extLst>
        </xdr:cNvPr>
        <xdr:cNvSpPr/>
      </xdr:nvSpPr>
      <xdr:spPr>
        <a:xfrm>
          <a:off x="17191513" y="1574800"/>
          <a:ext cx="115956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1225</a:t>
          </a:r>
        </a:p>
      </xdr:txBody>
    </xdr:sp>
    <xdr:clientData/>
  </xdr:twoCellAnchor>
  <xdr:twoCellAnchor>
    <xdr:from>
      <xdr:col>16</xdr:col>
      <xdr:colOff>0</xdr:colOff>
      <xdr:row>8</xdr:row>
      <xdr:rowOff>12700</xdr:rowOff>
    </xdr:from>
    <xdr:to>
      <xdr:col>16</xdr:col>
      <xdr:colOff>1517470</xdr:colOff>
      <xdr:row>8</xdr:row>
      <xdr:rowOff>177800</xdr:rowOff>
    </xdr:to>
    <xdr:sp macro="" textlink="">
      <xdr:nvSpPr>
        <xdr:cNvPr id="166063" name="Скругленный прямоугольник 166062">
          <a:extLst>
            <a:ext uri="{FF2B5EF4-FFF2-40B4-BE49-F238E27FC236}">
              <a16:creationId xmlns:a16="http://schemas.microsoft.com/office/drawing/2014/main" id="{00000000-0008-0000-0000-0000AF880200}"/>
            </a:ext>
          </a:extLst>
        </xdr:cNvPr>
        <xdr:cNvSpPr/>
      </xdr:nvSpPr>
      <xdr:spPr>
        <a:xfrm>
          <a:off x="12592050" y="1765300"/>
          <a:ext cx="151747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1595</a:t>
          </a:r>
        </a:p>
      </xdr:txBody>
    </xdr:sp>
    <xdr:clientData/>
  </xdr:twoCellAnchor>
  <xdr:twoCellAnchor>
    <xdr:from>
      <xdr:col>16</xdr:col>
      <xdr:colOff>1552501</xdr:colOff>
      <xdr:row>8</xdr:row>
      <xdr:rowOff>12700</xdr:rowOff>
    </xdr:from>
    <xdr:to>
      <xdr:col>16</xdr:col>
      <xdr:colOff>3069971</xdr:colOff>
      <xdr:row>8</xdr:row>
      <xdr:rowOff>177800</xdr:rowOff>
    </xdr:to>
    <xdr:sp macro="" textlink="">
      <xdr:nvSpPr>
        <xdr:cNvPr id="166064" name="Скругленный прямоугольник 166063">
          <a:extLst>
            <a:ext uri="{FF2B5EF4-FFF2-40B4-BE49-F238E27FC236}">
              <a16:creationId xmlns:a16="http://schemas.microsoft.com/office/drawing/2014/main" id="{00000000-0008-0000-0000-0000B0880200}"/>
            </a:ext>
          </a:extLst>
        </xdr:cNvPr>
        <xdr:cNvSpPr/>
      </xdr:nvSpPr>
      <xdr:spPr>
        <a:xfrm>
          <a:off x="14144551" y="1765300"/>
          <a:ext cx="151747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1595</a:t>
          </a:r>
        </a:p>
      </xdr:txBody>
    </xdr:sp>
    <xdr:clientData/>
  </xdr:twoCellAnchor>
  <xdr:twoCellAnchor>
    <xdr:from>
      <xdr:col>16</xdr:col>
      <xdr:colOff>3105001</xdr:colOff>
      <xdr:row>8</xdr:row>
      <xdr:rowOff>12700</xdr:rowOff>
    </xdr:from>
    <xdr:to>
      <xdr:col>16</xdr:col>
      <xdr:colOff>4564431</xdr:colOff>
      <xdr:row>8</xdr:row>
      <xdr:rowOff>177800</xdr:rowOff>
    </xdr:to>
    <xdr:sp macro="" textlink="">
      <xdr:nvSpPr>
        <xdr:cNvPr id="166065" name="Скругленный прямоугольник 166064">
          <a:extLst>
            <a:ext uri="{FF2B5EF4-FFF2-40B4-BE49-F238E27FC236}">
              <a16:creationId xmlns:a16="http://schemas.microsoft.com/office/drawing/2014/main" id="{00000000-0008-0000-0000-0000B1880200}"/>
            </a:ext>
          </a:extLst>
        </xdr:cNvPr>
        <xdr:cNvSpPr/>
      </xdr:nvSpPr>
      <xdr:spPr>
        <a:xfrm>
          <a:off x="15697051" y="1765300"/>
          <a:ext cx="145943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1535</a:t>
          </a:r>
        </a:p>
      </xdr:txBody>
    </xdr:sp>
    <xdr:clientData/>
  </xdr:twoCellAnchor>
  <xdr:twoCellAnchor>
    <xdr:from>
      <xdr:col>16</xdr:col>
      <xdr:colOff>4599463</xdr:colOff>
      <xdr:row>8</xdr:row>
      <xdr:rowOff>12700</xdr:rowOff>
    </xdr:from>
    <xdr:to>
      <xdr:col>16</xdr:col>
      <xdr:colOff>5759027</xdr:colOff>
      <xdr:row>8</xdr:row>
      <xdr:rowOff>177800</xdr:rowOff>
    </xdr:to>
    <xdr:sp macro="" textlink="">
      <xdr:nvSpPr>
        <xdr:cNvPr id="166066" name="Скругленный прямоугольник 166065">
          <a:extLst>
            <a:ext uri="{FF2B5EF4-FFF2-40B4-BE49-F238E27FC236}">
              <a16:creationId xmlns:a16="http://schemas.microsoft.com/office/drawing/2014/main" id="{00000000-0008-0000-0000-0000B2880200}"/>
            </a:ext>
          </a:extLst>
        </xdr:cNvPr>
        <xdr:cNvSpPr/>
      </xdr:nvSpPr>
      <xdr:spPr>
        <a:xfrm>
          <a:off x="17191513" y="1765300"/>
          <a:ext cx="115956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1225</a:t>
          </a:r>
        </a:p>
      </xdr:txBody>
    </xdr:sp>
    <xdr:clientData/>
  </xdr:twoCellAnchor>
  <xdr:twoCellAnchor>
    <xdr:from>
      <xdr:col>16</xdr:col>
      <xdr:colOff>0</xdr:colOff>
      <xdr:row>9</xdr:row>
      <xdr:rowOff>12700</xdr:rowOff>
    </xdr:from>
    <xdr:to>
      <xdr:col>16</xdr:col>
      <xdr:colOff>1459430</xdr:colOff>
      <xdr:row>9</xdr:row>
      <xdr:rowOff>177800</xdr:rowOff>
    </xdr:to>
    <xdr:sp macro="" textlink="">
      <xdr:nvSpPr>
        <xdr:cNvPr id="166067" name="Скругленный прямоугольник 166066">
          <a:extLst>
            <a:ext uri="{FF2B5EF4-FFF2-40B4-BE49-F238E27FC236}">
              <a16:creationId xmlns:a16="http://schemas.microsoft.com/office/drawing/2014/main" id="{00000000-0008-0000-0000-0000B3880200}"/>
            </a:ext>
          </a:extLst>
        </xdr:cNvPr>
        <xdr:cNvSpPr/>
      </xdr:nvSpPr>
      <xdr:spPr>
        <a:xfrm>
          <a:off x="12592050" y="1955800"/>
          <a:ext cx="145943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1535</a:t>
          </a:r>
        </a:p>
      </xdr:txBody>
    </xdr:sp>
    <xdr:clientData/>
  </xdr:twoCellAnchor>
  <xdr:twoCellAnchor>
    <xdr:from>
      <xdr:col>16</xdr:col>
      <xdr:colOff>1494462</xdr:colOff>
      <xdr:row>9</xdr:row>
      <xdr:rowOff>12700</xdr:rowOff>
    </xdr:from>
    <xdr:to>
      <xdr:col>16</xdr:col>
      <xdr:colOff>2953894</xdr:colOff>
      <xdr:row>9</xdr:row>
      <xdr:rowOff>177800</xdr:rowOff>
    </xdr:to>
    <xdr:sp macro="" textlink="">
      <xdr:nvSpPr>
        <xdr:cNvPr id="166068" name="Скругленный прямоугольник 166067">
          <a:extLst>
            <a:ext uri="{FF2B5EF4-FFF2-40B4-BE49-F238E27FC236}">
              <a16:creationId xmlns:a16="http://schemas.microsoft.com/office/drawing/2014/main" id="{00000000-0008-0000-0000-0000B4880200}"/>
            </a:ext>
          </a:extLst>
        </xdr:cNvPr>
        <xdr:cNvSpPr/>
      </xdr:nvSpPr>
      <xdr:spPr>
        <a:xfrm>
          <a:off x="14086512" y="1955800"/>
          <a:ext cx="145943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1535</a:t>
          </a:r>
        </a:p>
      </xdr:txBody>
    </xdr:sp>
    <xdr:clientData/>
  </xdr:twoCellAnchor>
  <xdr:twoCellAnchor>
    <xdr:from>
      <xdr:col>16</xdr:col>
      <xdr:colOff>2988925</xdr:colOff>
      <xdr:row>9</xdr:row>
      <xdr:rowOff>12700</xdr:rowOff>
    </xdr:from>
    <xdr:to>
      <xdr:col>16</xdr:col>
      <xdr:colOff>4448355</xdr:colOff>
      <xdr:row>9</xdr:row>
      <xdr:rowOff>177800</xdr:rowOff>
    </xdr:to>
    <xdr:sp macro="" textlink="">
      <xdr:nvSpPr>
        <xdr:cNvPr id="166069" name="Скругленный прямоугольник 166068">
          <a:extLst>
            <a:ext uri="{FF2B5EF4-FFF2-40B4-BE49-F238E27FC236}">
              <a16:creationId xmlns:a16="http://schemas.microsoft.com/office/drawing/2014/main" id="{00000000-0008-0000-0000-0000B5880200}"/>
            </a:ext>
          </a:extLst>
        </xdr:cNvPr>
        <xdr:cNvSpPr/>
      </xdr:nvSpPr>
      <xdr:spPr>
        <a:xfrm>
          <a:off x="15580975" y="1955800"/>
          <a:ext cx="145943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1535</a:t>
          </a:r>
        </a:p>
      </xdr:txBody>
    </xdr:sp>
    <xdr:clientData/>
  </xdr:twoCellAnchor>
  <xdr:twoCellAnchor>
    <xdr:from>
      <xdr:col>16</xdr:col>
      <xdr:colOff>4483385</xdr:colOff>
      <xdr:row>9</xdr:row>
      <xdr:rowOff>12700</xdr:rowOff>
    </xdr:from>
    <xdr:to>
      <xdr:col>16</xdr:col>
      <xdr:colOff>5759027</xdr:colOff>
      <xdr:row>9</xdr:row>
      <xdr:rowOff>177800</xdr:rowOff>
    </xdr:to>
    <xdr:sp macro="" textlink="">
      <xdr:nvSpPr>
        <xdr:cNvPr id="166070" name="Скругленный прямоугольник 166069">
          <a:extLst>
            <a:ext uri="{FF2B5EF4-FFF2-40B4-BE49-F238E27FC236}">
              <a16:creationId xmlns:a16="http://schemas.microsoft.com/office/drawing/2014/main" id="{00000000-0008-0000-0000-0000B6880200}"/>
            </a:ext>
          </a:extLst>
        </xdr:cNvPr>
        <xdr:cNvSpPr/>
      </xdr:nvSpPr>
      <xdr:spPr>
        <a:xfrm>
          <a:off x="17075435" y="1955800"/>
          <a:ext cx="127564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A4" mc:Ignorable="a14" a14:legacySpreadsheetColorIndex="2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D8" mc:Ignorable="a14" a14:legacySpreadsheetColorIndex="2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53" mc:Ignorable="a14" a14:legacySpreadsheetColorIndex="2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1345</a:t>
          </a:r>
        </a:p>
      </xdr:txBody>
    </xdr:sp>
    <xdr:clientData/>
  </xdr:twoCellAnchor>
  <xdr:twoCellAnchor>
    <xdr:from>
      <xdr:col>16</xdr:col>
      <xdr:colOff>0</xdr:colOff>
      <xdr:row>10</xdr:row>
      <xdr:rowOff>12700</xdr:rowOff>
    </xdr:from>
    <xdr:to>
      <xdr:col>16</xdr:col>
      <xdr:colOff>2502198</xdr:colOff>
      <xdr:row>10</xdr:row>
      <xdr:rowOff>177800</xdr:rowOff>
    </xdr:to>
    <xdr:sp macro="" textlink="">
      <xdr:nvSpPr>
        <xdr:cNvPr id="166071" name="Скругленный прямоугольник 166070">
          <a:extLst>
            <a:ext uri="{FF2B5EF4-FFF2-40B4-BE49-F238E27FC236}">
              <a16:creationId xmlns:a16="http://schemas.microsoft.com/office/drawing/2014/main" id="{00000000-0008-0000-0000-0000B7880200}"/>
            </a:ext>
          </a:extLst>
        </xdr:cNvPr>
        <xdr:cNvSpPr/>
      </xdr:nvSpPr>
      <xdr:spPr>
        <a:xfrm>
          <a:off x="12592050" y="2146300"/>
          <a:ext cx="250219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2613</a:t>
          </a:r>
        </a:p>
      </xdr:txBody>
    </xdr:sp>
    <xdr:clientData/>
  </xdr:twoCellAnchor>
  <xdr:twoCellAnchor>
    <xdr:from>
      <xdr:col>16</xdr:col>
      <xdr:colOff>2537230</xdr:colOff>
      <xdr:row>10</xdr:row>
      <xdr:rowOff>12700</xdr:rowOff>
    </xdr:from>
    <xdr:to>
      <xdr:col>16</xdr:col>
      <xdr:colOff>3857368</xdr:colOff>
      <xdr:row>10</xdr:row>
      <xdr:rowOff>177800</xdr:rowOff>
    </xdr:to>
    <xdr:sp macro="" textlink="">
      <xdr:nvSpPr>
        <xdr:cNvPr id="166072" name="Скругленный прямоугольник 166071">
          <a:extLst>
            <a:ext uri="{FF2B5EF4-FFF2-40B4-BE49-F238E27FC236}">
              <a16:creationId xmlns:a16="http://schemas.microsoft.com/office/drawing/2014/main" id="{00000000-0008-0000-0000-0000B8880200}"/>
            </a:ext>
          </a:extLst>
        </xdr:cNvPr>
        <xdr:cNvSpPr/>
      </xdr:nvSpPr>
      <xdr:spPr>
        <a:xfrm>
          <a:off x="15129280" y="2146300"/>
          <a:ext cx="132013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1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1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1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1391</a:t>
          </a:r>
        </a:p>
      </xdr:txBody>
    </xdr:sp>
    <xdr:clientData/>
  </xdr:twoCellAnchor>
  <xdr:twoCellAnchor>
    <xdr:from>
      <xdr:col>16</xdr:col>
      <xdr:colOff>3892398</xdr:colOff>
      <xdr:row>10</xdr:row>
      <xdr:rowOff>12700</xdr:rowOff>
    </xdr:from>
    <xdr:to>
      <xdr:col>16</xdr:col>
      <xdr:colOff>5168040</xdr:colOff>
      <xdr:row>10</xdr:row>
      <xdr:rowOff>177800</xdr:rowOff>
    </xdr:to>
    <xdr:sp macro="" textlink="">
      <xdr:nvSpPr>
        <xdr:cNvPr id="166073" name="Скругленный прямоугольник 166072">
          <a:extLst>
            <a:ext uri="{FF2B5EF4-FFF2-40B4-BE49-F238E27FC236}">
              <a16:creationId xmlns:a16="http://schemas.microsoft.com/office/drawing/2014/main" id="{00000000-0008-0000-0000-0000B9880200}"/>
            </a:ext>
          </a:extLst>
        </xdr:cNvPr>
        <xdr:cNvSpPr/>
      </xdr:nvSpPr>
      <xdr:spPr>
        <a:xfrm>
          <a:off x="16484448" y="2146300"/>
          <a:ext cx="127564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A4" mc:Ignorable="a14" a14:legacySpreadsheetColorIndex="2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D8" mc:Ignorable="a14" a14:legacySpreadsheetColorIndex="2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53" mc:Ignorable="a14" a14:legacySpreadsheetColorIndex="2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1345</a:t>
          </a:r>
        </a:p>
      </xdr:txBody>
    </xdr:sp>
    <xdr:clientData/>
  </xdr:twoCellAnchor>
  <xdr:twoCellAnchor>
    <xdr:from>
      <xdr:col>16</xdr:col>
      <xdr:colOff>5203070</xdr:colOff>
      <xdr:row>10</xdr:row>
      <xdr:rowOff>12700</xdr:rowOff>
    </xdr:from>
    <xdr:to>
      <xdr:col>16</xdr:col>
      <xdr:colOff>5758059</xdr:colOff>
      <xdr:row>10</xdr:row>
      <xdr:rowOff>177800</xdr:rowOff>
    </xdr:to>
    <xdr:sp macro="" textlink="">
      <xdr:nvSpPr>
        <xdr:cNvPr id="166074" name="Скругленный прямоугольник 166073">
          <a:extLst>
            <a:ext uri="{FF2B5EF4-FFF2-40B4-BE49-F238E27FC236}">
              <a16:creationId xmlns:a16="http://schemas.microsoft.com/office/drawing/2014/main" id="{00000000-0008-0000-0000-0000BA880200}"/>
            </a:ext>
          </a:extLst>
        </xdr:cNvPr>
        <xdr:cNvSpPr/>
      </xdr:nvSpPr>
      <xdr:spPr>
        <a:xfrm>
          <a:off x="17795120" y="2146300"/>
          <a:ext cx="5549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3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3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3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600</a:t>
          </a:r>
        </a:p>
      </xdr:txBody>
    </xdr:sp>
    <xdr:clientData/>
  </xdr:twoCellAnchor>
  <xdr:twoCellAnchor>
    <xdr:from>
      <xdr:col>16</xdr:col>
      <xdr:colOff>0</xdr:colOff>
      <xdr:row>11</xdr:row>
      <xdr:rowOff>12700</xdr:rowOff>
    </xdr:from>
    <xdr:to>
      <xdr:col>16</xdr:col>
      <xdr:colOff>2155899</xdr:colOff>
      <xdr:row>11</xdr:row>
      <xdr:rowOff>177800</xdr:rowOff>
    </xdr:to>
    <xdr:sp macro="" textlink="">
      <xdr:nvSpPr>
        <xdr:cNvPr id="166075" name="Скругленный прямоугольник 166074">
          <a:extLst>
            <a:ext uri="{FF2B5EF4-FFF2-40B4-BE49-F238E27FC236}">
              <a16:creationId xmlns:a16="http://schemas.microsoft.com/office/drawing/2014/main" id="{00000000-0008-0000-0000-0000BB880200}"/>
            </a:ext>
          </a:extLst>
        </xdr:cNvPr>
        <xdr:cNvSpPr/>
      </xdr:nvSpPr>
      <xdr:spPr>
        <a:xfrm>
          <a:off x="12592050" y="2336800"/>
          <a:ext cx="215589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2255</a:t>
          </a:r>
        </a:p>
      </xdr:txBody>
    </xdr:sp>
    <xdr:clientData/>
  </xdr:twoCellAnchor>
  <xdr:twoCellAnchor>
    <xdr:from>
      <xdr:col>16</xdr:col>
      <xdr:colOff>2190930</xdr:colOff>
      <xdr:row>11</xdr:row>
      <xdr:rowOff>12700</xdr:rowOff>
    </xdr:from>
    <xdr:to>
      <xdr:col>16</xdr:col>
      <xdr:colOff>4346829</xdr:colOff>
      <xdr:row>11</xdr:row>
      <xdr:rowOff>177800</xdr:rowOff>
    </xdr:to>
    <xdr:sp macro="" textlink="">
      <xdr:nvSpPr>
        <xdr:cNvPr id="166076" name="Скругленный прямоугольник 166075">
          <a:extLst>
            <a:ext uri="{FF2B5EF4-FFF2-40B4-BE49-F238E27FC236}">
              <a16:creationId xmlns:a16="http://schemas.microsoft.com/office/drawing/2014/main" id="{00000000-0008-0000-0000-0000BC880200}"/>
            </a:ext>
          </a:extLst>
        </xdr:cNvPr>
        <xdr:cNvSpPr/>
      </xdr:nvSpPr>
      <xdr:spPr>
        <a:xfrm>
          <a:off x="14782980" y="2336800"/>
          <a:ext cx="215589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2255</a:t>
          </a:r>
        </a:p>
      </xdr:txBody>
    </xdr:sp>
    <xdr:clientData/>
  </xdr:twoCellAnchor>
  <xdr:twoCellAnchor>
    <xdr:from>
      <xdr:col>16</xdr:col>
      <xdr:colOff>4381860</xdr:colOff>
      <xdr:row>11</xdr:row>
      <xdr:rowOff>12700</xdr:rowOff>
    </xdr:from>
    <xdr:to>
      <xdr:col>16</xdr:col>
      <xdr:colOff>5758101</xdr:colOff>
      <xdr:row>11</xdr:row>
      <xdr:rowOff>177800</xdr:rowOff>
    </xdr:to>
    <xdr:sp macro="" textlink="">
      <xdr:nvSpPr>
        <xdr:cNvPr id="166077" name="Скругленный прямоугольник 166076">
          <a:extLst>
            <a:ext uri="{FF2B5EF4-FFF2-40B4-BE49-F238E27FC236}">
              <a16:creationId xmlns:a16="http://schemas.microsoft.com/office/drawing/2014/main" id="{00000000-0008-0000-0000-0000BD880200}"/>
            </a:ext>
          </a:extLst>
        </xdr:cNvPr>
        <xdr:cNvSpPr/>
      </xdr:nvSpPr>
      <xdr:spPr>
        <a:xfrm>
          <a:off x="16973910" y="2336800"/>
          <a:ext cx="137624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1449</a:t>
          </a:r>
        </a:p>
      </xdr:txBody>
    </xdr:sp>
    <xdr:clientData/>
  </xdr:twoCellAnchor>
  <xdr:twoCellAnchor>
    <xdr:from>
      <xdr:col>16</xdr:col>
      <xdr:colOff>0</xdr:colOff>
      <xdr:row>12</xdr:row>
      <xdr:rowOff>12700</xdr:rowOff>
    </xdr:from>
    <xdr:to>
      <xdr:col>16</xdr:col>
      <xdr:colOff>1575508</xdr:colOff>
      <xdr:row>12</xdr:row>
      <xdr:rowOff>177800</xdr:rowOff>
    </xdr:to>
    <xdr:sp macro="" textlink="">
      <xdr:nvSpPr>
        <xdr:cNvPr id="166078" name="Скругленный прямоугольник 166077">
          <a:extLst>
            <a:ext uri="{FF2B5EF4-FFF2-40B4-BE49-F238E27FC236}">
              <a16:creationId xmlns:a16="http://schemas.microsoft.com/office/drawing/2014/main" id="{00000000-0008-0000-0000-0000BE880200}"/>
            </a:ext>
          </a:extLst>
        </xdr:cNvPr>
        <xdr:cNvSpPr/>
      </xdr:nvSpPr>
      <xdr:spPr>
        <a:xfrm>
          <a:off x="12592050" y="2527300"/>
          <a:ext cx="157550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1655</a:t>
          </a:r>
        </a:p>
      </xdr:txBody>
    </xdr:sp>
    <xdr:clientData/>
  </xdr:twoCellAnchor>
  <xdr:twoCellAnchor>
    <xdr:from>
      <xdr:col>16</xdr:col>
      <xdr:colOff>1610540</xdr:colOff>
      <xdr:row>12</xdr:row>
      <xdr:rowOff>12700</xdr:rowOff>
    </xdr:from>
    <xdr:to>
      <xdr:col>16</xdr:col>
      <xdr:colOff>2837816</xdr:colOff>
      <xdr:row>12</xdr:row>
      <xdr:rowOff>177800</xdr:rowOff>
    </xdr:to>
    <xdr:sp macro="" textlink="">
      <xdr:nvSpPr>
        <xdr:cNvPr id="166079" name="Скругленный прямоугольник 166078">
          <a:extLst>
            <a:ext uri="{FF2B5EF4-FFF2-40B4-BE49-F238E27FC236}">
              <a16:creationId xmlns:a16="http://schemas.microsoft.com/office/drawing/2014/main" id="{00000000-0008-0000-0000-0000BF880200}"/>
            </a:ext>
          </a:extLst>
        </xdr:cNvPr>
        <xdr:cNvSpPr/>
      </xdr:nvSpPr>
      <xdr:spPr>
        <a:xfrm>
          <a:off x="14202590" y="2527300"/>
          <a:ext cx="122727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1295</a:t>
          </a:r>
        </a:p>
      </xdr:txBody>
    </xdr:sp>
    <xdr:clientData/>
  </xdr:twoCellAnchor>
  <xdr:twoCellAnchor>
    <xdr:from>
      <xdr:col>16</xdr:col>
      <xdr:colOff>2872846</xdr:colOff>
      <xdr:row>12</xdr:row>
      <xdr:rowOff>12700</xdr:rowOff>
    </xdr:from>
    <xdr:to>
      <xdr:col>16</xdr:col>
      <xdr:colOff>4090448</xdr:colOff>
      <xdr:row>12</xdr:row>
      <xdr:rowOff>177800</xdr:rowOff>
    </xdr:to>
    <xdr:sp macro="" textlink="">
      <xdr:nvSpPr>
        <xdr:cNvPr id="166080" name="Скругленный прямоугольник 166079">
          <a:extLst>
            <a:ext uri="{FF2B5EF4-FFF2-40B4-BE49-F238E27FC236}">
              <a16:creationId xmlns:a16="http://schemas.microsoft.com/office/drawing/2014/main" id="{00000000-0008-0000-0000-0000C0880200}"/>
            </a:ext>
          </a:extLst>
        </xdr:cNvPr>
        <xdr:cNvSpPr/>
      </xdr:nvSpPr>
      <xdr:spPr>
        <a:xfrm>
          <a:off x="15464896" y="2527300"/>
          <a:ext cx="121760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B4FF" mc:Ignorable="a14" a14:legacySpreadsheetColorIndex="2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DEFF" mc:Ignorable="a14" a14:legacySpreadsheetColorIndex="2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64AA" mc:Ignorable="a14" a14:legacySpreadsheetColorIndex="2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1285</a:t>
          </a:r>
        </a:p>
      </xdr:txBody>
    </xdr:sp>
    <xdr:clientData/>
  </xdr:twoCellAnchor>
  <xdr:twoCellAnchor>
    <xdr:from>
      <xdr:col>16</xdr:col>
      <xdr:colOff>4125478</xdr:colOff>
      <xdr:row>12</xdr:row>
      <xdr:rowOff>12700</xdr:rowOff>
    </xdr:from>
    <xdr:to>
      <xdr:col>16</xdr:col>
      <xdr:colOff>5023865</xdr:colOff>
      <xdr:row>12</xdr:row>
      <xdr:rowOff>177800</xdr:rowOff>
    </xdr:to>
    <xdr:sp macro="" textlink="">
      <xdr:nvSpPr>
        <xdr:cNvPr id="166081" name="Скругленный прямоугольник 166080">
          <a:extLst>
            <a:ext uri="{FF2B5EF4-FFF2-40B4-BE49-F238E27FC236}">
              <a16:creationId xmlns:a16="http://schemas.microsoft.com/office/drawing/2014/main" id="{00000000-0008-0000-0000-0000C1880200}"/>
            </a:ext>
          </a:extLst>
        </xdr:cNvPr>
        <xdr:cNvSpPr/>
      </xdr:nvSpPr>
      <xdr:spPr>
        <a:xfrm>
          <a:off x="16717528" y="2527300"/>
          <a:ext cx="89838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7C96" mc:Ignorable="a14" a14:legacySpreadsheetColorIndex="2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CBD3" mc:Ignorable="a14" a14:legacySpreadsheetColorIndex="2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0041" mc:Ignorable="a14" a14:legacySpreadsheetColorIndex="2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955</a:t>
          </a:r>
        </a:p>
      </xdr:txBody>
    </xdr:sp>
    <xdr:clientData/>
  </xdr:twoCellAnchor>
  <xdr:twoCellAnchor>
    <xdr:from>
      <xdr:col>16</xdr:col>
      <xdr:colOff>5058897</xdr:colOff>
      <xdr:row>12</xdr:row>
      <xdr:rowOff>12700</xdr:rowOff>
    </xdr:from>
    <xdr:to>
      <xdr:col>16</xdr:col>
      <xdr:colOff>5758018</xdr:colOff>
      <xdr:row>12</xdr:row>
      <xdr:rowOff>177800</xdr:rowOff>
    </xdr:to>
    <xdr:sp macro="" textlink="">
      <xdr:nvSpPr>
        <xdr:cNvPr id="166082" name="Скругленный прямоугольник 166081">
          <a:extLst>
            <a:ext uri="{FF2B5EF4-FFF2-40B4-BE49-F238E27FC236}">
              <a16:creationId xmlns:a16="http://schemas.microsoft.com/office/drawing/2014/main" id="{00000000-0008-0000-0000-0000C2880200}"/>
            </a:ext>
          </a:extLst>
        </xdr:cNvPr>
        <xdr:cNvSpPr/>
      </xdr:nvSpPr>
      <xdr:spPr>
        <a:xfrm>
          <a:off x="17650947" y="2527300"/>
          <a:ext cx="69912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D7FF" mc:Ignorable="a14" a14:legacySpreadsheetColorIndex="3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ECFF" mc:Ignorable="a14" a14:legacySpreadsheetColorIndex="3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87AA" mc:Ignorable="a14" a14:legacySpreadsheetColorIndex="3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749</a:t>
          </a:r>
        </a:p>
      </xdr:txBody>
    </xdr:sp>
    <xdr:clientData/>
  </xdr:twoCellAnchor>
  <xdr:twoCellAnchor>
    <xdr:from>
      <xdr:col>16</xdr:col>
      <xdr:colOff>0</xdr:colOff>
      <xdr:row>13</xdr:row>
      <xdr:rowOff>12700</xdr:rowOff>
    </xdr:from>
    <xdr:to>
      <xdr:col>16</xdr:col>
      <xdr:colOff>2502198</xdr:colOff>
      <xdr:row>13</xdr:row>
      <xdr:rowOff>177800</xdr:rowOff>
    </xdr:to>
    <xdr:sp macro="" textlink="">
      <xdr:nvSpPr>
        <xdr:cNvPr id="166083" name="Скругленный прямоугольник 166082">
          <a:extLst>
            <a:ext uri="{FF2B5EF4-FFF2-40B4-BE49-F238E27FC236}">
              <a16:creationId xmlns:a16="http://schemas.microsoft.com/office/drawing/2014/main" id="{00000000-0008-0000-0000-0000C3880200}"/>
            </a:ext>
          </a:extLst>
        </xdr:cNvPr>
        <xdr:cNvSpPr/>
      </xdr:nvSpPr>
      <xdr:spPr>
        <a:xfrm>
          <a:off x="12592050" y="2717800"/>
          <a:ext cx="250219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2613</a:t>
          </a:r>
        </a:p>
      </xdr:txBody>
    </xdr:sp>
    <xdr:clientData/>
  </xdr:twoCellAnchor>
  <xdr:twoCellAnchor>
    <xdr:from>
      <xdr:col>16</xdr:col>
      <xdr:colOff>2537230</xdr:colOff>
      <xdr:row>13</xdr:row>
      <xdr:rowOff>12700</xdr:rowOff>
    </xdr:from>
    <xdr:to>
      <xdr:col>16</xdr:col>
      <xdr:colOff>3913471</xdr:colOff>
      <xdr:row>13</xdr:row>
      <xdr:rowOff>177800</xdr:rowOff>
    </xdr:to>
    <xdr:sp macro="" textlink="">
      <xdr:nvSpPr>
        <xdr:cNvPr id="166084" name="Скругленный прямоугольник 166083">
          <a:extLst>
            <a:ext uri="{FF2B5EF4-FFF2-40B4-BE49-F238E27FC236}">
              <a16:creationId xmlns:a16="http://schemas.microsoft.com/office/drawing/2014/main" id="{00000000-0008-0000-0000-0000C4880200}"/>
            </a:ext>
          </a:extLst>
        </xdr:cNvPr>
        <xdr:cNvSpPr/>
      </xdr:nvSpPr>
      <xdr:spPr>
        <a:xfrm>
          <a:off x="15129280" y="2717800"/>
          <a:ext cx="137624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1449</a:t>
          </a:r>
        </a:p>
      </xdr:txBody>
    </xdr:sp>
    <xdr:clientData/>
  </xdr:twoCellAnchor>
  <xdr:twoCellAnchor>
    <xdr:from>
      <xdr:col>16</xdr:col>
      <xdr:colOff>3948502</xdr:colOff>
      <xdr:row>13</xdr:row>
      <xdr:rowOff>12700</xdr:rowOff>
    </xdr:from>
    <xdr:to>
      <xdr:col>16</xdr:col>
      <xdr:colOff>5166103</xdr:colOff>
      <xdr:row>13</xdr:row>
      <xdr:rowOff>177800</xdr:rowOff>
    </xdr:to>
    <xdr:sp macro="" textlink="">
      <xdr:nvSpPr>
        <xdr:cNvPr id="166085" name="Скругленный прямоугольник 166084">
          <a:extLst>
            <a:ext uri="{FF2B5EF4-FFF2-40B4-BE49-F238E27FC236}">
              <a16:creationId xmlns:a16="http://schemas.microsoft.com/office/drawing/2014/main" id="{00000000-0008-0000-0000-0000C5880200}"/>
            </a:ext>
          </a:extLst>
        </xdr:cNvPr>
        <xdr:cNvSpPr/>
      </xdr:nvSpPr>
      <xdr:spPr>
        <a:xfrm>
          <a:off x="16540552" y="2717800"/>
          <a:ext cx="121760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B4FF" mc:Ignorable="a14" a14:legacySpreadsheetColorIndex="2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DEFF" mc:Ignorable="a14" a14:legacySpreadsheetColorIndex="2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64AA" mc:Ignorable="a14" a14:legacySpreadsheetColorIndex="2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1285</a:t>
          </a:r>
        </a:p>
      </xdr:txBody>
    </xdr:sp>
    <xdr:clientData/>
  </xdr:twoCellAnchor>
  <xdr:twoCellAnchor>
    <xdr:from>
      <xdr:col>16</xdr:col>
      <xdr:colOff>5201135</xdr:colOff>
      <xdr:row>13</xdr:row>
      <xdr:rowOff>12700</xdr:rowOff>
    </xdr:from>
    <xdr:to>
      <xdr:col>16</xdr:col>
      <xdr:colOff>5756125</xdr:colOff>
      <xdr:row>13</xdr:row>
      <xdr:rowOff>177800</xdr:rowOff>
    </xdr:to>
    <xdr:sp macro="" textlink="">
      <xdr:nvSpPr>
        <xdr:cNvPr id="166086" name="Скругленный прямоугольник 166085">
          <a:extLst>
            <a:ext uri="{FF2B5EF4-FFF2-40B4-BE49-F238E27FC236}">
              <a16:creationId xmlns:a16="http://schemas.microsoft.com/office/drawing/2014/main" id="{00000000-0008-0000-0000-0000C6880200}"/>
            </a:ext>
          </a:extLst>
        </xdr:cNvPr>
        <xdr:cNvSpPr/>
      </xdr:nvSpPr>
      <xdr:spPr>
        <a:xfrm>
          <a:off x="17793185" y="2717800"/>
          <a:ext cx="55499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3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3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3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600</a:t>
          </a:r>
        </a:p>
      </xdr:txBody>
    </xdr:sp>
    <xdr:clientData/>
  </xdr:twoCellAnchor>
  <xdr:twoCellAnchor>
    <xdr:from>
      <xdr:col>16</xdr:col>
      <xdr:colOff>0</xdr:colOff>
      <xdr:row>14</xdr:row>
      <xdr:rowOff>12700</xdr:rowOff>
    </xdr:from>
    <xdr:to>
      <xdr:col>16</xdr:col>
      <xdr:colOff>2001129</xdr:colOff>
      <xdr:row>14</xdr:row>
      <xdr:rowOff>177800</xdr:rowOff>
    </xdr:to>
    <xdr:sp macro="" textlink="">
      <xdr:nvSpPr>
        <xdr:cNvPr id="166087" name="Скругленный прямоугольник 166086">
          <a:extLst>
            <a:ext uri="{FF2B5EF4-FFF2-40B4-BE49-F238E27FC236}">
              <a16:creationId xmlns:a16="http://schemas.microsoft.com/office/drawing/2014/main" id="{00000000-0008-0000-0000-0000C7880200}"/>
            </a:ext>
          </a:extLst>
        </xdr:cNvPr>
        <xdr:cNvSpPr/>
      </xdr:nvSpPr>
      <xdr:spPr>
        <a:xfrm>
          <a:off x="12592050" y="2908300"/>
          <a:ext cx="200112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2095</a:t>
          </a:r>
        </a:p>
      </xdr:txBody>
    </xdr:sp>
    <xdr:clientData/>
  </xdr:twoCellAnchor>
  <xdr:twoCellAnchor>
    <xdr:from>
      <xdr:col>16</xdr:col>
      <xdr:colOff>2036159</xdr:colOff>
      <xdr:row>14</xdr:row>
      <xdr:rowOff>12700</xdr:rowOff>
    </xdr:from>
    <xdr:to>
      <xdr:col>16</xdr:col>
      <xdr:colOff>3876714</xdr:colOff>
      <xdr:row>14</xdr:row>
      <xdr:rowOff>177800</xdr:rowOff>
    </xdr:to>
    <xdr:sp macro="" textlink="">
      <xdr:nvSpPr>
        <xdr:cNvPr id="166088" name="Скругленный прямоугольник 166087">
          <a:extLst>
            <a:ext uri="{FF2B5EF4-FFF2-40B4-BE49-F238E27FC236}">
              <a16:creationId xmlns:a16="http://schemas.microsoft.com/office/drawing/2014/main" id="{00000000-0008-0000-0000-0000C8880200}"/>
            </a:ext>
          </a:extLst>
        </xdr:cNvPr>
        <xdr:cNvSpPr/>
      </xdr:nvSpPr>
      <xdr:spPr>
        <a:xfrm>
          <a:off x="14628209" y="2908300"/>
          <a:ext cx="184055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1929</a:t>
          </a:r>
        </a:p>
      </xdr:txBody>
    </xdr:sp>
    <xdr:clientData/>
  </xdr:twoCellAnchor>
  <xdr:twoCellAnchor>
    <xdr:from>
      <xdr:col>16</xdr:col>
      <xdr:colOff>3911744</xdr:colOff>
      <xdr:row>14</xdr:row>
      <xdr:rowOff>12700</xdr:rowOff>
    </xdr:from>
    <xdr:to>
      <xdr:col>16</xdr:col>
      <xdr:colOff>5752298</xdr:colOff>
      <xdr:row>14</xdr:row>
      <xdr:rowOff>177800</xdr:rowOff>
    </xdr:to>
    <xdr:sp macro="" textlink="">
      <xdr:nvSpPr>
        <xdr:cNvPr id="166089" name="Скругленный прямоугольник 166088">
          <a:extLst>
            <a:ext uri="{FF2B5EF4-FFF2-40B4-BE49-F238E27FC236}">
              <a16:creationId xmlns:a16="http://schemas.microsoft.com/office/drawing/2014/main" id="{00000000-0008-0000-0000-0000C9880200}"/>
            </a:ext>
          </a:extLst>
        </xdr:cNvPr>
        <xdr:cNvSpPr/>
      </xdr:nvSpPr>
      <xdr:spPr>
        <a:xfrm>
          <a:off x="16503794" y="2908300"/>
          <a:ext cx="184055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1929</a:t>
          </a:r>
        </a:p>
      </xdr:txBody>
    </xdr:sp>
    <xdr:clientData/>
  </xdr:twoCellAnchor>
  <xdr:twoCellAnchor>
    <xdr:from>
      <xdr:col>16</xdr:col>
      <xdr:colOff>0</xdr:colOff>
      <xdr:row>15</xdr:row>
      <xdr:rowOff>12700</xdr:rowOff>
    </xdr:from>
    <xdr:to>
      <xdr:col>16</xdr:col>
      <xdr:colOff>1840554</xdr:colOff>
      <xdr:row>15</xdr:row>
      <xdr:rowOff>177800</xdr:rowOff>
    </xdr:to>
    <xdr:sp macro="" textlink="">
      <xdr:nvSpPr>
        <xdr:cNvPr id="166090" name="Скругленный прямоугольник 166089">
          <a:extLst>
            <a:ext uri="{FF2B5EF4-FFF2-40B4-BE49-F238E27FC236}">
              <a16:creationId xmlns:a16="http://schemas.microsoft.com/office/drawing/2014/main" id="{00000000-0008-0000-0000-0000CA880200}"/>
            </a:ext>
          </a:extLst>
        </xdr:cNvPr>
        <xdr:cNvSpPr/>
      </xdr:nvSpPr>
      <xdr:spPr>
        <a:xfrm>
          <a:off x="12592050" y="3098800"/>
          <a:ext cx="184055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1929</a:t>
          </a:r>
        </a:p>
      </xdr:txBody>
    </xdr:sp>
    <xdr:clientData/>
  </xdr:twoCellAnchor>
  <xdr:twoCellAnchor>
    <xdr:from>
      <xdr:col>16</xdr:col>
      <xdr:colOff>1875585</xdr:colOff>
      <xdr:row>15</xdr:row>
      <xdr:rowOff>12700</xdr:rowOff>
    </xdr:from>
    <xdr:to>
      <xdr:col>16</xdr:col>
      <xdr:colOff>3402729</xdr:colOff>
      <xdr:row>15</xdr:row>
      <xdr:rowOff>177800</xdr:rowOff>
    </xdr:to>
    <xdr:sp macro="" textlink="">
      <xdr:nvSpPr>
        <xdr:cNvPr id="166091" name="Скругленный прямоугольник 166090">
          <a:extLst>
            <a:ext uri="{FF2B5EF4-FFF2-40B4-BE49-F238E27FC236}">
              <a16:creationId xmlns:a16="http://schemas.microsoft.com/office/drawing/2014/main" id="{00000000-0008-0000-0000-0000CB880200}"/>
            </a:ext>
          </a:extLst>
        </xdr:cNvPr>
        <xdr:cNvSpPr/>
      </xdr:nvSpPr>
      <xdr:spPr>
        <a:xfrm>
          <a:off x="14467635" y="3098800"/>
          <a:ext cx="152714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1605</a:t>
          </a:r>
        </a:p>
      </xdr:txBody>
    </xdr:sp>
    <xdr:clientData/>
  </xdr:twoCellAnchor>
  <xdr:twoCellAnchor>
    <xdr:from>
      <xdr:col>16</xdr:col>
      <xdr:colOff>3437759</xdr:colOff>
      <xdr:row>15</xdr:row>
      <xdr:rowOff>12700</xdr:rowOff>
    </xdr:from>
    <xdr:to>
      <xdr:col>16</xdr:col>
      <xdr:colOff>4136879</xdr:colOff>
      <xdr:row>15</xdr:row>
      <xdr:rowOff>177800</xdr:rowOff>
    </xdr:to>
    <xdr:sp macro="" textlink="">
      <xdr:nvSpPr>
        <xdr:cNvPr id="166092" name="Скругленный прямоугольник 166091">
          <a:extLst>
            <a:ext uri="{FF2B5EF4-FFF2-40B4-BE49-F238E27FC236}">
              <a16:creationId xmlns:a16="http://schemas.microsoft.com/office/drawing/2014/main" id="{00000000-0008-0000-0000-0000CC880200}"/>
            </a:ext>
          </a:extLst>
        </xdr:cNvPr>
        <xdr:cNvSpPr/>
      </xdr:nvSpPr>
      <xdr:spPr>
        <a:xfrm>
          <a:off x="16029809" y="3098800"/>
          <a:ext cx="69912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D7FF" mc:Ignorable="a14" a14:legacySpreadsheetColorIndex="3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ECFF" mc:Ignorable="a14" a14:legacySpreadsheetColorIndex="3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87AA" mc:Ignorable="a14" a14:legacySpreadsheetColorIndex="3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749</a:t>
          </a:r>
        </a:p>
      </xdr:txBody>
    </xdr:sp>
    <xdr:clientData/>
  </xdr:twoCellAnchor>
  <xdr:twoCellAnchor>
    <xdr:from>
      <xdr:col>16</xdr:col>
      <xdr:colOff>4171910</xdr:colOff>
      <xdr:row>15</xdr:row>
      <xdr:rowOff>12700</xdr:rowOff>
    </xdr:from>
    <xdr:to>
      <xdr:col>16</xdr:col>
      <xdr:colOff>5768699</xdr:colOff>
      <xdr:row>15</xdr:row>
      <xdr:rowOff>177800</xdr:rowOff>
    </xdr:to>
    <xdr:sp macro="" textlink="">
      <xdr:nvSpPr>
        <xdr:cNvPr id="166093" name="Скругленный прямоугольник 166092">
          <a:extLst>
            <a:ext uri="{FF2B5EF4-FFF2-40B4-BE49-F238E27FC236}">
              <a16:creationId xmlns:a16="http://schemas.microsoft.com/office/drawing/2014/main" id="{00000000-0008-0000-0000-0000CD880200}"/>
            </a:ext>
          </a:extLst>
        </xdr:cNvPr>
        <xdr:cNvSpPr/>
      </xdr:nvSpPr>
      <xdr:spPr>
        <a:xfrm>
          <a:off x="16763960" y="3098800"/>
          <a:ext cx="15967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Остаток: 1677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44825</xdr:colOff>
      <xdr:row>17</xdr:row>
      <xdr:rowOff>150420</xdr:rowOff>
    </xdr:from>
    <xdr:to>
      <xdr:col>3</xdr:col>
      <xdr:colOff>307043</xdr:colOff>
      <xdr:row>19</xdr:row>
      <xdr:rowOff>76200</xdr:rowOff>
    </xdr:to>
    <xdr:sp macro="[0]!Raskroy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25800" y="3617520"/>
          <a:ext cx="1214718" cy="30678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Расчет</a:t>
          </a:r>
          <a:r>
            <a:rPr lang="en-US" sz="1100"/>
            <a:t> DP</a:t>
          </a:r>
          <a:endParaRPr lang="ru-RU" sz="1100"/>
        </a:p>
      </xdr:txBody>
    </xdr:sp>
    <xdr:clientData fPrintsWithSheet="0"/>
  </xdr:twoCellAnchor>
  <xdr:twoCellAnchor>
    <xdr:from>
      <xdr:col>3</xdr:col>
      <xdr:colOff>472817</xdr:colOff>
      <xdr:row>17</xdr:row>
      <xdr:rowOff>150420</xdr:rowOff>
    </xdr:from>
    <xdr:to>
      <xdr:col>4</xdr:col>
      <xdr:colOff>735035</xdr:colOff>
      <xdr:row>19</xdr:row>
      <xdr:rowOff>76200</xdr:rowOff>
    </xdr:to>
    <xdr:sp macro="[0]!ClearData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06292" y="3617520"/>
          <a:ext cx="1214718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Очистить все</a:t>
          </a:r>
        </a:p>
      </xdr:txBody>
    </xdr:sp>
    <xdr:clientData fPrintsWithSheet="0"/>
  </xdr:twoCellAnchor>
  <xdr:twoCellAnchor>
    <xdr:from>
      <xdr:col>4</xdr:col>
      <xdr:colOff>924205</xdr:colOff>
      <xdr:row>17</xdr:row>
      <xdr:rowOff>150420</xdr:rowOff>
    </xdr:from>
    <xdr:to>
      <xdr:col>7</xdr:col>
      <xdr:colOff>21011</xdr:colOff>
      <xdr:row>19</xdr:row>
      <xdr:rowOff>76200</xdr:rowOff>
    </xdr:to>
    <xdr:sp macro="[0]!OutGraph" textlink="">
      <xdr:nvSpPr>
        <xdr:cNvPr id="4" name="Скругленный прямоугольник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010180" y="3617520"/>
          <a:ext cx="1220881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Отобразить</a:t>
          </a:r>
        </a:p>
      </xdr:txBody>
    </xdr:sp>
    <xdr:clientData fPrintsWithSheet="0"/>
  </xdr:twoCellAnchor>
  <xdr:twoCellAnchor>
    <xdr:from>
      <xdr:col>7</xdr:col>
      <xdr:colOff>197224</xdr:colOff>
      <xdr:row>17</xdr:row>
      <xdr:rowOff>150420</xdr:rowOff>
    </xdr:from>
    <xdr:to>
      <xdr:col>8</xdr:col>
      <xdr:colOff>806824</xdr:colOff>
      <xdr:row>19</xdr:row>
      <xdr:rowOff>76200</xdr:rowOff>
    </xdr:to>
    <xdr:sp macro="[0]!Export2PDF" textlink="">
      <xdr:nvSpPr>
        <xdr:cNvPr id="5" name="Скругленный прямоугольник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407274" y="3617520"/>
          <a:ext cx="1209675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Экспорт в </a:t>
          </a:r>
          <a:r>
            <a:rPr lang="en-US" sz="1100"/>
            <a:t>PDF</a:t>
          </a:r>
          <a:endParaRPr lang="ru-RU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13</xdr:row>
          <xdr:rowOff>180975</xdr:rowOff>
        </xdr:from>
        <xdr:to>
          <xdr:col>9</xdr:col>
          <xdr:colOff>9525</xdr:colOff>
          <xdr:row>15</xdr:row>
          <xdr:rowOff>0</xdr:rowOff>
        </xdr:to>
        <xdr:sp macro="" textlink="">
          <xdr:nvSpPr>
            <xdr:cNvPr id="163841" name="Drop Down 1" hidden="1">
              <a:extLst>
                <a:ext uri="{63B3BB69-23CF-44E3-9099-C40C66FF867C}">
                  <a14:compatExt spid="_x0000_s163841"/>
                </a:ext>
                <a:ext uri="{FF2B5EF4-FFF2-40B4-BE49-F238E27FC236}">
                  <a16:creationId xmlns:a16="http://schemas.microsoft.com/office/drawing/2014/main" id="{00000000-0008-0000-0100-000001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13</xdr:row>
          <xdr:rowOff>161925</xdr:rowOff>
        </xdr:from>
        <xdr:to>
          <xdr:col>5</xdr:col>
          <xdr:colOff>981075</xdr:colOff>
          <xdr:row>15</xdr:row>
          <xdr:rowOff>0</xdr:rowOff>
        </xdr:to>
        <xdr:sp macro="" textlink="">
          <xdr:nvSpPr>
            <xdr:cNvPr id="163842" name="Check Box 2" hidden="1">
              <a:extLst>
                <a:ext uri="{63B3BB69-23CF-44E3-9099-C40C66FF867C}">
                  <a14:compatExt spid="_x0000_s163842"/>
                </a:ext>
                <a:ext uri="{FF2B5EF4-FFF2-40B4-BE49-F238E27FC236}">
                  <a16:creationId xmlns:a16="http://schemas.microsoft.com/office/drawing/2014/main" id="{00000000-0008-0000-0100-000002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Группировать решение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14</xdr:row>
          <xdr:rowOff>161925</xdr:rowOff>
        </xdr:from>
        <xdr:to>
          <xdr:col>5</xdr:col>
          <xdr:colOff>981075</xdr:colOff>
          <xdr:row>16</xdr:row>
          <xdr:rowOff>0</xdr:rowOff>
        </xdr:to>
        <xdr:sp macro="" textlink="">
          <xdr:nvSpPr>
            <xdr:cNvPr id="163843" name="Check Box 3" hidden="1">
              <a:extLst>
                <a:ext uri="{63B3BB69-23CF-44E3-9099-C40C66FF867C}">
                  <a14:compatExt spid="_x0000_s163843"/>
                </a:ext>
                <a:ext uri="{FF2B5EF4-FFF2-40B4-BE49-F238E27FC236}">
                  <a16:creationId xmlns:a16="http://schemas.microsoft.com/office/drawing/2014/main" id="{00000000-0008-0000-0100-000003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Отображать графику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15</xdr:row>
          <xdr:rowOff>0</xdr:rowOff>
        </xdr:from>
        <xdr:to>
          <xdr:col>9</xdr:col>
          <xdr:colOff>9525</xdr:colOff>
          <xdr:row>16</xdr:row>
          <xdr:rowOff>9525</xdr:rowOff>
        </xdr:to>
        <xdr:sp macro="" textlink="">
          <xdr:nvSpPr>
            <xdr:cNvPr id="163844" name="Drop Down 4" hidden="1">
              <a:extLst>
                <a:ext uri="{63B3BB69-23CF-44E3-9099-C40C66FF867C}">
                  <a14:compatExt spid="_x0000_s163844"/>
                </a:ext>
                <a:ext uri="{FF2B5EF4-FFF2-40B4-BE49-F238E27FC236}">
                  <a16:creationId xmlns:a16="http://schemas.microsoft.com/office/drawing/2014/main" id="{00000000-0008-0000-0100-000004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15</xdr:row>
          <xdr:rowOff>161925</xdr:rowOff>
        </xdr:from>
        <xdr:to>
          <xdr:col>5</xdr:col>
          <xdr:colOff>981075</xdr:colOff>
          <xdr:row>17</xdr:row>
          <xdr:rowOff>0</xdr:rowOff>
        </xdr:to>
        <xdr:sp macro="" textlink="">
          <xdr:nvSpPr>
            <xdr:cNvPr id="163845" name="Check Box 5" hidden="1">
              <a:extLst>
                <a:ext uri="{63B3BB69-23CF-44E3-9099-C40C66FF867C}">
                  <a14:compatExt spid="_x0000_s163845"/>
                </a:ext>
                <a:ext uri="{FF2B5EF4-FFF2-40B4-BE49-F238E27FC236}">
                  <a16:creationId xmlns:a16="http://schemas.microsoft.com/office/drawing/2014/main" id="{00000000-0008-0000-0100-000005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Рез под 45 градусов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16</xdr:row>
          <xdr:rowOff>0</xdr:rowOff>
        </xdr:from>
        <xdr:to>
          <xdr:col>9</xdr:col>
          <xdr:colOff>0</xdr:colOff>
          <xdr:row>17</xdr:row>
          <xdr:rowOff>28575</xdr:rowOff>
        </xdr:to>
        <xdr:sp macro="" textlink="">
          <xdr:nvSpPr>
            <xdr:cNvPr id="163846" name="Check Box 6" hidden="1">
              <a:extLst>
                <a:ext uri="{63B3BB69-23CF-44E3-9099-C40C66FF867C}">
                  <a14:compatExt spid="_x0000_s163846"/>
                </a:ext>
                <a:ext uri="{FF2B5EF4-FFF2-40B4-BE49-F238E27FC236}">
                  <a16:creationId xmlns:a16="http://schemas.microsoft.com/office/drawing/2014/main" id="{00000000-0008-0000-0100-000006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Раскрой в два профиля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44825</xdr:colOff>
      <xdr:row>20</xdr:row>
      <xdr:rowOff>0</xdr:rowOff>
    </xdr:from>
    <xdr:to>
      <xdr:col>3</xdr:col>
      <xdr:colOff>307043</xdr:colOff>
      <xdr:row>21</xdr:row>
      <xdr:rowOff>116280</xdr:rowOff>
    </xdr:to>
    <xdr:sp macro="[0]!lpCSP" textlink="">
      <xdr:nvSpPr>
        <xdr:cNvPr id="12" name="Скругленный прямоугольник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25800" y="4038600"/>
          <a:ext cx="1214718" cy="30678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Расчет</a:t>
          </a:r>
          <a:r>
            <a:rPr lang="en-US" sz="1100"/>
            <a:t> LP</a:t>
          </a:r>
          <a:endParaRPr lang="ru-RU" sz="1100"/>
        </a:p>
      </xdr:txBody>
    </xdr:sp>
    <xdr:clientData fPrintsWithSheet="0"/>
  </xdr:twoCellAnchor>
  <xdr:twoCellAnchor>
    <xdr:from>
      <xdr:col>3</xdr:col>
      <xdr:colOff>472817</xdr:colOff>
      <xdr:row>20</xdr:row>
      <xdr:rowOff>0</xdr:rowOff>
    </xdr:from>
    <xdr:to>
      <xdr:col>4</xdr:col>
      <xdr:colOff>735035</xdr:colOff>
      <xdr:row>21</xdr:row>
      <xdr:rowOff>116280</xdr:rowOff>
    </xdr:to>
    <xdr:sp macro="[0]!ClearSolve" textlink="">
      <xdr:nvSpPr>
        <xdr:cNvPr id="13" name="Скругленный прямоугольник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606292" y="4038600"/>
          <a:ext cx="1214718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Убрать</a:t>
          </a:r>
          <a:r>
            <a:rPr lang="ru-RU" sz="1100" baseline="0"/>
            <a:t> решение</a:t>
          </a:r>
          <a:endParaRPr lang="ru-RU" sz="1100"/>
        </a:p>
      </xdr:txBody>
    </xdr:sp>
    <xdr:clientData fPrintsWithSheet="0"/>
  </xdr:twoCellAnchor>
  <xdr:twoCellAnchor>
    <xdr:from>
      <xdr:col>4</xdr:col>
      <xdr:colOff>924205</xdr:colOff>
      <xdr:row>20</xdr:row>
      <xdr:rowOff>0</xdr:rowOff>
    </xdr:from>
    <xdr:to>
      <xdr:col>7</xdr:col>
      <xdr:colOff>21011</xdr:colOff>
      <xdr:row>21</xdr:row>
      <xdr:rowOff>116280</xdr:rowOff>
    </xdr:to>
    <xdr:sp macro="[0]!OffGraph" textlink="">
      <xdr:nvSpPr>
        <xdr:cNvPr id="14" name="Скругленный прямоугольник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3010180" y="4038600"/>
          <a:ext cx="1220881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Убрать</a:t>
          </a:r>
          <a:r>
            <a:rPr lang="ru-RU" sz="1100" baseline="0"/>
            <a:t> графику</a:t>
          </a:r>
          <a:endParaRPr lang="ru-RU" sz="1100"/>
        </a:p>
      </xdr:txBody>
    </xdr:sp>
    <xdr:clientData fPrintsWithSheet="0"/>
  </xdr:twoCellAnchor>
  <xdr:twoCellAnchor>
    <xdr:from>
      <xdr:col>7</xdr:col>
      <xdr:colOff>197224</xdr:colOff>
      <xdr:row>20</xdr:row>
      <xdr:rowOff>0</xdr:rowOff>
    </xdr:from>
    <xdr:to>
      <xdr:col>8</xdr:col>
      <xdr:colOff>806824</xdr:colOff>
      <xdr:row>21</xdr:row>
      <xdr:rowOff>116280</xdr:rowOff>
    </xdr:to>
    <xdr:sp macro="" textlink="">
      <xdr:nvSpPr>
        <xdr:cNvPr id="15" name="Скругленный прямоугольник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4407274" y="4038600"/>
          <a:ext cx="1209675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Создать отчет</a:t>
          </a:r>
        </a:p>
      </xdr:txBody>
    </xdr:sp>
    <xdr:clientData fPrintsWithSheet="0"/>
  </xdr:twoCellAnchor>
  <xdr:twoCellAnchor>
    <xdr:from>
      <xdr:col>16</xdr:col>
      <xdr:colOff>0</xdr:colOff>
      <xdr:row>3</xdr:row>
      <xdr:rowOff>12700</xdr:rowOff>
    </xdr:from>
    <xdr:to>
      <xdr:col>16</xdr:col>
      <xdr:colOff>1257261</xdr:colOff>
      <xdr:row>3</xdr:row>
      <xdr:rowOff>177800</xdr:rowOff>
    </xdr:to>
    <xdr:sp macro="" textlink="">
      <xdr:nvSpPr>
        <xdr:cNvPr id="164248" name="Скругленный прямоугольник 164247">
          <a:extLst>
            <a:ext uri="{FF2B5EF4-FFF2-40B4-BE49-F238E27FC236}">
              <a16:creationId xmlns:a16="http://schemas.microsoft.com/office/drawing/2014/main" id="{00000000-0008-0000-0100-000098810200}"/>
            </a:ext>
          </a:extLst>
        </xdr:cNvPr>
        <xdr:cNvSpPr/>
      </xdr:nvSpPr>
      <xdr:spPr>
        <a:xfrm>
          <a:off x="12668250" y="812800"/>
          <a:ext cx="12572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1292293</xdr:colOff>
      <xdr:row>3</xdr:row>
      <xdr:rowOff>12700</xdr:rowOff>
    </xdr:from>
    <xdr:to>
      <xdr:col>16</xdr:col>
      <xdr:colOff>2549554</xdr:colOff>
      <xdr:row>3</xdr:row>
      <xdr:rowOff>177800</xdr:rowOff>
    </xdr:to>
    <xdr:sp macro="" textlink="">
      <xdr:nvSpPr>
        <xdr:cNvPr id="164249" name="Скругленный прямоугольник 164248">
          <a:extLst>
            <a:ext uri="{FF2B5EF4-FFF2-40B4-BE49-F238E27FC236}">
              <a16:creationId xmlns:a16="http://schemas.microsoft.com/office/drawing/2014/main" id="{00000000-0008-0000-0100-000099810200}"/>
            </a:ext>
          </a:extLst>
        </xdr:cNvPr>
        <xdr:cNvSpPr/>
      </xdr:nvSpPr>
      <xdr:spPr>
        <a:xfrm>
          <a:off x="13960543" y="812800"/>
          <a:ext cx="12572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2584585</xdr:colOff>
      <xdr:row>3</xdr:row>
      <xdr:rowOff>12700</xdr:rowOff>
    </xdr:from>
    <xdr:to>
      <xdr:col>16</xdr:col>
      <xdr:colOff>3822500</xdr:colOff>
      <xdr:row>3</xdr:row>
      <xdr:rowOff>177800</xdr:rowOff>
    </xdr:to>
    <xdr:sp macro="" textlink="">
      <xdr:nvSpPr>
        <xdr:cNvPr id="164250" name="Скругленный прямоугольник 164249">
          <a:extLst>
            <a:ext uri="{FF2B5EF4-FFF2-40B4-BE49-F238E27FC236}">
              <a16:creationId xmlns:a16="http://schemas.microsoft.com/office/drawing/2014/main" id="{00000000-0008-0000-0100-00009A810200}"/>
            </a:ext>
          </a:extLst>
        </xdr:cNvPr>
        <xdr:cNvSpPr/>
      </xdr:nvSpPr>
      <xdr:spPr>
        <a:xfrm>
          <a:off x="15252835" y="8128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3857532</xdr:colOff>
      <xdr:row>3</xdr:row>
      <xdr:rowOff>12700</xdr:rowOff>
    </xdr:from>
    <xdr:to>
      <xdr:col>16</xdr:col>
      <xdr:colOff>5095447</xdr:colOff>
      <xdr:row>3</xdr:row>
      <xdr:rowOff>177800</xdr:rowOff>
    </xdr:to>
    <xdr:sp macro="" textlink="">
      <xdr:nvSpPr>
        <xdr:cNvPr id="164251" name="Скругленный прямоугольник 164250">
          <a:extLst>
            <a:ext uri="{FF2B5EF4-FFF2-40B4-BE49-F238E27FC236}">
              <a16:creationId xmlns:a16="http://schemas.microsoft.com/office/drawing/2014/main" id="{00000000-0008-0000-0100-00009B810200}"/>
            </a:ext>
          </a:extLst>
        </xdr:cNvPr>
        <xdr:cNvSpPr/>
      </xdr:nvSpPr>
      <xdr:spPr>
        <a:xfrm>
          <a:off x="16525782" y="8128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5130478</xdr:colOff>
      <xdr:row>3</xdr:row>
      <xdr:rowOff>12700</xdr:rowOff>
    </xdr:from>
    <xdr:to>
      <xdr:col>16</xdr:col>
      <xdr:colOff>5758983</xdr:colOff>
      <xdr:row>3</xdr:row>
      <xdr:rowOff>177800</xdr:rowOff>
    </xdr:to>
    <xdr:sp macro="" textlink="">
      <xdr:nvSpPr>
        <xdr:cNvPr id="164252" name="Скругленный прямоугольник 164251">
          <a:extLst>
            <a:ext uri="{FF2B5EF4-FFF2-40B4-BE49-F238E27FC236}">
              <a16:creationId xmlns:a16="http://schemas.microsoft.com/office/drawing/2014/main" id="{00000000-0008-0000-0100-00009C810200}"/>
            </a:ext>
          </a:extLst>
        </xdr:cNvPr>
        <xdr:cNvSpPr/>
      </xdr:nvSpPr>
      <xdr:spPr>
        <a:xfrm>
          <a:off x="17798728" y="812800"/>
          <a:ext cx="62850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676</a:t>
          </a:r>
        </a:p>
      </xdr:txBody>
    </xdr:sp>
    <xdr:clientData/>
  </xdr:twoCellAnchor>
  <xdr:twoCellAnchor>
    <xdr:from>
      <xdr:col>16</xdr:col>
      <xdr:colOff>0</xdr:colOff>
      <xdr:row>4</xdr:row>
      <xdr:rowOff>12700</xdr:rowOff>
    </xdr:from>
    <xdr:to>
      <xdr:col>16</xdr:col>
      <xdr:colOff>1266935</xdr:colOff>
      <xdr:row>4</xdr:row>
      <xdr:rowOff>177800</xdr:rowOff>
    </xdr:to>
    <xdr:sp macro="" textlink="">
      <xdr:nvSpPr>
        <xdr:cNvPr id="164253" name="Скругленный прямоугольник 164252">
          <a:extLst>
            <a:ext uri="{FF2B5EF4-FFF2-40B4-BE49-F238E27FC236}">
              <a16:creationId xmlns:a16="http://schemas.microsoft.com/office/drawing/2014/main" id="{00000000-0008-0000-0100-00009D810200}"/>
            </a:ext>
          </a:extLst>
        </xdr:cNvPr>
        <xdr:cNvSpPr/>
      </xdr:nvSpPr>
      <xdr:spPr>
        <a:xfrm>
          <a:off x="12668250" y="10033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1301965</xdr:colOff>
      <xdr:row>4</xdr:row>
      <xdr:rowOff>12700</xdr:rowOff>
    </xdr:from>
    <xdr:to>
      <xdr:col>16</xdr:col>
      <xdr:colOff>2559227</xdr:colOff>
      <xdr:row>4</xdr:row>
      <xdr:rowOff>177800</xdr:rowOff>
    </xdr:to>
    <xdr:sp macro="" textlink="">
      <xdr:nvSpPr>
        <xdr:cNvPr id="164254" name="Скругленный прямоугольник 164253">
          <a:extLst>
            <a:ext uri="{FF2B5EF4-FFF2-40B4-BE49-F238E27FC236}">
              <a16:creationId xmlns:a16="http://schemas.microsoft.com/office/drawing/2014/main" id="{00000000-0008-0000-0100-00009E810200}"/>
            </a:ext>
          </a:extLst>
        </xdr:cNvPr>
        <xdr:cNvSpPr/>
      </xdr:nvSpPr>
      <xdr:spPr>
        <a:xfrm>
          <a:off x="13970215" y="1003300"/>
          <a:ext cx="125726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2594259</xdr:colOff>
      <xdr:row>4</xdr:row>
      <xdr:rowOff>12700</xdr:rowOff>
    </xdr:from>
    <xdr:to>
      <xdr:col>16</xdr:col>
      <xdr:colOff>3832174</xdr:colOff>
      <xdr:row>4</xdr:row>
      <xdr:rowOff>177800</xdr:rowOff>
    </xdr:to>
    <xdr:sp macro="" textlink="">
      <xdr:nvSpPr>
        <xdr:cNvPr id="164255" name="Скругленный прямоугольник 164254">
          <a:extLst>
            <a:ext uri="{FF2B5EF4-FFF2-40B4-BE49-F238E27FC236}">
              <a16:creationId xmlns:a16="http://schemas.microsoft.com/office/drawing/2014/main" id="{00000000-0008-0000-0100-00009F810200}"/>
            </a:ext>
          </a:extLst>
        </xdr:cNvPr>
        <xdr:cNvSpPr/>
      </xdr:nvSpPr>
      <xdr:spPr>
        <a:xfrm>
          <a:off x="15262509" y="10033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3867204</xdr:colOff>
      <xdr:row>4</xdr:row>
      <xdr:rowOff>12700</xdr:rowOff>
    </xdr:from>
    <xdr:to>
      <xdr:col>16</xdr:col>
      <xdr:colOff>5066427</xdr:colOff>
      <xdr:row>4</xdr:row>
      <xdr:rowOff>177800</xdr:rowOff>
    </xdr:to>
    <xdr:sp macro="" textlink="">
      <xdr:nvSpPr>
        <xdr:cNvPr id="164069" name="Скругленный прямоугольник 164068">
          <a:extLst>
            <a:ext uri="{FF2B5EF4-FFF2-40B4-BE49-F238E27FC236}">
              <a16:creationId xmlns:a16="http://schemas.microsoft.com/office/drawing/2014/main" id="{00000000-0008-0000-0100-0000E5800200}"/>
            </a:ext>
          </a:extLst>
        </xdr:cNvPr>
        <xdr:cNvSpPr/>
      </xdr:nvSpPr>
      <xdr:spPr>
        <a:xfrm>
          <a:off x="16535454" y="1003300"/>
          <a:ext cx="119922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A4" mc:Ignorable="a14" a14:legacySpreadsheetColorIndex="2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D8" mc:Ignorable="a14" a14:legacySpreadsheetColorIndex="2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53" mc:Ignorable="a14" a14:legacySpreadsheetColorIndex="2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1266</a:t>
          </a:r>
        </a:p>
      </xdr:txBody>
    </xdr:sp>
    <xdr:clientData/>
  </xdr:twoCellAnchor>
  <xdr:twoCellAnchor>
    <xdr:from>
      <xdr:col>16</xdr:col>
      <xdr:colOff>5101459</xdr:colOff>
      <xdr:row>4</xdr:row>
      <xdr:rowOff>12700</xdr:rowOff>
    </xdr:from>
    <xdr:to>
      <xdr:col>16</xdr:col>
      <xdr:colOff>5758985</xdr:colOff>
      <xdr:row>4</xdr:row>
      <xdr:rowOff>177800</xdr:rowOff>
    </xdr:to>
    <xdr:sp macro="" textlink="">
      <xdr:nvSpPr>
        <xdr:cNvPr id="164070" name="Скругленный прямоугольник 164069">
          <a:extLst>
            <a:ext uri="{FF2B5EF4-FFF2-40B4-BE49-F238E27FC236}">
              <a16:creationId xmlns:a16="http://schemas.microsoft.com/office/drawing/2014/main" id="{00000000-0008-0000-0100-0000E6800200}"/>
            </a:ext>
          </a:extLst>
        </xdr:cNvPr>
        <xdr:cNvSpPr/>
      </xdr:nvSpPr>
      <xdr:spPr>
        <a:xfrm>
          <a:off x="17769709" y="1003300"/>
          <a:ext cx="65752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706</a:t>
          </a:r>
        </a:p>
      </xdr:txBody>
    </xdr:sp>
    <xdr:clientData/>
  </xdr:twoCellAnchor>
  <xdr:twoCellAnchor>
    <xdr:from>
      <xdr:col>16</xdr:col>
      <xdr:colOff>0</xdr:colOff>
      <xdr:row>5</xdr:row>
      <xdr:rowOff>12700</xdr:rowOff>
    </xdr:from>
    <xdr:to>
      <xdr:col>16</xdr:col>
      <xdr:colOff>1266935</xdr:colOff>
      <xdr:row>5</xdr:row>
      <xdr:rowOff>177800</xdr:rowOff>
    </xdr:to>
    <xdr:sp macro="" textlink="">
      <xdr:nvSpPr>
        <xdr:cNvPr id="164071" name="Скругленный прямоугольник 164070">
          <a:extLst>
            <a:ext uri="{FF2B5EF4-FFF2-40B4-BE49-F238E27FC236}">
              <a16:creationId xmlns:a16="http://schemas.microsoft.com/office/drawing/2014/main" id="{00000000-0008-0000-0100-0000E7800200}"/>
            </a:ext>
          </a:extLst>
        </xdr:cNvPr>
        <xdr:cNvSpPr/>
      </xdr:nvSpPr>
      <xdr:spPr>
        <a:xfrm>
          <a:off x="12668250" y="11938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1301965</xdr:colOff>
      <xdr:row>5</xdr:row>
      <xdr:rowOff>12700</xdr:rowOff>
    </xdr:from>
    <xdr:to>
      <xdr:col>16</xdr:col>
      <xdr:colOff>2568901</xdr:colOff>
      <xdr:row>5</xdr:row>
      <xdr:rowOff>177800</xdr:rowOff>
    </xdr:to>
    <xdr:sp macro="" textlink="">
      <xdr:nvSpPr>
        <xdr:cNvPr id="164072" name="Скругленный прямоугольник 164071">
          <a:extLst>
            <a:ext uri="{FF2B5EF4-FFF2-40B4-BE49-F238E27FC236}">
              <a16:creationId xmlns:a16="http://schemas.microsoft.com/office/drawing/2014/main" id="{00000000-0008-0000-0100-0000E8800200}"/>
            </a:ext>
          </a:extLst>
        </xdr:cNvPr>
        <xdr:cNvSpPr/>
      </xdr:nvSpPr>
      <xdr:spPr>
        <a:xfrm>
          <a:off x="13970215" y="1193800"/>
          <a:ext cx="126693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2603933</xdr:colOff>
      <xdr:row>5</xdr:row>
      <xdr:rowOff>12700</xdr:rowOff>
    </xdr:from>
    <xdr:to>
      <xdr:col>16</xdr:col>
      <xdr:colOff>3841848</xdr:colOff>
      <xdr:row>5</xdr:row>
      <xdr:rowOff>177800</xdr:rowOff>
    </xdr:to>
    <xdr:sp macro="" textlink="">
      <xdr:nvSpPr>
        <xdr:cNvPr id="164073" name="Скругленный прямоугольник 164072">
          <a:extLst>
            <a:ext uri="{FF2B5EF4-FFF2-40B4-BE49-F238E27FC236}">
              <a16:creationId xmlns:a16="http://schemas.microsoft.com/office/drawing/2014/main" id="{00000000-0008-0000-0100-0000E9800200}"/>
            </a:ext>
          </a:extLst>
        </xdr:cNvPr>
        <xdr:cNvSpPr/>
      </xdr:nvSpPr>
      <xdr:spPr>
        <a:xfrm>
          <a:off x="15272183" y="11938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3876878</xdr:colOff>
      <xdr:row>5</xdr:row>
      <xdr:rowOff>12700</xdr:rowOff>
    </xdr:from>
    <xdr:to>
      <xdr:col>16</xdr:col>
      <xdr:colOff>5076101</xdr:colOff>
      <xdr:row>5</xdr:row>
      <xdr:rowOff>177800</xdr:rowOff>
    </xdr:to>
    <xdr:sp macro="" textlink="">
      <xdr:nvSpPr>
        <xdr:cNvPr id="164074" name="Скругленный прямоугольник 164073">
          <a:extLst>
            <a:ext uri="{FF2B5EF4-FFF2-40B4-BE49-F238E27FC236}">
              <a16:creationId xmlns:a16="http://schemas.microsoft.com/office/drawing/2014/main" id="{00000000-0008-0000-0100-0000EA800200}"/>
            </a:ext>
          </a:extLst>
        </xdr:cNvPr>
        <xdr:cNvSpPr/>
      </xdr:nvSpPr>
      <xdr:spPr>
        <a:xfrm>
          <a:off x="16545128" y="1193800"/>
          <a:ext cx="119922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A4" mc:Ignorable="a14" a14:legacySpreadsheetColorIndex="2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D8" mc:Ignorable="a14" a14:legacySpreadsheetColorIndex="2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53" mc:Ignorable="a14" a14:legacySpreadsheetColorIndex="2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1266</a:t>
          </a:r>
        </a:p>
      </xdr:txBody>
    </xdr:sp>
    <xdr:clientData/>
  </xdr:twoCellAnchor>
  <xdr:twoCellAnchor>
    <xdr:from>
      <xdr:col>16</xdr:col>
      <xdr:colOff>5111131</xdr:colOff>
      <xdr:row>5</xdr:row>
      <xdr:rowOff>12700</xdr:rowOff>
    </xdr:from>
    <xdr:to>
      <xdr:col>16</xdr:col>
      <xdr:colOff>5758983</xdr:colOff>
      <xdr:row>5</xdr:row>
      <xdr:rowOff>177800</xdr:rowOff>
    </xdr:to>
    <xdr:sp macro="" textlink="">
      <xdr:nvSpPr>
        <xdr:cNvPr id="164075" name="Скругленный прямоугольник 164074">
          <a:extLst>
            <a:ext uri="{FF2B5EF4-FFF2-40B4-BE49-F238E27FC236}">
              <a16:creationId xmlns:a16="http://schemas.microsoft.com/office/drawing/2014/main" id="{00000000-0008-0000-0100-0000EB800200}"/>
            </a:ext>
          </a:extLst>
        </xdr:cNvPr>
        <xdr:cNvSpPr/>
      </xdr:nvSpPr>
      <xdr:spPr>
        <a:xfrm>
          <a:off x="17779381" y="1193800"/>
          <a:ext cx="64785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696</a:t>
          </a:r>
        </a:p>
      </xdr:txBody>
    </xdr:sp>
    <xdr:clientData/>
  </xdr:twoCellAnchor>
  <xdr:twoCellAnchor>
    <xdr:from>
      <xdr:col>16</xdr:col>
      <xdr:colOff>0</xdr:colOff>
      <xdr:row>6</xdr:row>
      <xdr:rowOff>12700</xdr:rowOff>
    </xdr:from>
    <xdr:to>
      <xdr:col>16</xdr:col>
      <xdr:colOff>1266935</xdr:colOff>
      <xdr:row>6</xdr:row>
      <xdr:rowOff>177800</xdr:rowOff>
    </xdr:to>
    <xdr:sp macro="" textlink="">
      <xdr:nvSpPr>
        <xdr:cNvPr id="164076" name="Скругленный прямоугольник 164075">
          <a:extLst>
            <a:ext uri="{FF2B5EF4-FFF2-40B4-BE49-F238E27FC236}">
              <a16:creationId xmlns:a16="http://schemas.microsoft.com/office/drawing/2014/main" id="{00000000-0008-0000-0100-0000EC800200}"/>
            </a:ext>
          </a:extLst>
        </xdr:cNvPr>
        <xdr:cNvSpPr/>
      </xdr:nvSpPr>
      <xdr:spPr>
        <a:xfrm>
          <a:off x="12668250" y="13843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1301965</xdr:colOff>
      <xdr:row>6</xdr:row>
      <xdr:rowOff>12700</xdr:rowOff>
    </xdr:from>
    <xdr:to>
      <xdr:col>16</xdr:col>
      <xdr:colOff>2568901</xdr:colOff>
      <xdr:row>6</xdr:row>
      <xdr:rowOff>177800</xdr:rowOff>
    </xdr:to>
    <xdr:sp macro="" textlink="">
      <xdr:nvSpPr>
        <xdr:cNvPr id="164077" name="Скругленный прямоугольник 164076">
          <a:extLst>
            <a:ext uri="{FF2B5EF4-FFF2-40B4-BE49-F238E27FC236}">
              <a16:creationId xmlns:a16="http://schemas.microsoft.com/office/drawing/2014/main" id="{00000000-0008-0000-0100-0000ED800200}"/>
            </a:ext>
          </a:extLst>
        </xdr:cNvPr>
        <xdr:cNvSpPr/>
      </xdr:nvSpPr>
      <xdr:spPr>
        <a:xfrm>
          <a:off x="13970215" y="1384300"/>
          <a:ext cx="126693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2603933</xdr:colOff>
      <xdr:row>6</xdr:row>
      <xdr:rowOff>12700</xdr:rowOff>
    </xdr:from>
    <xdr:to>
      <xdr:col>16</xdr:col>
      <xdr:colOff>3861194</xdr:colOff>
      <xdr:row>6</xdr:row>
      <xdr:rowOff>177800</xdr:rowOff>
    </xdr:to>
    <xdr:sp macro="" textlink="">
      <xdr:nvSpPr>
        <xdr:cNvPr id="164078" name="Скругленный прямоугольник 164077">
          <a:extLst>
            <a:ext uri="{FF2B5EF4-FFF2-40B4-BE49-F238E27FC236}">
              <a16:creationId xmlns:a16="http://schemas.microsoft.com/office/drawing/2014/main" id="{00000000-0008-0000-0100-0000EE800200}"/>
            </a:ext>
          </a:extLst>
        </xdr:cNvPr>
        <xdr:cNvSpPr/>
      </xdr:nvSpPr>
      <xdr:spPr>
        <a:xfrm>
          <a:off x="15272183" y="1384300"/>
          <a:ext cx="12572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3896224</xdr:colOff>
      <xdr:row>6</xdr:row>
      <xdr:rowOff>12700</xdr:rowOff>
    </xdr:from>
    <xdr:to>
      <xdr:col>16</xdr:col>
      <xdr:colOff>5105121</xdr:colOff>
      <xdr:row>6</xdr:row>
      <xdr:rowOff>177800</xdr:rowOff>
    </xdr:to>
    <xdr:sp macro="" textlink="">
      <xdr:nvSpPr>
        <xdr:cNvPr id="164079" name="Скругленный прямоугольник 164078">
          <a:extLst>
            <a:ext uri="{FF2B5EF4-FFF2-40B4-BE49-F238E27FC236}">
              <a16:creationId xmlns:a16="http://schemas.microsoft.com/office/drawing/2014/main" id="{00000000-0008-0000-0100-0000EF800200}"/>
            </a:ext>
          </a:extLst>
        </xdr:cNvPr>
        <xdr:cNvSpPr/>
      </xdr:nvSpPr>
      <xdr:spPr>
        <a:xfrm>
          <a:off x="16564474" y="1384300"/>
          <a:ext cx="120889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CFCFCF" mc:Ignorable="a14" a14:legacySpreadsheetColorIndex="2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8E8E8" mc:Ignorable="a14" a14:legacySpreadsheetColorIndex="2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7F7F7F" mc:Ignorable="a14" a14:legacySpreadsheetColorIndex="2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1276</a:t>
          </a:r>
        </a:p>
      </xdr:txBody>
    </xdr:sp>
    <xdr:clientData/>
  </xdr:twoCellAnchor>
  <xdr:twoCellAnchor>
    <xdr:from>
      <xdr:col>16</xdr:col>
      <xdr:colOff>5140151</xdr:colOff>
      <xdr:row>6</xdr:row>
      <xdr:rowOff>12700</xdr:rowOff>
    </xdr:from>
    <xdr:to>
      <xdr:col>16</xdr:col>
      <xdr:colOff>5758985</xdr:colOff>
      <xdr:row>6</xdr:row>
      <xdr:rowOff>177800</xdr:rowOff>
    </xdr:to>
    <xdr:sp macro="" textlink="">
      <xdr:nvSpPr>
        <xdr:cNvPr id="164080" name="Скругленный прямоугольник 164079">
          <a:extLst>
            <a:ext uri="{FF2B5EF4-FFF2-40B4-BE49-F238E27FC236}">
              <a16:creationId xmlns:a16="http://schemas.microsoft.com/office/drawing/2014/main" id="{00000000-0008-0000-0100-0000F0800200}"/>
            </a:ext>
          </a:extLst>
        </xdr:cNvPr>
        <xdr:cNvSpPr/>
      </xdr:nvSpPr>
      <xdr:spPr>
        <a:xfrm>
          <a:off x="17808401" y="1384300"/>
          <a:ext cx="61883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666</a:t>
          </a:r>
        </a:p>
      </xdr:txBody>
    </xdr:sp>
    <xdr:clientData/>
  </xdr:twoCellAnchor>
  <xdr:twoCellAnchor>
    <xdr:from>
      <xdr:col>16</xdr:col>
      <xdr:colOff>0</xdr:colOff>
      <xdr:row>7</xdr:row>
      <xdr:rowOff>12700</xdr:rowOff>
    </xdr:from>
    <xdr:to>
      <xdr:col>16</xdr:col>
      <xdr:colOff>1266935</xdr:colOff>
      <xdr:row>7</xdr:row>
      <xdr:rowOff>177800</xdr:rowOff>
    </xdr:to>
    <xdr:sp macro="" textlink="">
      <xdr:nvSpPr>
        <xdr:cNvPr id="164081" name="Скругленный прямоугольник 164080">
          <a:extLst>
            <a:ext uri="{FF2B5EF4-FFF2-40B4-BE49-F238E27FC236}">
              <a16:creationId xmlns:a16="http://schemas.microsoft.com/office/drawing/2014/main" id="{00000000-0008-0000-0100-0000F1800200}"/>
            </a:ext>
          </a:extLst>
        </xdr:cNvPr>
        <xdr:cNvSpPr/>
      </xdr:nvSpPr>
      <xdr:spPr>
        <a:xfrm>
          <a:off x="12668250" y="15748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1301965</xdr:colOff>
      <xdr:row>7</xdr:row>
      <xdr:rowOff>12700</xdr:rowOff>
    </xdr:from>
    <xdr:to>
      <xdr:col>16</xdr:col>
      <xdr:colOff>2568901</xdr:colOff>
      <xdr:row>7</xdr:row>
      <xdr:rowOff>177800</xdr:rowOff>
    </xdr:to>
    <xdr:sp macro="" textlink="">
      <xdr:nvSpPr>
        <xdr:cNvPr id="164082" name="Скругленный прямоугольник 164081">
          <a:extLst>
            <a:ext uri="{FF2B5EF4-FFF2-40B4-BE49-F238E27FC236}">
              <a16:creationId xmlns:a16="http://schemas.microsoft.com/office/drawing/2014/main" id="{00000000-0008-0000-0100-0000F2800200}"/>
            </a:ext>
          </a:extLst>
        </xdr:cNvPr>
        <xdr:cNvSpPr/>
      </xdr:nvSpPr>
      <xdr:spPr>
        <a:xfrm>
          <a:off x="13970215" y="1574800"/>
          <a:ext cx="126693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2603933</xdr:colOff>
      <xdr:row>7</xdr:row>
      <xdr:rowOff>12700</xdr:rowOff>
    </xdr:from>
    <xdr:to>
      <xdr:col>16</xdr:col>
      <xdr:colOff>3861194</xdr:colOff>
      <xdr:row>7</xdr:row>
      <xdr:rowOff>177800</xdr:rowOff>
    </xdr:to>
    <xdr:sp macro="" textlink="">
      <xdr:nvSpPr>
        <xdr:cNvPr id="164083" name="Скругленный прямоугольник 164082">
          <a:extLst>
            <a:ext uri="{FF2B5EF4-FFF2-40B4-BE49-F238E27FC236}">
              <a16:creationId xmlns:a16="http://schemas.microsoft.com/office/drawing/2014/main" id="{00000000-0008-0000-0100-0000F3800200}"/>
            </a:ext>
          </a:extLst>
        </xdr:cNvPr>
        <xdr:cNvSpPr/>
      </xdr:nvSpPr>
      <xdr:spPr>
        <a:xfrm>
          <a:off x="15272183" y="1574800"/>
          <a:ext cx="12572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3896224</xdr:colOff>
      <xdr:row>7</xdr:row>
      <xdr:rowOff>12700</xdr:rowOff>
    </xdr:from>
    <xdr:to>
      <xdr:col>16</xdr:col>
      <xdr:colOff>5134139</xdr:colOff>
      <xdr:row>7</xdr:row>
      <xdr:rowOff>177800</xdr:rowOff>
    </xdr:to>
    <xdr:sp macro="" textlink="">
      <xdr:nvSpPr>
        <xdr:cNvPr id="164084" name="Скругленный прямоугольник 164083">
          <a:extLst>
            <a:ext uri="{FF2B5EF4-FFF2-40B4-BE49-F238E27FC236}">
              <a16:creationId xmlns:a16="http://schemas.microsoft.com/office/drawing/2014/main" id="{00000000-0008-0000-0100-0000F4800200}"/>
            </a:ext>
          </a:extLst>
        </xdr:cNvPr>
        <xdr:cNvSpPr/>
      </xdr:nvSpPr>
      <xdr:spPr>
        <a:xfrm>
          <a:off x="16564474" y="15748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5169171</xdr:colOff>
      <xdr:row>7</xdr:row>
      <xdr:rowOff>12700</xdr:rowOff>
    </xdr:from>
    <xdr:to>
      <xdr:col>16</xdr:col>
      <xdr:colOff>5758985</xdr:colOff>
      <xdr:row>7</xdr:row>
      <xdr:rowOff>177800</xdr:rowOff>
    </xdr:to>
    <xdr:sp macro="" textlink="">
      <xdr:nvSpPr>
        <xdr:cNvPr id="164085" name="Скругленный прямоугольник 164084">
          <a:extLst>
            <a:ext uri="{FF2B5EF4-FFF2-40B4-BE49-F238E27FC236}">
              <a16:creationId xmlns:a16="http://schemas.microsoft.com/office/drawing/2014/main" id="{00000000-0008-0000-0100-0000F5800200}"/>
            </a:ext>
          </a:extLst>
        </xdr:cNvPr>
        <xdr:cNvSpPr/>
      </xdr:nvSpPr>
      <xdr:spPr>
        <a:xfrm>
          <a:off x="17837421" y="1574800"/>
          <a:ext cx="58981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636</a:t>
          </a:r>
        </a:p>
      </xdr:txBody>
    </xdr:sp>
    <xdr:clientData/>
  </xdr:twoCellAnchor>
  <xdr:twoCellAnchor>
    <xdr:from>
      <xdr:col>16</xdr:col>
      <xdr:colOff>0</xdr:colOff>
      <xdr:row>8</xdr:row>
      <xdr:rowOff>12700</xdr:rowOff>
    </xdr:from>
    <xdr:to>
      <xdr:col>16</xdr:col>
      <xdr:colOff>1324973</xdr:colOff>
      <xdr:row>8</xdr:row>
      <xdr:rowOff>177800</xdr:rowOff>
    </xdr:to>
    <xdr:sp macro="" textlink="">
      <xdr:nvSpPr>
        <xdr:cNvPr id="164086" name="Скругленный прямоугольник 164085">
          <a:extLst>
            <a:ext uri="{FF2B5EF4-FFF2-40B4-BE49-F238E27FC236}">
              <a16:creationId xmlns:a16="http://schemas.microsoft.com/office/drawing/2014/main" id="{00000000-0008-0000-0100-0000F6800200}"/>
            </a:ext>
          </a:extLst>
        </xdr:cNvPr>
        <xdr:cNvSpPr/>
      </xdr:nvSpPr>
      <xdr:spPr>
        <a:xfrm>
          <a:off x="12668250" y="1765300"/>
          <a:ext cx="132497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1396</a:t>
          </a:r>
        </a:p>
      </xdr:txBody>
    </xdr:sp>
    <xdr:clientData/>
  </xdr:twoCellAnchor>
  <xdr:twoCellAnchor>
    <xdr:from>
      <xdr:col>16</xdr:col>
      <xdr:colOff>1360005</xdr:colOff>
      <xdr:row>8</xdr:row>
      <xdr:rowOff>12700</xdr:rowOff>
    </xdr:from>
    <xdr:to>
      <xdr:col>16</xdr:col>
      <xdr:colOff>2617267</xdr:colOff>
      <xdr:row>8</xdr:row>
      <xdr:rowOff>177800</xdr:rowOff>
    </xdr:to>
    <xdr:sp macro="" textlink="">
      <xdr:nvSpPr>
        <xdr:cNvPr id="164087" name="Скругленный прямоугольник 164086">
          <a:extLst>
            <a:ext uri="{FF2B5EF4-FFF2-40B4-BE49-F238E27FC236}">
              <a16:creationId xmlns:a16="http://schemas.microsoft.com/office/drawing/2014/main" id="{00000000-0008-0000-0100-0000F7800200}"/>
            </a:ext>
          </a:extLst>
        </xdr:cNvPr>
        <xdr:cNvSpPr/>
      </xdr:nvSpPr>
      <xdr:spPr>
        <a:xfrm>
          <a:off x="14028255" y="1765300"/>
          <a:ext cx="125726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2652297</xdr:colOff>
      <xdr:row>8</xdr:row>
      <xdr:rowOff>12700</xdr:rowOff>
    </xdr:from>
    <xdr:to>
      <xdr:col>16</xdr:col>
      <xdr:colOff>3890212</xdr:colOff>
      <xdr:row>8</xdr:row>
      <xdr:rowOff>177800</xdr:rowOff>
    </xdr:to>
    <xdr:sp macro="" textlink="">
      <xdr:nvSpPr>
        <xdr:cNvPr id="164088" name="Скругленный прямоугольник 164087">
          <a:extLst>
            <a:ext uri="{FF2B5EF4-FFF2-40B4-BE49-F238E27FC236}">
              <a16:creationId xmlns:a16="http://schemas.microsoft.com/office/drawing/2014/main" id="{00000000-0008-0000-0100-0000F8800200}"/>
            </a:ext>
          </a:extLst>
        </xdr:cNvPr>
        <xdr:cNvSpPr/>
      </xdr:nvSpPr>
      <xdr:spPr>
        <a:xfrm>
          <a:off x="15320547" y="17653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3925244</xdr:colOff>
      <xdr:row>8</xdr:row>
      <xdr:rowOff>12700</xdr:rowOff>
    </xdr:from>
    <xdr:to>
      <xdr:col>16</xdr:col>
      <xdr:colOff>5134141</xdr:colOff>
      <xdr:row>8</xdr:row>
      <xdr:rowOff>177800</xdr:rowOff>
    </xdr:to>
    <xdr:sp macro="" textlink="">
      <xdr:nvSpPr>
        <xdr:cNvPr id="164089" name="Скругленный прямоугольник 164088">
          <a:extLst>
            <a:ext uri="{FF2B5EF4-FFF2-40B4-BE49-F238E27FC236}">
              <a16:creationId xmlns:a16="http://schemas.microsoft.com/office/drawing/2014/main" id="{00000000-0008-0000-0100-0000F9800200}"/>
            </a:ext>
          </a:extLst>
        </xdr:cNvPr>
        <xdr:cNvSpPr/>
      </xdr:nvSpPr>
      <xdr:spPr>
        <a:xfrm>
          <a:off x="16593494" y="1765300"/>
          <a:ext cx="120889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CFCFCF" mc:Ignorable="a14" a14:legacySpreadsheetColorIndex="2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8E8E8" mc:Ignorable="a14" a14:legacySpreadsheetColorIndex="2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7F7F7F" mc:Ignorable="a14" a14:legacySpreadsheetColorIndex="2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1276</a:t>
          </a:r>
        </a:p>
      </xdr:txBody>
    </xdr:sp>
    <xdr:clientData/>
  </xdr:twoCellAnchor>
  <xdr:twoCellAnchor>
    <xdr:from>
      <xdr:col>16</xdr:col>
      <xdr:colOff>5169171</xdr:colOff>
      <xdr:row>8</xdr:row>
      <xdr:rowOff>12700</xdr:rowOff>
    </xdr:from>
    <xdr:to>
      <xdr:col>16</xdr:col>
      <xdr:colOff>5758985</xdr:colOff>
      <xdr:row>8</xdr:row>
      <xdr:rowOff>177800</xdr:rowOff>
    </xdr:to>
    <xdr:sp macro="" textlink="">
      <xdr:nvSpPr>
        <xdr:cNvPr id="164090" name="Скругленный прямоугольник 164089">
          <a:extLst>
            <a:ext uri="{FF2B5EF4-FFF2-40B4-BE49-F238E27FC236}">
              <a16:creationId xmlns:a16="http://schemas.microsoft.com/office/drawing/2014/main" id="{00000000-0008-0000-0100-0000FA800200}"/>
            </a:ext>
          </a:extLst>
        </xdr:cNvPr>
        <xdr:cNvSpPr/>
      </xdr:nvSpPr>
      <xdr:spPr>
        <a:xfrm>
          <a:off x="17837421" y="1765300"/>
          <a:ext cx="58981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636</a:t>
          </a:r>
        </a:p>
      </xdr:txBody>
    </xdr:sp>
    <xdr:clientData/>
  </xdr:twoCellAnchor>
  <xdr:twoCellAnchor>
    <xdr:from>
      <xdr:col>16</xdr:col>
      <xdr:colOff>0</xdr:colOff>
      <xdr:row>9</xdr:row>
      <xdr:rowOff>12700</xdr:rowOff>
    </xdr:from>
    <xdr:to>
      <xdr:col>16</xdr:col>
      <xdr:colOff>1324973</xdr:colOff>
      <xdr:row>9</xdr:row>
      <xdr:rowOff>177800</xdr:rowOff>
    </xdr:to>
    <xdr:sp macro="" textlink="">
      <xdr:nvSpPr>
        <xdr:cNvPr id="164091" name="Скругленный прямоугольник 164090">
          <a:extLst>
            <a:ext uri="{FF2B5EF4-FFF2-40B4-BE49-F238E27FC236}">
              <a16:creationId xmlns:a16="http://schemas.microsoft.com/office/drawing/2014/main" id="{00000000-0008-0000-0100-0000FB800200}"/>
            </a:ext>
          </a:extLst>
        </xdr:cNvPr>
        <xdr:cNvSpPr/>
      </xdr:nvSpPr>
      <xdr:spPr>
        <a:xfrm>
          <a:off x="12668250" y="1955800"/>
          <a:ext cx="132497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1396</a:t>
          </a:r>
        </a:p>
      </xdr:txBody>
    </xdr:sp>
    <xdr:clientData/>
  </xdr:twoCellAnchor>
  <xdr:twoCellAnchor>
    <xdr:from>
      <xdr:col>16</xdr:col>
      <xdr:colOff>1360005</xdr:colOff>
      <xdr:row>9</xdr:row>
      <xdr:rowOff>12700</xdr:rowOff>
    </xdr:from>
    <xdr:to>
      <xdr:col>16</xdr:col>
      <xdr:colOff>2665633</xdr:colOff>
      <xdr:row>9</xdr:row>
      <xdr:rowOff>177800</xdr:rowOff>
    </xdr:to>
    <xdr:sp macro="" textlink="">
      <xdr:nvSpPr>
        <xdr:cNvPr id="164092" name="Скругленный прямоугольник 164091">
          <a:extLst>
            <a:ext uri="{FF2B5EF4-FFF2-40B4-BE49-F238E27FC236}">
              <a16:creationId xmlns:a16="http://schemas.microsoft.com/office/drawing/2014/main" id="{00000000-0008-0000-0100-0000FC800200}"/>
            </a:ext>
          </a:extLst>
        </xdr:cNvPr>
        <xdr:cNvSpPr/>
      </xdr:nvSpPr>
      <xdr:spPr>
        <a:xfrm>
          <a:off x="14028255" y="1955800"/>
          <a:ext cx="130562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7C96" mc:Ignorable="a14" a14:legacySpreadsheetColorIndex="2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CBD3" mc:Ignorable="a14" a14:legacySpreadsheetColorIndex="2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0041" mc:Ignorable="a14" a14:legacySpreadsheetColorIndex="2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1376</a:t>
          </a:r>
        </a:p>
      </xdr:txBody>
    </xdr:sp>
    <xdr:clientData/>
  </xdr:twoCellAnchor>
  <xdr:twoCellAnchor>
    <xdr:from>
      <xdr:col>16</xdr:col>
      <xdr:colOff>2700663</xdr:colOff>
      <xdr:row>9</xdr:row>
      <xdr:rowOff>12700</xdr:rowOff>
    </xdr:from>
    <xdr:to>
      <xdr:col>16</xdr:col>
      <xdr:colOff>3967598</xdr:colOff>
      <xdr:row>9</xdr:row>
      <xdr:rowOff>177800</xdr:rowOff>
    </xdr:to>
    <xdr:sp macro="" textlink="">
      <xdr:nvSpPr>
        <xdr:cNvPr id="164093" name="Скругленный прямоугольник 164092">
          <a:extLst>
            <a:ext uri="{FF2B5EF4-FFF2-40B4-BE49-F238E27FC236}">
              <a16:creationId xmlns:a16="http://schemas.microsoft.com/office/drawing/2014/main" id="{00000000-0008-0000-0100-0000FD800200}"/>
            </a:ext>
          </a:extLst>
        </xdr:cNvPr>
        <xdr:cNvSpPr/>
      </xdr:nvSpPr>
      <xdr:spPr>
        <a:xfrm>
          <a:off x="15368913" y="19558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4002630</xdr:colOff>
      <xdr:row>9</xdr:row>
      <xdr:rowOff>12700</xdr:rowOff>
    </xdr:from>
    <xdr:to>
      <xdr:col>16</xdr:col>
      <xdr:colOff>5105121</xdr:colOff>
      <xdr:row>9</xdr:row>
      <xdr:rowOff>177800</xdr:rowOff>
    </xdr:to>
    <xdr:sp macro="" textlink="">
      <xdr:nvSpPr>
        <xdr:cNvPr id="164094" name="Скругленный прямоугольник 164093">
          <a:extLst>
            <a:ext uri="{FF2B5EF4-FFF2-40B4-BE49-F238E27FC236}">
              <a16:creationId xmlns:a16="http://schemas.microsoft.com/office/drawing/2014/main" id="{00000000-0008-0000-0100-0000FE800200}"/>
            </a:ext>
          </a:extLst>
        </xdr:cNvPr>
        <xdr:cNvSpPr/>
      </xdr:nvSpPr>
      <xdr:spPr>
        <a:xfrm>
          <a:off x="16670880" y="19558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7C" mc:Ignorable="a14" a14:legacySpreadsheetColorIndex="1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CB" mc:Ignorable="a14" a14:legacySpreadsheetColorIndex="1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00" mc:Ignorable="a14" a14:legacySpreadsheetColorIndex="1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5140151</xdr:colOff>
      <xdr:row>9</xdr:row>
      <xdr:rowOff>12700</xdr:rowOff>
    </xdr:from>
    <xdr:to>
      <xdr:col>16</xdr:col>
      <xdr:colOff>5758985</xdr:colOff>
      <xdr:row>9</xdr:row>
      <xdr:rowOff>177800</xdr:rowOff>
    </xdr:to>
    <xdr:sp macro="" textlink="">
      <xdr:nvSpPr>
        <xdr:cNvPr id="164095" name="Скругленный прямоугольник 164094">
          <a:extLst>
            <a:ext uri="{FF2B5EF4-FFF2-40B4-BE49-F238E27FC236}">
              <a16:creationId xmlns:a16="http://schemas.microsoft.com/office/drawing/2014/main" id="{00000000-0008-0000-0100-0000FF800200}"/>
            </a:ext>
          </a:extLst>
        </xdr:cNvPr>
        <xdr:cNvSpPr/>
      </xdr:nvSpPr>
      <xdr:spPr>
        <a:xfrm>
          <a:off x="17808401" y="1955800"/>
          <a:ext cx="61883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666</a:t>
          </a:r>
        </a:p>
      </xdr:txBody>
    </xdr:sp>
    <xdr:clientData/>
  </xdr:twoCellAnchor>
  <xdr:twoCellAnchor>
    <xdr:from>
      <xdr:col>16</xdr:col>
      <xdr:colOff>0</xdr:colOff>
      <xdr:row>10</xdr:row>
      <xdr:rowOff>12700</xdr:rowOff>
    </xdr:from>
    <xdr:to>
      <xdr:col>16</xdr:col>
      <xdr:colOff>1334647</xdr:colOff>
      <xdr:row>10</xdr:row>
      <xdr:rowOff>177800</xdr:rowOff>
    </xdr:to>
    <xdr:sp macro="" textlink="">
      <xdr:nvSpPr>
        <xdr:cNvPr id="164160" name="Скругленный прямоугольник 164159">
          <a:extLst>
            <a:ext uri="{FF2B5EF4-FFF2-40B4-BE49-F238E27FC236}">
              <a16:creationId xmlns:a16="http://schemas.microsoft.com/office/drawing/2014/main" id="{00000000-0008-0000-0100-000040810200}"/>
            </a:ext>
          </a:extLst>
        </xdr:cNvPr>
        <xdr:cNvSpPr/>
      </xdr:nvSpPr>
      <xdr:spPr>
        <a:xfrm>
          <a:off x="12668250" y="2146300"/>
          <a:ext cx="13346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1369678</xdr:colOff>
      <xdr:row>10</xdr:row>
      <xdr:rowOff>12700</xdr:rowOff>
    </xdr:from>
    <xdr:to>
      <xdr:col>16</xdr:col>
      <xdr:colOff>2704325</xdr:colOff>
      <xdr:row>10</xdr:row>
      <xdr:rowOff>177800</xdr:rowOff>
    </xdr:to>
    <xdr:sp macro="" textlink="">
      <xdr:nvSpPr>
        <xdr:cNvPr id="164161" name="Скругленный прямоугольник 164160">
          <a:extLst>
            <a:ext uri="{FF2B5EF4-FFF2-40B4-BE49-F238E27FC236}">
              <a16:creationId xmlns:a16="http://schemas.microsoft.com/office/drawing/2014/main" id="{00000000-0008-0000-0100-000041810200}"/>
            </a:ext>
          </a:extLst>
        </xdr:cNvPr>
        <xdr:cNvSpPr/>
      </xdr:nvSpPr>
      <xdr:spPr>
        <a:xfrm>
          <a:off x="14037928" y="2146300"/>
          <a:ext cx="13346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2739357</xdr:colOff>
      <xdr:row>10</xdr:row>
      <xdr:rowOff>12700</xdr:rowOff>
    </xdr:from>
    <xdr:to>
      <xdr:col>16</xdr:col>
      <xdr:colOff>3996618</xdr:colOff>
      <xdr:row>10</xdr:row>
      <xdr:rowOff>177800</xdr:rowOff>
    </xdr:to>
    <xdr:sp macro="" textlink="">
      <xdr:nvSpPr>
        <xdr:cNvPr id="164162" name="Скругленный прямоугольник 164161">
          <a:extLst>
            <a:ext uri="{FF2B5EF4-FFF2-40B4-BE49-F238E27FC236}">
              <a16:creationId xmlns:a16="http://schemas.microsoft.com/office/drawing/2014/main" id="{00000000-0008-0000-0100-000042810200}"/>
            </a:ext>
          </a:extLst>
        </xdr:cNvPr>
        <xdr:cNvSpPr/>
      </xdr:nvSpPr>
      <xdr:spPr>
        <a:xfrm>
          <a:off x="15407607" y="2146300"/>
          <a:ext cx="12572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4031648</xdr:colOff>
      <xdr:row>10</xdr:row>
      <xdr:rowOff>12700</xdr:rowOff>
    </xdr:from>
    <xdr:to>
      <xdr:col>16</xdr:col>
      <xdr:colOff>5095447</xdr:colOff>
      <xdr:row>10</xdr:row>
      <xdr:rowOff>177800</xdr:rowOff>
    </xdr:to>
    <xdr:sp macro="" textlink="">
      <xdr:nvSpPr>
        <xdr:cNvPr id="164163" name="Скругленный прямоугольник 164162">
          <a:extLst>
            <a:ext uri="{FF2B5EF4-FFF2-40B4-BE49-F238E27FC236}">
              <a16:creationId xmlns:a16="http://schemas.microsoft.com/office/drawing/2014/main" id="{00000000-0008-0000-0100-000043810200}"/>
            </a:ext>
          </a:extLst>
        </xdr:cNvPr>
        <xdr:cNvSpPr/>
      </xdr:nvSpPr>
      <xdr:spPr>
        <a:xfrm>
          <a:off x="16699898" y="2146300"/>
          <a:ext cx="106379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1126</a:t>
          </a:r>
        </a:p>
      </xdr:txBody>
    </xdr:sp>
    <xdr:clientData/>
  </xdr:twoCellAnchor>
  <xdr:twoCellAnchor>
    <xdr:from>
      <xdr:col>16</xdr:col>
      <xdr:colOff>5130478</xdr:colOff>
      <xdr:row>10</xdr:row>
      <xdr:rowOff>12700</xdr:rowOff>
    </xdr:from>
    <xdr:to>
      <xdr:col>16</xdr:col>
      <xdr:colOff>5758983</xdr:colOff>
      <xdr:row>10</xdr:row>
      <xdr:rowOff>177800</xdr:rowOff>
    </xdr:to>
    <xdr:sp macro="" textlink="">
      <xdr:nvSpPr>
        <xdr:cNvPr id="164164" name="Скругленный прямоугольник 164163">
          <a:extLst>
            <a:ext uri="{FF2B5EF4-FFF2-40B4-BE49-F238E27FC236}">
              <a16:creationId xmlns:a16="http://schemas.microsoft.com/office/drawing/2014/main" id="{00000000-0008-0000-0100-000044810200}"/>
            </a:ext>
          </a:extLst>
        </xdr:cNvPr>
        <xdr:cNvSpPr/>
      </xdr:nvSpPr>
      <xdr:spPr>
        <a:xfrm>
          <a:off x="17798728" y="2146300"/>
          <a:ext cx="62850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676</a:t>
          </a:r>
        </a:p>
      </xdr:txBody>
    </xdr:sp>
    <xdr:clientData/>
  </xdr:twoCellAnchor>
  <xdr:twoCellAnchor>
    <xdr:from>
      <xdr:col>16</xdr:col>
      <xdr:colOff>0</xdr:colOff>
      <xdr:row>11</xdr:row>
      <xdr:rowOff>12700</xdr:rowOff>
    </xdr:from>
    <xdr:to>
      <xdr:col>16</xdr:col>
      <xdr:colOff>1450725</xdr:colOff>
      <xdr:row>11</xdr:row>
      <xdr:rowOff>177800</xdr:rowOff>
    </xdr:to>
    <xdr:sp macro="" textlink="">
      <xdr:nvSpPr>
        <xdr:cNvPr id="164165" name="Скругленный прямоугольник 164164">
          <a:extLst>
            <a:ext uri="{FF2B5EF4-FFF2-40B4-BE49-F238E27FC236}">
              <a16:creationId xmlns:a16="http://schemas.microsoft.com/office/drawing/2014/main" id="{00000000-0008-0000-0100-000045810200}"/>
            </a:ext>
          </a:extLst>
        </xdr:cNvPr>
        <xdr:cNvSpPr/>
      </xdr:nvSpPr>
      <xdr:spPr>
        <a:xfrm>
          <a:off x="12668250" y="2336800"/>
          <a:ext cx="14507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3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3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3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1485756</xdr:colOff>
      <xdr:row>11</xdr:row>
      <xdr:rowOff>12700</xdr:rowOff>
    </xdr:from>
    <xdr:to>
      <xdr:col>16</xdr:col>
      <xdr:colOff>2752691</xdr:colOff>
      <xdr:row>11</xdr:row>
      <xdr:rowOff>177800</xdr:rowOff>
    </xdr:to>
    <xdr:sp macro="" textlink="">
      <xdr:nvSpPr>
        <xdr:cNvPr id="164166" name="Скругленный прямоугольник 164165">
          <a:extLst>
            <a:ext uri="{FF2B5EF4-FFF2-40B4-BE49-F238E27FC236}">
              <a16:creationId xmlns:a16="http://schemas.microsoft.com/office/drawing/2014/main" id="{00000000-0008-0000-0100-000046810200}"/>
            </a:ext>
          </a:extLst>
        </xdr:cNvPr>
        <xdr:cNvSpPr/>
      </xdr:nvSpPr>
      <xdr:spPr>
        <a:xfrm>
          <a:off x="14154006" y="23368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2787721</xdr:colOff>
      <xdr:row>11</xdr:row>
      <xdr:rowOff>12700</xdr:rowOff>
    </xdr:from>
    <xdr:to>
      <xdr:col>16</xdr:col>
      <xdr:colOff>3977270</xdr:colOff>
      <xdr:row>11</xdr:row>
      <xdr:rowOff>177800</xdr:rowOff>
    </xdr:to>
    <xdr:sp macro="" textlink="">
      <xdr:nvSpPr>
        <xdr:cNvPr id="164167" name="Скругленный прямоугольник 164166">
          <a:extLst>
            <a:ext uri="{FF2B5EF4-FFF2-40B4-BE49-F238E27FC236}">
              <a16:creationId xmlns:a16="http://schemas.microsoft.com/office/drawing/2014/main" id="{00000000-0008-0000-0100-000047810200}"/>
            </a:ext>
          </a:extLst>
        </xdr:cNvPr>
        <xdr:cNvSpPr/>
      </xdr:nvSpPr>
      <xdr:spPr>
        <a:xfrm>
          <a:off x="15455971" y="2336800"/>
          <a:ext cx="118954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A4" mc:Ignorable="a14" a14:legacySpreadsheetColorIndex="2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D8" mc:Ignorable="a14" a14:legacySpreadsheetColorIndex="2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53" mc:Ignorable="a14" a14:legacySpreadsheetColorIndex="2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1256</a:t>
          </a:r>
        </a:p>
      </xdr:txBody>
    </xdr:sp>
    <xdr:clientData/>
  </xdr:twoCellAnchor>
  <xdr:twoCellAnchor>
    <xdr:from>
      <xdr:col>16</xdr:col>
      <xdr:colOff>4012302</xdr:colOff>
      <xdr:row>11</xdr:row>
      <xdr:rowOff>12700</xdr:rowOff>
    </xdr:from>
    <xdr:to>
      <xdr:col>16</xdr:col>
      <xdr:colOff>5085773</xdr:colOff>
      <xdr:row>11</xdr:row>
      <xdr:rowOff>177800</xdr:rowOff>
    </xdr:to>
    <xdr:sp macro="" textlink="">
      <xdr:nvSpPr>
        <xdr:cNvPr id="164168" name="Скругленный прямоугольник 164167">
          <a:extLst>
            <a:ext uri="{FF2B5EF4-FFF2-40B4-BE49-F238E27FC236}">
              <a16:creationId xmlns:a16="http://schemas.microsoft.com/office/drawing/2014/main" id="{00000000-0008-0000-0100-000048810200}"/>
            </a:ext>
          </a:extLst>
        </xdr:cNvPr>
        <xdr:cNvSpPr/>
      </xdr:nvSpPr>
      <xdr:spPr>
        <a:xfrm>
          <a:off x="16680552" y="2336800"/>
          <a:ext cx="107347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1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1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1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1136</a:t>
          </a:r>
        </a:p>
      </xdr:txBody>
    </xdr:sp>
    <xdr:clientData/>
  </xdr:twoCellAnchor>
  <xdr:twoCellAnchor>
    <xdr:from>
      <xdr:col>16</xdr:col>
      <xdr:colOff>5120805</xdr:colOff>
      <xdr:row>11</xdr:row>
      <xdr:rowOff>12700</xdr:rowOff>
    </xdr:from>
    <xdr:to>
      <xdr:col>16</xdr:col>
      <xdr:colOff>5758985</xdr:colOff>
      <xdr:row>11</xdr:row>
      <xdr:rowOff>177800</xdr:rowOff>
    </xdr:to>
    <xdr:sp macro="" textlink="">
      <xdr:nvSpPr>
        <xdr:cNvPr id="164169" name="Скругленный прямоугольник 164168">
          <a:extLst>
            <a:ext uri="{FF2B5EF4-FFF2-40B4-BE49-F238E27FC236}">
              <a16:creationId xmlns:a16="http://schemas.microsoft.com/office/drawing/2014/main" id="{00000000-0008-0000-0100-000049810200}"/>
            </a:ext>
          </a:extLst>
        </xdr:cNvPr>
        <xdr:cNvSpPr/>
      </xdr:nvSpPr>
      <xdr:spPr>
        <a:xfrm>
          <a:off x="17789055" y="2336800"/>
          <a:ext cx="63818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686</a:t>
          </a:r>
        </a:p>
      </xdr:txBody>
    </xdr:sp>
    <xdr:clientData/>
  </xdr:twoCellAnchor>
  <xdr:twoCellAnchor>
    <xdr:from>
      <xdr:col>16</xdr:col>
      <xdr:colOff>0</xdr:colOff>
      <xdr:row>12</xdr:row>
      <xdr:rowOff>12700</xdr:rowOff>
    </xdr:from>
    <xdr:to>
      <xdr:col>16</xdr:col>
      <xdr:colOff>1992423</xdr:colOff>
      <xdr:row>12</xdr:row>
      <xdr:rowOff>177800</xdr:rowOff>
    </xdr:to>
    <xdr:sp macro="" textlink="">
      <xdr:nvSpPr>
        <xdr:cNvPr id="164170" name="Скругленный прямоугольник 164169">
          <a:extLst>
            <a:ext uri="{FF2B5EF4-FFF2-40B4-BE49-F238E27FC236}">
              <a16:creationId xmlns:a16="http://schemas.microsoft.com/office/drawing/2014/main" id="{00000000-0008-0000-0100-00004A810200}"/>
            </a:ext>
          </a:extLst>
        </xdr:cNvPr>
        <xdr:cNvSpPr/>
      </xdr:nvSpPr>
      <xdr:spPr>
        <a:xfrm>
          <a:off x="12668250" y="2527300"/>
          <a:ext cx="199242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A4" mc:Ignorable="a14" a14:legacySpreadsheetColorIndex="3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D8" mc:Ignorable="a14" a14:legacySpreadsheetColorIndex="3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53" mc:Ignorable="a14" a14:legacySpreadsheetColorIndex="3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2086</a:t>
          </a:r>
        </a:p>
      </xdr:txBody>
    </xdr:sp>
    <xdr:clientData/>
  </xdr:twoCellAnchor>
  <xdr:twoCellAnchor>
    <xdr:from>
      <xdr:col>16</xdr:col>
      <xdr:colOff>2027453</xdr:colOff>
      <xdr:row>12</xdr:row>
      <xdr:rowOff>12700</xdr:rowOff>
    </xdr:from>
    <xdr:to>
      <xdr:col>16</xdr:col>
      <xdr:colOff>3304062</xdr:colOff>
      <xdr:row>12</xdr:row>
      <xdr:rowOff>177800</xdr:rowOff>
    </xdr:to>
    <xdr:sp macro="" textlink="">
      <xdr:nvSpPr>
        <xdr:cNvPr id="164171" name="Скругленный прямоугольник 164170">
          <a:extLst>
            <a:ext uri="{FF2B5EF4-FFF2-40B4-BE49-F238E27FC236}">
              <a16:creationId xmlns:a16="http://schemas.microsoft.com/office/drawing/2014/main" id="{00000000-0008-0000-0100-00004B810200}"/>
            </a:ext>
          </a:extLst>
        </xdr:cNvPr>
        <xdr:cNvSpPr/>
      </xdr:nvSpPr>
      <xdr:spPr>
        <a:xfrm>
          <a:off x="14695703" y="2527300"/>
          <a:ext cx="127660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FF" mc:Ignorable="a14" a14:legacySpreadsheetColorIndex="2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FF" mc:Ignorable="a14" a14:legacySpreadsheetColorIndex="2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AA" mc:Ignorable="a14" a14:legacySpreadsheetColorIndex="2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1346</a:t>
          </a:r>
        </a:p>
      </xdr:txBody>
    </xdr:sp>
    <xdr:clientData/>
  </xdr:twoCellAnchor>
  <xdr:twoCellAnchor>
    <xdr:from>
      <xdr:col>16</xdr:col>
      <xdr:colOff>3339092</xdr:colOff>
      <xdr:row>12</xdr:row>
      <xdr:rowOff>12700</xdr:rowOff>
    </xdr:from>
    <xdr:to>
      <xdr:col>16</xdr:col>
      <xdr:colOff>4402891</xdr:colOff>
      <xdr:row>12</xdr:row>
      <xdr:rowOff>177800</xdr:rowOff>
    </xdr:to>
    <xdr:sp macro="" textlink="">
      <xdr:nvSpPr>
        <xdr:cNvPr id="164172" name="Скругленный прямоугольник 164171">
          <a:extLst>
            <a:ext uri="{FF2B5EF4-FFF2-40B4-BE49-F238E27FC236}">
              <a16:creationId xmlns:a16="http://schemas.microsoft.com/office/drawing/2014/main" id="{00000000-0008-0000-0100-00004C810200}"/>
            </a:ext>
          </a:extLst>
        </xdr:cNvPr>
        <xdr:cNvSpPr/>
      </xdr:nvSpPr>
      <xdr:spPr>
        <a:xfrm>
          <a:off x="16007342" y="2527300"/>
          <a:ext cx="106379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1126</a:t>
          </a:r>
        </a:p>
      </xdr:txBody>
    </xdr:sp>
    <xdr:clientData/>
  </xdr:twoCellAnchor>
  <xdr:twoCellAnchor>
    <xdr:from>
      <xdr:col>16</xdr:col>
      <xdr:colOff>4437921</xdr:colOff>
      <xdr:row>12</xdr:row>
      <xdr:rowOff>12700</xdr:rowOff>
    </xdr:from>
    <xdr:to>
      <xdr:col>16</xdr:col>
      <xdr:colOff>5085773</xdr:colOff>
      <xdr:row>12</xdr:row>
      <xdr:rowOff>177800</xdr:rowOff>
    </xdr:to>
    <xdr:sp macro="" textlink="">
      <xdr:nvSpPr>
        <xdr:cNvPr id="164173" name="Скругленный прямоугольник 164172">
          <a:extLst>
            <a:ext uri="{FF2B5EF4-FFF2-40B4-BE49-F238E27FC236}">
              <a16:creationId xmlns:a16="http://schemas.microsoft.com/office/drawing/2014/main" id="{00000000-0008-0000-0100-00004D810200}"/>
            </a:ext>
          </a:extLst>
        </xdr:cNvPr>
        <xdr:cNvSpPr/>
      </xdr:nvSpPr>
      <xdr:spPr>
        <a:xfrm>
          <a:off x="17106171" y="2527300"/>
          <a:ext cx="64785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696</a:t>
          </a:r>
        </a:p>
      </xdr:txBody>
    </xdr:sp>
    <xdr:clientData/>
  </xdr:twoCellAnchor>
  <xdr:twoCellAnchor>
    <xdr:from>
      <xdr:col>16</xdr:col>
      <xdr:colOff>5120805</xdr:colOff>
      <xdr:row>12</xdr:row>
      <xdr:rowOff>12700</xdr:rowOff>
    </xdr:from>
    <xdr:to>
      <xdr:col>16</xdr:col>
      <xdr:colOff>5758985</xdr:colOff>
      <xdr:row>12</xdr:row>
      <xdr:rowOff>177800</xdr:rowOff>
    </xdr:to>
    <xdr:sp macro="" textlink="">
      <xdr:nvSpPr>
        <xdr:cNvPr id="164174" name="Скругленный прямоугольник 164173">
          <a:extLst>
            <a:ext uri="{FF2B5EF4-FFF2-40B4-BE49-F238E27FC236}">
              <a16:creationId xmlns:a16="http://schemas.microsoft.com/office/drawing/2014/main" id="{00000000-0008-0000-0100-00004E810200}"/>
            </a:ext>
          </a:extLst>
        </xdr:cNvPr>
        <xdr:cNvSpPr/>
      </xdr:nvSpPr>
      <xdr:spPr>
        <a:xfrm>
          <a:off x="17789055" y="2527300"/>
          <a:ext cx="63818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686</a:t>
          </a:r>
        </a:p>
      </xdr:txBody>
    </xdr:sp>
    <xdr:clientData/>
  </xdr:twoCellAnchor>
  <xdr:twoCellAnchor>
    <xdr:from>
      <xdr:col>16</xdr:col>
      <xdr:colOff>0</xdr:colOff>
      <xdr:row>13</xdr:row>
      <xdr:rowOff>12700</xdr:rowOff>
    </xdr:from>
    <xdr:to>
      <xdr:col>16</xdr:col>
      <xdr:colOff>2243925</xdr:colOff>
      <xdr:row>13</xdr:row>
      <xdr:rowOff>177800</xdr:rowOff>
    </xdr:to>
    <xdr:sp macro="" textlink="">
      <xdr:nvSpPr>
        <xdr:cNvPr id="164175" name="Скругленный прямоугольник 164174">
          <a:extLst>
            <a:ext uri="{FF2B5EF4-FFF2-40B4-BE49-F238E27FC236}">
              <a16:creationId xmlns:a16="http://schemas.microsoft.com/office/drawing/2014/main" id="{00000000-0008-0000-0100-00004F810200}"/>
            </a:ext>
          </a:extLst>
        </xdr:cNvPr>
        <xdr:cNvSpPr/>
      </xdr:nvSpPr>
      <xdr:spPr>
        <a:xfrm>
          <a:off x="12668250" y="2717800"/>
          <a:ext cx="22439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D7FF" mc:Ignorable="a14" a14:legacySpreadsheetColorIndex="4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ECFF" mc:Ignorable="a14" a14:legacySpreadsheetColorIndex="4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87AA" mc:Ignorable="a14" a14:legacySpreadsheetColorIndex="4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2346</a:t>
          </a:r>
        </a:p>
      </xdr:txBody>
    </xdr:sp>
    <xdr:clientData/>
  </xdr:twoCellAnchor>
  <xdr:twoCellAnchor>
    <xdr:from>
      <xdr:col>16</xdr:col>
      <xdr:colOff>2278955</xdr:colOff>
      <xdr:row>13</xdr:row>
      <xdr:rowOff>12700</xdr:rowOff>
    </xdr:from>
    <xdr:to>
      <xdr:col>16</xdr:col>
      <xdr:colOff>4358436</xdr:colOff>
      <xdr:row>13</xdr:row>
      <xdr:rowOff>177800</xdr:rowOff>
    </xdr:to>
    <xdr:sp macro="" textlink="">
      <xdr:nvSpPr>
        <xdr:cNvPr id="164176" name="Скругленный прямоугольник 164175">
          <a:extLst>
            <a:ext uri="{FF2B5EF4-FFF2-40B4-BE49-F238E27FC236}">
              <a16:creationId xmlns:a16="http://schemas.microsoft.com/office/drawing/2014/main" id="{00000000-0008-0000-0100-000050810200}"/>
            </a:ext>
          </a:extLst>
        </xdr:cNvPr>
        <xdr:cNvSpPr/>
      </xdr:nvSpPr>
      <xdr:spPr>
        <a:xfrm>
          <a:off x="14947205" y="2717800"/>
          <a:ext cx="207948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D7" mc:Ignorable="a14" a14:legacySpreadsheetColorIndex="4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EC" mc:Ignorable="a14" a14:legacySpreadsheetColorIndex="4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87" mc:Ignorable="a14" a14:legacySpreadsheetColorIndex="4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2176</a:t>
          </a:r>
        </a:p>
      </xdr:txBody>
    </xdr:sp>
    <xdr:clientData/>
  </xdr:twoCellAnchor>
  <xdr:twoCellAnchor>
    <xdr:from>
      <xdr:col>16</xdr:col>
      <xdr:colOff>4393468</xdr:colOff>
      <xdr:row>13</xdr:row>
      <xdr:rowOff>12700</xdr:rowOff>
    </xdr:from>
    <xdr:to>
      <xdr:col>16</xdr:col>
      <xdr:colOff>5757135</xdr:colOff>
      <xdr:row>13</xdr:row>
      <xdr:rowOff>177800</xdr:rowOff>
    </xdr:to>
    <xdr:sp macro="" textlink="">
      <xdr:nvSpPr>
        <xdr:cNvPr id="164177" name="Скругленный прямоугольник 164176">
          <a:extLst>
            <a:ext uri="{FF2B5EF4-FFF2-40B4-BE49-F238E27FC236}">
              <a16:creationId xmlns:a16="http://schemas.microsoft.com/office/drawing/2014/main" id="{00000000-0008-0000-0100-000051810200}"/>
            </a:ext>
          </a:extLst>
        </xdr:cNvPr>
        <xdr:cNvSpPr/>
      </xdr:nvSpPr>
      <xdr:spPr>
        <a:xfrm>
          <a:off x="17061718" y="2717800"/>
          <a:ext cx="136366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3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3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3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1436</a:t>
          </a:r>
        </a:p>
      </xdr:txBody>
    </xdr:sp>
    <xdr:clientData/>
  </xdr:twoCellAnchor>
  <xdr:twoCellAnchor>
    <xdr:from>
      <xdr:col>16</xdr:col>
      <xdr:colOff>0</xdr:colOff>
      <xdr:row>14</xdr:row>
      <xdr:rowOff>12700</xdr:rowOff>
    </xdr:from>
    <xdr:to>
      <xdr:col>16</xdr:col>
      <xdr:colOff>2243925</xdr:colOff>
      <xdr:row>14</xdr:row>
      <xdr:rowOff>177800</xdr:rowOff>
    </xdr:to>
    <xdr:sp macro="" textlink="">
      <xdr:nvSpPr>
        <xdr:cNvPr id="164178" name="Скругленный прямоугольник 164177">
          <a:extLst>
            <a:ext uri="{FF2B5EF4-FFF2-40B4-BE49-F238E27FC236}">
              <a16:creationId xmlns:a16="http://schemas.microsoft.com/office/drawing/2014/main" id="{00000000-0008-0000-0100-000052810200}"/>
            </a:ext>
          </a:extLst>
        </xdr:cNvPr>
        <xdr:cNvSpPr/>
      </xdr:nvSpPr>
      <xdr:spPr>
        <a:xfrm>
          <a:off x="12668250" y="2908300"/>
          <a:ext cx="22439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D7FF" mc:Ignorable="a14" a14:legacySpreadsheetColorIndex="4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ECFF" mc:Ignorable="a14" a14:legacySpreadsheetColorIndex="4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87AA" mc:Ignorable="a14" a14:legacySpreadsheetColorIndex="4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2346</a:t>
          </a:r>
        </a:p>
      </xdr:txBody>
    </xdr:sp>
    <xdr:clientData/>
  </xdr:twoCellAnchor>
  <xdr:twoCellAnchor>
    <xdr:from>
      <xdr:col>16</xdr:col>
      <xdr:colOff>2278955</xdr:colOff>
      <xdr:row>14</xdr:row>
      <xdr:rowOff>12700</xdr:rowOff>
    </xdr:from>
    <xdr:to>
      <xdr:col>16</xdr:col>
      <xdr:colOff>4464841</xdr:colOff>
      <xdr:row>14</xdr:row>
      <xdr:rowOff>177800</xdr:rowOff>
    </xdr:to>
    <xdr:sp macro="" textlink="">
      <xdr:nvSpPr>
        <xdr:cNvPr id="164179" name="Скругленный прямоугольник 164178">
          <a:extLst>
            <a:ext uri="{FF2B5EF4-FFF2-40B4-BE49-F238E27FC236}">
              <a16:creationId xmlns:a16="http://schemas.microsoft.com/office/drawing/2014/main" id="{00000000-0008-0000-0100-000053810200}"/>
            </a:ext>
          </a:extLst>
        </xdr:cNvPr>
        <xdr:cNvSpPr/>
      </xdr:nvSpPr>
      <xdr:spPr>
        <a:xfrm>
          <a:off x="14947205" y="2908300"/>
          <a:ext cx="218588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B4" mc:Ignorable="a14" a14:legacySpreadsheetColorIndex="4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DE" mc:Ignorable="a14" a14:legacySpreadsheetColorIndex="4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64" mc:Ignorable="a14" a14:legacySpreadsheetColorIndex="4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2286</a:t>
          </a:r>
        </a:p>
      </xdr:txBody>
    </xdr:sp>
    <xdr:clientData/>
  </xdr:twoCellAnchor>
  <xdr:twoCellAnchor>
    <xdr:from>
      <xdr:col>16</xdr:col>
      <xdr:colOff>4499873</xdr:colOff>
      <xdr:row>14</xdr:row>
      <xdr:rowOff>12700</xdr:rowOff>
    </xdr:from>
    <xdr:to>
      <xdr:col>16</xdr:col>
      <xdr:colOff>5757134</xdr:colOff>
      <xdr:row>14</xdr:row>
      <xdr:rowOff>177800</xdr:rowOff>
    </xdr:to>
    <xdr:sp macro="" textlink="">
      <xdr:nvSpPr>
        <xdr:cNvPr id="164180" name="Скругленный прямоугольник 164179">
          <a:extLst>
            <a:ext uri="{FF2B5EF4-FFF2-40B4-BE49-F238E27FC236}">
              <a16:creationId xmlns:a16="http://schemas.microsoft.com/office/drawing/2014/main" id="{00000000-0008-0000-0100-000054810200}"/>
            </a:ext>
          </a:extLst>
        </xdr:cNvPr>
        <xdr:cNvSpPr/>
      </xdr:nvSpPr>
      <xdr:spPr>
        <a:xfrm>
          <a:off x="17168123" y="2908300"/>
          <a:ext cx="12572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0</xdr:colOff>
      <xdr:row>15</xdr:row>
      <xdr:rowOff>12700</xdr:rowOff>
    </xdr:from>
    <xdr:to>
      <xdr:col>16</xdr:col>
      <xdr:colOff>1450725</xdr:colOff>
      <xdr:row>15</xdr:row>
      <xdr:rowOff>177800</xdr:rowOff>
    </xdr:to>
    <xdr:sp macro="" textlink="">
      <xdr:nvSpPr>
        <xdr:cNvPr id="164181" name="Скругленный прямоугольник 164180">
          <a:extLst>
            <a:ext uri="{FF2B5EF4-FFF2-40B4-BE49-F238E27FC236}">
              <a16:creationId xmlns:a16="http://schemas.microsoft.com/office/drawing/2014/main" id="{00000000-0008-0000-0100-000055810200}"/>
            </a:ext>
          </a:extLst>
        </xdr:cNvPr>
        <xdr:cNvSpPr/>
      </xdr:nvSpPr>
      <xdr:spPr>
        <a:xfrm>
          <a:off x="12668250" y="3098800"/>
          <a:ext cx="14507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3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3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3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1485756</xdr:colOff>
      <xdr:row>15</xdr:row>
      <xdr:rowOff>12700</xdr:rowOff>
    </xdr:from>
    <xdr:to>
      <xdr:col>16</xdr:col>
      <xdr:colOff>2917135</xdr:colOff>
      <xdr:row>15</xdr:row>
      <xdr:rowOff>177800</xdr:rowOff>
    </xdr:to>
    <xdr:sp macro="" textlink="">
      <xdr:nvSpPr>
        <xdr:cNvPr id="164182" name="Скругленный прямоугольник 164181">
          <a:extLst>
            <a:ext uri="{FF2B5EF4-FFF2-40B4-BE49-F238E27FC236}">
              <a16:creationId xmlns:a16="http://schemas.microsoft.com/office/drawing/2014/main" id="{00000000-0008-0000-0100-000056810200}"/>
            </a:ext>
          </a:extLst>
        </xdr:cNvPr>
        <xdr:cNvSpPr/>
      </xdr:nvSpPr>
      <xdr:spPr>
        <a:xfrm>
          <a:off x="14154006" y="3098800"/>
          <a:ext cx="14313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3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3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3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1506</a:t>
          </a:r>
        </a:p>
      </xdr:txBody>
    </xdr:sp>
    <xdr:clientData/>
  </xdr:twoCellAnchor>
  <xdr:twoCellAnchor>
    <xdr:from>
      <xdr:col>16</xdr:col>
      <xdr:colOff>2952166</xdr:colOff>
      <xdr:row>15</xdr:row>
      <xdr:rowOff>12700</xdr:rowOff>
    </xdr:from>
    <xdr:to>
      <xdr:col>16</xdr:col>
      <xdr:colOff>4383545</xdr:colOff>
      <xdr:row>15</xdr:row>
      <xdr:rowOff>177800</xdr:rowOff>
    </xdr:to>
    <xdr:sp macro="" textlink="">
      <xdr:nvSpPr>
        <xdr:cNvPr id="164183" name="Скругленный прямоугольник 164182">
          <a:extLst>
            <a:ext uri="{FF2B5EF4-FFF2-40B4-BE49-F238E27FC236}">
              <a16:creationId xmlns:a16="http://schemas.microsoft.com/office/drawing/2014/main" id="{00000000-0008-0000-0100-000057810200}"/>
            </a:ext>
          </a:extLst>
        </xdr:cNvPr>
        <xdr:cNvSpPr/>
      </xdr:nvSpPr>
      <xdr:spPr>
        <a:xfrm>
          <a:off x="15620416" y="3098800"/>
          <a:ext cx="14313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3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3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3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1506</a:t>
          </a:r>
        </a:p>
      </xdr:txBody>
    </xdr:sp>
    <xdr:clientData/>
  </xdr:twoCellAnchor>
  <xdr:twoCellAnchor>
    <xdr:from>
      <xdr:col>16</xdr:col>
      <xdr:colOff>4418575</xdr:colOff>
      <xdr:row>15</xdr:row>
      <xdr:rowOff>12700</xdr:rowOff>
    </xdr:from>
    <xdr:to>
      <xdr:col>16</xdr:col>
      <xdr:colOff>5753222</xdr:colOff>
      <xdr:row>15</xdr:row>
      <xdr:rowOff>177800</xdr:rowOff>
    </xdr:to>
    <xdr:sp macro="" textlink="">
      <xdr:nvSpPr>
        <xdr:cNvPr id="164184" name="Скругленный прямоугольник 164183">
          <a:extLst>
            <a:ext uri="{FF2B5EF4-FFF2-40B4-BE49-F238E27FC236}">
              <a16:creationId xmlns:a16="http://schemas.microsoft.com/office/drawing/2014/main" id="{00000000-0008-0000-0100-000058810200}"/>
            </a:ext>
          </a:extLst>
        </xdr:cNvPr>
        <xdr:cNvSpPr/>
      </xdr:nvSpPr>
      <xdr:spPr>
        <a:xfrm>
          <a:off x="17086825" y="3098800"/>
          <a:ext cx="13346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0</xdr:colOff>
      <xdr:row>16</xdr:row>
      <xdr:rowOff>12700</xdr:rowOff>
    </xdr:from>
    <xdr:to>
      <xdr:col>16</xdr:col>
      <xdr:colOff>1750594</xdr:colOff>
      <xdr:row>16</xdr:row>
      <xdr:rowOff>177800</xdr:rowOff>
    </xdr:to>
    <xdr:sp macro="" textlink="">
      <xdr:nvSpPr>
        <xdr:cNvPr id="164256" name="Скругленный прямоугольник 164255">
          <a:extLst>
            <a:ext uri="{FF2B5EF4-FFF2-40B4-BE49-F238E27FC236}">
              <a16:creationId xmlns:a16="http://schemas.microsoft.com/office/drawing/2014/main" id="{00000000-0008-0000-0100-0000A0810200}"/>
            </a:ext>
          </a:extLst>
        </xdr:cNvPr>
        <xdr:cNvSpPr/>
      </xdr:nvSpPr>
      <xdr:spPr>
        <a:xfrm>
          <a:off x="12668250" y="3289300"/>
          <a:ext cx="175059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3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3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3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1836</a:t>
          </a:r>
        </a:p>
      </xdr:txBody>
    </xdr:sp>
    <xdr:clientData/>
  </xdr:twoCellAnchor>
  <xdr:twoCellAnchor>
    <xdr:from>
      <xdr:col>16</xdr:col>
      <xdr:colOff>1785624</xdr:colOff>
      <xdr:row>16</xdr:row>
      <xdr:rowOff>12700</xdr:rowOff>
    </xdr:from>
    <xdr:to>
      <xdr:col>16</xdr:col>
      <xdr:colOff>3120272</xdr:colOff>
      <xdr:row>16</xdr:row>
      <xdr:rowOff>177800</xdr:rowOff>
    </xdr:to>
    <xdr:sp macro="" textlink="">
      <xdr:nvSpPr>
        <xdr:cNvPr id="164257" name="Скругленный прямоугольник 164256">
          <a:extLst>
            <a:ext uri="{FF2B5EF4-FFF2-40B4-BE49-F238E27FC236}">
              <a16:creationId xmlns:a16="http://schemas.microsoft.com/office/drawing/2014/main" id="{00000000-0008-0000-0100-0000A1810200}"/>
            </a:ext>
          </a:extLst>
        </xdr:cNvPr>
        <xdr:cNvSpPr/>
      </xdr:nvSpPr>
      <xdr:spPr>
        <a:xfrm>
          <a:off x="14453874" y="3289300"/>
          <a:ext cx="133464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3155302</xdr:colOff>
      <xdr:row>16</xdr:row>
      <xdr:rowOff>12700</xdr:rowOff>
    </xdr:from>
    <xdr:to>
      <xdr:col>16</xdr:col>
      <xdr:colOff>4480275</xdr:colOff>
      <xdr:row>16</xdr:row>
      <xdr:rowOff>177800</xdr:rowOff>
    </xdr:to>
    <xdr:sp macro="" textlink="">
      <xdr:nvSpPr>
        <xdr:cNvPr id="164258" name="Скругленный прямоугольник 164257">
          <a:extLst>
            <a:ext uri="{FF2B5EF4-FFF2-40B4-BE49-F238E27FC236}">
              <a16:creationId xmlns:a16="http://schemas.microsoft.com/office/drawing/2014/main" id="{00000000-0008-0000-0100-0000A2810200}"/>
            </a:ext>
          </a:extLst>
        </xdr:cNvPr>
        <xdr:cNvSpPr/>
      </xdr:nvSpPr>
      <xdr:spPr>
        <a:xfrm>
          <a:off x="15823552" y="3289300"/>
          <a:ext cx="132497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1396</a:t>
          </a:r>
        </a:p>
      </xdr:txBody>
    </xdr:sp>
    <xdr:clientData/>
  </xdr:twoCellAnchor>
  <xdr:twoCellAnchor>
    <xdr:from>
      <xdr:col>16</xdr:col>
      <xdr:colOff>4515307</xdr:colOff>
      <xdr:row>16</xdr:row>
      <xdr:rowOff>12700</xdr:rowOff>
    </xdr:from>
    <xdr:to>
      <xdr:col>16</xdr:col>
      <xdr:colOff>5753222</xdr:colOff>
      <xdr:row>16</xdr:row>
      <xdr:rowOff>177800</xdr:rowOff>
    </xdr:to>
    <xdr:sp macro="" textlink="">
      <xdr:nvSpPr>
        <xdr:cNvPr id="164259" name="Скругленный прямоугольник 164258">
          <a:extLst>
            <a:ext uri="{FF2B5EF4-FFF2-40B4-BE49-F238E27FC236}">
              <a16:creationId xmlns:a16="http://schemas.microsoft.com/office/drawing/2014/main" id="{00000000-0008-0000-0100-0000A3810200}"/>
            </a:ext>
          </a:extLst>
        </xdr:cNvPr>
        <xdr:cNvSpPr/>
      </xdr:nvSpPr>
      <xdr:spPr>
        <a:xfrm>
          <a:off x="17183557" y="32893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0</xdr:colOff>
      <xdr:row>17</xdr:row>
      <xdr:rowOff>12700</xdr:rowOff>
    </xdr:from>
    <xdr:to>
      <xdr:col>16</xdr:col>
      <xdr:colOff>1818306</xdr:colOff>
      <xdr:row>17</xdr:row>
      <xdr:rowOff>177800</xdr:rowOff>
    </xdr:to>
    <xdr:sp macro="" textlink="">
      <xdr:nvSpPr>
        <xdr:cNvPr id="164260" name="Скругленный прямоугольник 164259">
          <a:extLst>
            <a:ext uri="{FF2B5EF4-FFF2-40B4-BE49-F238E27FC236}">
              <a16:creationId xmlns:a16="http://schemas.microsoft.com/office/drawing/2014/main" id="{00000000-0008-0000-0100-0000A4810200}"/>
            </a:ext>
          </a:extLst>
        </xdr:cNvPr>
        <xdr:cNvSpPr/>
      </xdr:nvSpPr>
      <xdr:spPr>
        <a:xfrm>
          <a:off x="12668250" y="3479800"/>
          <a:ext cx="181830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A4" mc:Ignorable="a14" a14:legacySpreadsheetColorIndex="3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D8" mc:Ignorable="a14" a14:legacySpreadsheetColorIndex="3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53" mc:Ignorable="a14" a14:legacySpreadsheetColorIndex="3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1906</a:t>
          </a:r>
        </a:p>
      </xdr:txBody>
    </xdr:sp>
    <xdr:clientData/>
  </xdr:twoCellAnchor>
  <xdr:twoCellAnchor>
    <xdr:from>
      <xdr:col>16</xdr:col>
      <xdr:colOff>1853336</xdr:colOff>
      <xdr:row>17</xdr:row>
      <xdr:rowOff>12700</xdr:rowOff>
    </xdr:from>
    <xdr:to>
      <xdr:col>16</xdr:col>
      <xdr:colOff>3187984</xdr:colOff>
      <xdr:row>17</xdr:row>
      <xdr:rowOff>177800</xdr:rowOff>
    </xdr:to>
    <xdr:sp macro="" textlink="">
      <xdr:nvSpPr>
        <xdr:cNvPr id="164261" name="Скругленный прямоугольник 164260">
          <a:extLst>
            <a:ext uri="{FF2B5EF4-FFF2-40B4-BE49-F238E27FC236}">
              <a16:creationId xmlns:a16="http://schemas.microsoft.com/office/drawing/2014/main" id="{00000000-0008-0000-0100-0000A5810200}"/>
            </a:ext>
          </a:extLst>
        </xdr:cNvPr>
        <xdr:cNvSpPr/>
      </xdr:nvSpPr>
      <xdr:spPr>
        <a:xfrm>
          <a:off x="14521586" y="3479800"/>
          <a:ext cx="133464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3223014</xdr:colOff>
      <xdr:row>17</xdr:row>
      <xdr:rowOff>12700</xdr:rowOff>
    </xdr:from>
    <xdr:to>
      <xdr:col>16</xdr:col>
      <xdr:colOff>4470603</xdr:colOff>
      <xdr:row>17</xdr:row>
      <xdr:rowOff>177800</xdr:rowOff>
    </xdr:to>
    <xdr:sp macro="" textlink="">
      <xdr:nvSpPr>
        <xdr:cNvPr id="164262" name="Скругленный прямоугольник 164261">
          <a:extLst>
            <a:ext uri="{FF2B5EF4-FFF2-40B4-BE49-F238E27FC236}">
              <a16:creationId xmlns:a16="http://schemas.microsoft.com/office/drawing/2014/main" id="{00000000-0008-0000-0100-0000A6810200}"/>
            </a:ext>
          </a:extLst>
        </xdr:cNvPr>
        <xdr:cNvSpPr/>
      </xdr:nvSpPr>
      <xdr:spPr>
        <a:xfrm>
          <a:off x="15891264" y="3479800"/>
          <a:ext cx="12475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B4FF" mc:Ignorable="a14" a14:legacySpreadsheetColorIndex="2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DEFF" mc:Ignorable="a14" a14:legacySpreadsheetColorIndex="2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64AA" mc:Ignorable="a14" a14:legacySpreadsheetColorIndex="2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1316</a:t>
          </a:r>
        </a:p>
      </xdr:txBody>
    </xdr:sp>
    <xdr:clientData/>
  </xdr:twoCellAnchor>
  <xdr:twoCellAnchor>
    <xdr:from>
      <xdr:col>16</xdr:col>
      <xdr:colOff>4505634</xdr:colOff>
      <xdr:row>17</xdr:row>
      <xdr:rowOff>12700</xdr:rowOff>
    </xdr:from>
    <xdr:to>
      <xdr:col>16</xdr:col>
      <xdr:colOff>5753222</xdr:colOff>
      <xdr:row>17</xdr:row>
      <xdr:rowOff>177800</xdr:rowOff>
    </xdr:to>
    <xdr:sp macro="" textlink="">
      <xdr:nvSpPr>
        <xdr:cNvPr id="164263" name="Скругленный прямоугольник 164262">
          <a:extLst>
            <a:ext uri="{FF2B5EF4-FFF2-40B4-BE49-F238E27FC236}">
              <a16:creationId xmlns:a16="http://schemas.microsoft.com/office/drawing/2014/main" id="{00000000-0008-0000-0100-0000A7810200}"/>
            </a:ext>
          </a:extLst>
        </xdr:cNvPr>
        <xdr:cNvSpPr/>
      </xdr:nvSpPr>
      <xdr:spPr>
        <a:xfrm>
          <a:off x="17173884" y="3479800"/>
          <a:ext cx="124758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B4FF" mc:Ignorable="a14" a14:legacySpreadsheetColorIndex="2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DEFF" mc:Ignorable="a14" a14:legacySpreadsheetColorIndex="2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64AA" mc:Ignorable="a14" a14:legacySpreadsheetColorIndex="2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1316</a:t>
          </a:r>
        </a:p>
      </xdr:txBody>
    </xdr:sp>
    <xdr:clientData/>
  </xdr:twoCellAnchor>
  <xdr:twoCellAnchor>
    <xdr:from>
      <xdr:col>16</xdr:col>
      <xdr:colOff>0</xdr:colOff>
      <xdr:row>18</xdr:row>
      <xdr:rowOff>12700</xdr:rowOff>
    </xdr:from>
    <xdr:to>
      <xdr:col>16</xdr:col>
      <xdr:colOff>1818306</xdr:colOff>
      <xdr:row>18</xdr:row>
      <xdr:rowOff>177800</xdr:rowOff>
    </xdr:to>
    <xdr:sp macro="" textlink="">
      <xdr:nvSpPr>
        <xdr:cNvPr id="164264" name="Скругленный прямоугольник 164263">
          <a:extLst>
            <a:ext uri="{FF2B5EF4-FFF2-40B4-BE49-F238E27FC236}">
              <a16:creationId xmlns:a16="http://schemas.microsoft.com/office/drawing/2014/main" id="{00000000-0008-0000-0100-0000A8810200}"/>
            </a:ext>
          </a:extLst>
        </xdr:cNvPr>
        <xdr:cNvSpPr/>
      </xdr:nvSpPr>
      <xdr:spPr>
        <a:xfrm>
          <a:off x="12668250" y="3670300"/>
          <a:ext cx="181830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A4" mc:Ignorable="a14" a14:legacySpreadsheetColorIndex="3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D8" mc:Ignorable="a14" a14:legacySpreadsheetColorIndex="3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53" mc:Ignorable="a14" a14:legacySpreadsheetColorIndex="3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1906</a:t>
          </a:r>
        </a:p>
      </xdr:txBody>
    </xdr:sp>
    <xdr:clientData/>
  </xdr:twoCellAnchor>
  <xdr:twoCellAnchor>
    <xdr:from>
      <xdr:col>16</xdr:col>
      <xdr:colOff>1853336</xdr:colOff>
      <xdr:row>18</xdr:row>
      <xdr:rowOff>12700</xdr:rowOff>
    </xdr:from>
    <xdr:to>
      <xdr:col>16</xdr:col>
      <xdr:colOff>3187984</xdr:colOff>
      <xdr:row>18</xdr:row>
      <xdr:rowOff>177800</xdr:rowOff>
    </xdr:to>
    <xdr:sp macro="" textlink="">
      <xdr:nvSpPr>
        <xdr:cNvPr id="164265" name="Скругленный прямоугольник 164264">
          <a:extLst>
            <a:ext uri="{FF2B5EF4-FFF2-40B4-BE49-F238E27FC236}">
              <a16:creationId xmlns:a16="http://schemas.microsoft.com/office/drawing/2014/main" id="{00000000-0008-0000-0100-0000A9810200}"/>
            </a:ext>
          </a:extLst>
        </xdr:cNvPr>
        <xdr:cNvSpPr/>
      </xdr:nvSpPr>
      <xdr:spPr>
        <a:xfrm>
          <a:off x="14521586" y="3670300"/>
          <a:ext cx="133464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3223014</xdr:colOff>
      <xdr:row>18</xdr:row>
      <xdr:rowOff>12700</xdr:rowOff>
    </xdr:from>
    <xdr:to>
      <xdr:col>16</xdr:col>
      <xdr:colOff>4480275</xdr:colOff>
      <xdr:row>18</xdr:row>
      <xdr:rowOff>177800</xdr:rowOff>
    </xdr:to>
    <xdr:sp macro="" textlink="">
      <xdr:nvSpPr>
        <xdr:cNvPr id="164266" name="Скругленный прямоугольник 164265">
          <a:extLst>
            <a:ext uri="{FF2B5EF4-FFF2-40B4-BE49-F238E27FC236}">
              <a16:creationId xmlns:a16="http://schemas.microsoft.com/office/drawing/2014/main" id="{00000000-0008-0000-0100-0000AA810200}"/>
            </a:ext>
          </a:extLst>
        </xdr:cNvPr>
        <xdr:cNvSpPr/>
      </xdr:nvSpPr>
      <xdr:spPr>
        <a:xfrm>
          <a:off x="15891264" y="3670300"/>
          <a:ext cx="12572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4515307</xdr:colOff>
      <xdr:row>18</xdr:row>
      <xdr:rowOff>12700</xdr:rowOff>
    </xdr:from>
    <xdr:to>
      <xdr:col>16</xdr:col>
      <xdr:colOff>5753222</xdr:colOff>
      <xdr:row>18</xdr:row>
      <xdr:rowOff>177800</xdr:rowOff>
    </xdr:to>
    <xdr:sp macro="" textlink="">
      <xdr:nvSpPr>
        <xdr:cNvPr id="164267" name="Скругленный прямоугольник 164266">
          <a:extLst>
            <a:ext uri="{FF2B5EF4-FFF2-40B4-BE49-F238E27FC236}">
              <a16:creationId xmlns:a16="http://schemas.microsoft.com/office/drawing/2014/main" id="{00000000-0008-0000-0100-0000AB810200}"/>
            </a:ext>
          </a:extLst>
        </xdr:cNvPr>
        <xdr:cNvSpPr/>
      </xdr:nvSpPr>
      <xdr:spPr>
        <a:xfrm>
          <a:off x="17183557" y="36703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0</xdr:colOff>
      <xdr:row>19</xdr:row>
      <xdr:rowOff>12700</xdr:rowOff>
    </xdr:from>
    <xdr:to>
      <xdr:col>16</xdr:col>
      <xdr:colOff>1973076</xdr:colOff>
      <xdr:row>19</xdr:row>
      <xdr:rowOff>177800</xdr:rowOff>
    </xdr:to>
    <xdr:sp macro="" textlink="">
      <xdr:nvSpPr>
        <xdr:cNvPr id="164268" name="Скругленный прямоугольник 164267">
          <a:extLst>
            <a:ext uri="{FF2B5EF4-FFF2-40B4-BE49-F238E27FC236}">
              <a16:creationId xmlns:a16="http://schemas.microsoft.com/office/drawing/2014/main" id="{00000000-0008-0000-0100-0000AC810200}"/>
            </a:ext>
          </a:extLst>
        </xdr:cNvPr>
        <xdr:cNvSpPr/>
      </xdr:nvSpPr>
      <xdr:spPr>
        <a:xfrm>
          <a:off x="12668250" y="3860800"/>
          <a:ext cx="197307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3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3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3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2066</a:t>
          </a:r>
        </a:p>
      </xdr:txBody>
    </xdr:sp>
    <xdr:clientData/>
  </xdr:twoCellAnchor>
  <xdr:twoCellAnchor>
    <xdr:from>
      <xdr:col>16</xdr:col>
      <xdr:colOff>2008107</xdr:colOff>
      <xdr:row>19</xdr:row>
      <xdr:rowOff>12700</xdr:rowOff>
    </xdr:from>
    <xdr:to>
      <xdr:col>16</xdr:col>
      <xdr:colOff>3342754</xdr:colOff>
      <xdr:row>19</xdr:row>
      <xdr:rowOff>177800</xdr:rowOff>
    </xdr:to>
    <xdr:sp macro="" textlink="">
      <xdr:nvSpPr>
        <xdr:cNvPr id="164269" name="Скругленный прямоугольник 164268">
          <a:extLst>
            <a:ext uri="{FF2B5EF4-FFF2-40B4-BE49-F238E27FC236}">
              <a16:creationId xmlns:a16="http://schemas.microsoft.com/office/drawing/2014/main" id="{00000000-0008-0000-0100-0000AD810200}"/>
            </a:ext>
          </a:extLst>
        </xdr:cNvPr>
        <xdr:cNvSpPr/>
      </xdr:nvSpPr>
      <xdr:spPr>
        <a:xfrm>
          <a:off x="14676357" y="3860800"/>
          <a:ext cx="13346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3377785</xdr:colOff>
      <xdr:row>19</xdr:row>
      <xdr:rowOff>12700</xdr:rowOff>
    </xdr:from>
    <xdr:to>
      <xdr:col>16</xdr:col>
      <xdr:colOff>4712432</xdr:colOff>
      <xdr:row>19</xdr:row>
      <xdr:rowOff>177800</xdr:rowOff>
    </xdr:to>
    <xdr:sp macro="" textlink="">
      <xdr:nvSpPr>
        <xdr:cNvPr id="164270" name="Скругленный прямоугольник 164269">
          <a:extLst>
            <a:ext uri="{FF2B5EF4-FFF2-40B4-BE49-F238E27FC236}">
              <a16:creationId xmlns:a16="http://schemas.microsoft.com/office/drawing/2014/main" id="{00000000-0008-0000-0100-0000AE810200}"/>
            </a:ext>
          </a:extLst>
        </xdr:cNvPr>
        <xdr:cNvSpPr/>
      </xdr:nvSpPr>
      <xdr:spPr>
        <a:xfrm>
          <a:off x="16046035" y="3860800"/>
          <a:ext cx="13346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4747464</xdr:colOff>
      <xdr:row>19</xdr:row>
      <xdr:rowOff>12700</xdr:rowOff>
    </xdr:from>
    <xdr:to>
      <xdr:col>16</xdr:col>
      <xdr:colOff>5753224</xdr:colOff>
      <xdr:row>19</xdr:row>
      <xdr:rowOff>177800</xdr:rowOff>
    </xdr:to>
    <xdr:sp macro="" textlink="">
      <xdr:nvSpPr>
        <xdr:cNvPr id="164271" name="Скругленный прямоугольник 164270">
          <a:extLst>
            <a:ext uri="{FF2B5EF4-FFF2-40B4-BE49-F238E27FC236}">
              <a16:creationId xmlns:a16="http://schemas.microsoft.com/office/drawing/2014/main" id="{00000000-0008-0000-0100-0000AF810200}"/>
            </a:ext>
          </a:extLst>
        </xdr:cNvPr>
        <xdr:cNvSpPr/>
      </xdr:nvSpPr>
      <xdr:spPr>
        <a:xfrm>
          <a:off x="17415714" y="3860800"/>
          <a:ext cx="100576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1066</a:t>
          </a:r>
        </a:p>
      </xdr:txBody>
    </xdr:sp>
    <xdr:clientData/>
  </xdr:twoCellAnchor>
  <xdr:twoCellAnchor>
    <xdr:from>
      <xdr:col>16</xdr:col>
      <xdr:colOff>0</xdr:colOff>
      <xdr:row>20</xdr:row>
      <xdr:rowOff>12700</xdr:rowOff>
    </xdr:from>
    <xdr:to>
      <xdr:col>16</xdr:col>
      <xdr:colOff>1973076</xdr:colOff>
      <xdr:row>20</xdr:row>
      <xdr:rowOff>177800</xdr:rowOff>
    </xdr:to>
    <xdr:sp macro="" textlink="">
      <xdr:nvSpPr>
        <xdr:cNvPr id="164272" name="Скругленный прямоугольник 164271">
          <a:extLst>
            <a:ext uri="{FF2B5EF4-FFF2-40B4-BE49-F238E27FC236}">
              <a16:creationId xmlns:a16="http://schemas.microsoft.com/office/drawing/2014/main" id="{00000000-0008-0000-0100-0000B0810200}"/>
            </a:ext>
          </a:extLst>
        </xdr:cNvPr>
        <xdr:cNvSpPr/>
      </xdr:nvSpPr>
      <xdr:spPr>
        <a:xfrm>
          <a:off x="12668250" y="4051300"/>
          <a:ext cx="197307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3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3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3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2066</a:t>
          </a:r>
        </a:p>
      </xdr:txBody>
    </xdr:sp>
    <xdr:clientData/>
  </xdr:twoCellAnchor>
  <xdr:twoCellAnchor>
    <xdr:from>
      <xdr:col>16</xdr:col>
      <xdr:colOff>2008107</xdr:colOff>
      <xdr:row>20</xdr:row>
      <xdr:rowOff>12700</xdr:rowOff>
    </xdr:from>
    <xdr:to>
      <xdr:col>16</xdr:col>
      <xdr:colOff>3758701</xdr:colOff>
      <xdr:row>20</xdr:row>
      <xdr:rowOff>177800</xdr:rowOff>
    </xdr:to>
    <xdr:sp macro="" textlink="">
      <xdr:nvSpPr>
        <xdr:cNvPr id="164273" name="Скругленный прямоугольник 164272">
          <a:extLst>
            <a:ext uri="{FF2B5EF4-FFF2-40B4-BE49-F238E27FC236}">
              <a16:creationId xmlns:a16="http://schemas.microsoft.com/office/drawing/2014/main" id="{00000000-0008-0000-0100-0000B1810200}"/>
            </a:ext>
          </a:extLst>
        </xdr:cNvPr>
        <xdr:cNvSpPr/>
      </xdr:nvSpPr>
      <xdr:spPr>
        <a:xfrm>
          <a:off x="14676357" y="4051300"/>
          <a:ext cx="175059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3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3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3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1836</a:t>
          </a:r>
        </a:p>
      </xdr:txBody>
    </xdr:sp>
    <xdr:clientData/>
  </xdr:twoCellAnchor>
  <xdr:twoCellAnchor>
    <xdr:from>
      <xdr:col>16</xdr:col>
      <xdr:colOff>3793731</xdr:colOff>
      <xdr:row>20</xdr:row>
      <xdr:rowOff>12700</xdr:rowOff>
    </xdr:from>
    <xdr:to>
      <xdr:col>16</xdr:col>
      <xdr:colOff>5060666</xdr:colOff>
      <xdr:row>20</xdr:row>
      <xdr:rowOff>177800</xdr:rowOff>
    </xdr:to>
    <xdr:sp macro="" textlink="">
      <xdr:nvSpPr>
        <xdr:cNvPr id="164274" name="Скругленный прямоугольник 164273">
          <a:extLst>
            <a:ext uri="{FF2B5EF4-FFF2-40B4-BE49-F238E27FC236}">
              <a16:creationId xmlns:a16="http://schemas.microsoft.com/office/drawing/2014/main" id="{00000000-0008-0000-0100-0000B2810200}"/>
            </a:ext>
          </a:extLst>
        </xdr:cNvPr>
        <xdr:cNvSpPr/>
      </xdr:nvSpPr>
      <xdr:spPr>
        <a:xfrm>
          <a:off x="16461981" y="40513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5095697</xdr:colOff>
      <xdr:row>20</xdr:row>
      <xdr:rowOff>12700</xdr:rowOff>
    </xdr:from>
    <xdr:to>
      <xdr:col>16</xdr:col>
      <xdr:colOff>5753222</xdr:colOff>
      <xdr:row>20</xdr:row>
      <xdr:rowOff>177800</xdr:rowOff>
    </xdr:to>
    <xdr:sp macro="" textlink="">
      <xdr:nvSpPr>
        <xdr:cNvPr id="164275" name="Скругленный прямоугольник 164274">
          <a:extLst>
            <a:ext uri="{FF2B5EF4-FFF2-40B4-BE49-F238E27FC236}">
              <a16:creationId xmlns:a16="http://schemas.microsoft.com/office/drawing/2014/main" id="{00000000-0008-0000-0100-0000B3810200}"/>
            </a:ext>
          </a:extLst>
        </xdr:cNvPr>
        <xdr:cNvSpPr/>
      </xdr:nvSpPr>
      <xdr:spPr>
        <a:xfrm>
          <a:off x="17763947" y="4051300"/>
          <a:ext cx="6575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706</a:t>
          </a:r>
        </a:p>
      </xdr:txBody>
    </xdr:sp>
    <xdr:clientData/>
  </xdr:twoCellAnchor>
  <xdr:twoCellAnchor>
    <xdr:from>
      <xdr:col>16</xdr:col>
      <xdr:colOff>0</xdr:colOff>
      <xdr:row>21</xdr:row>
      <xdr:rowOff>12700</xdr:rowOff>
    </xdr:from>
    <xdr:to>
      <xdr:col>16</xdr:col>
      <xdr:colOff>1992423</xdr:colOff>
      <xdr:row>21</xdr:row>
      <xdr:rowOff>177800</xdr:rowOff>
    </xdr:to>
    <xdr:sp macro="" textlink="">
      <xdr:nvSpPr>
        <xdr:cNvPr id="164276" name="Скругленный прямоугольник 164275">
          <a:extLst>
            <a:ext uri="{FF2B5EF4-FFF2-40B4-BE49-F238E27FC236}">
              <a16:creationId xmlns:a16="http://schemas.microsoft.com/office/drawing/2014/main" id="{00000000-0008-0000-0100-0000B4810200}"/>
            </a:ext>
          </a:extLst>
        </xdr:cNvPr>
        <xdr:cNvSpPr/>
      </xdr:nvSpPr>
      <xdr:spPr>
        <a:xfrm>
          <a:off x="12668250" y="4241800"/>
          <a:ext cx="199242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A4" mc:Ignorable="a14" a14:legacySpreadsheetColorIndex="3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D8" mc:Ignorable="a14" a14:legacySpreadsheetColorIndex="3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53" mc:Ignorable="a14" a14:legacySpreadsheetColorIndex="3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2086</a:t>
          </a:r>
        </a:p>
      </xdr:txBody>
    </xdr:sp>
    <xdr:clientData/>
  </xdr:twoCellAnchor>
  <xdr:twoCellAnchor>
    <xdr:from>
      <xdr:col>16</xdr:col>
      <xdr:colOff>2027453</xdr:colOff>
      <xdr:row>21</xdr:row>
      <xdr:rowOff>12700</xdr:rowOff>
    </xdr:from>
    <xdr:to>
      <xdr:col>16</xdr:col>
      <xdr:colOff>3391120</xdr:colOff>
      <xdr:row>21</xdr:row>
      <xdr:rowOff>177800</xdr:rowOff>
    </xdr:to>
    <xdr:sp macro="" textlink="">
      <xdr:nvSpPr>
        <xdr:cNvPr id="164277" name="Скругленный прямоугольник 164276">
          <a:extLst>
            <a:ext uri="{FF2B5EF4-FFF2-40B4-BE49-F238E27FC236}">
              <a16:creationId xmlns:a16="http://schemas.microsoft.com/office/drawing/2014/main" id="{00000000-0008-0000-0100-0000B5810200}"/>
            </a:ext>
          </a:extLst>
        </xdr:cNvPr>
        <xdr:cNvSpPr/>
      </xdr:nvSpPr>
      <xdr:spPr>
        <a:xfrm>
          <a:off x="14695703" y="4241800"/>
          <a:ext cx="136366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3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3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3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1436</a:t>
          </a:r>
        </a:p>
      </xdr:txBody>
    </xdr:sp>
    <xdr:clientData/>
  </xdr:twoCellAnchor>
  <xdr:twoCellAnchor>
    <xdr:from>
      <xdr:col>16</xdr:col>
      <xdr:colOff>3426151</xdr:colOff>
      <xdr:row>21</xdr:row>
      <xdr:rowOff>12700</xdr:rowOff>
    </xdr:from>
    <xdr:to>
      <xdr:col>16</xdr:col>
      <xdr:colOff>4615700</xdr:colOff>
      <xdr:row>21</xdr:row>
      <xdr:rowOff>177800</xdr:rowOff>
    </xdr:to>
    <xdr:sp macro="" textlink="">
      <xdr:nvSpPr>
        <xdr:cNvPr id="164278" name="Скругленный прямоугольник 164277">
          <a:extLst>
            <a:ext uri="{FF2B5EF4-FFF2-40B4-BE49-F238E27FC236}">
              <a16:creationId xmlns:a16="http://schemas.microsoft.com/office/drawing/2014/main" id="{00000000-0008-0000-0100-0000B6810200}"/>
            </a:ext>
          </a:extLst>
        </xdr:cNvPr>
        <xdr:cNvSpPr/>
      </xdr:nvSpPr>
      <xdr:spPr>
        <a:xfrm>
          <a:off x="16094401" y="4241800"/>
          <a:ext cx="118954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A4" mc:Ignorable="a14" a14:legacySpreadsheetColorIndex="2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D8" mc:Ignorable="a14" a14:legacySpreadsheetColorIndex="2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53" mc:Ignorable="a14" a14:legacySpreadsheetColorIndex="2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1256</a:t>
          </a:r>
        </a:p>
      </xdr:txBody>
    </xdr:sp>
    <xdr:clientData/>
  </xdr:twoCellAnchor>
  <xdr:twoCellAnchor>
    <xdr:from>
      <xdr:col>16</xdr:col>
      <xdr:colOff>4650732</xdr:colOff>
      <xdr:row>21</xdr:row>
      <xdr:rowOff>12700</xdr:rowOff>
    </xdr:from>
    <xdr:to>
      <xdr:col>16</xdr:col>
      <xdr:colOff>5753222</xdr:colOff>
      <xdr:row>21</xdr:row>
      <xdr:rowOff>177800</xdr:rowOff>
    </xdr:to>
    <xdr:sp macro="" textlink="">
      <xdr:nvSpPr>
        <xdr:cNvPr id="164279" name="Скругленный прямоугольник 164278">
          <a:extLst>
            <a:ext uri="{FF2B5EF4-FFF2-40B4-BE49-F238E27FC236}">
              <a16:creationId xmlns:a16="http://schemas.microsoft.com/office/drawing/2014/main" id="{00000000-0008-0000-0100-0000B7810200}"/>
            </a:ext>
          </a:extLst>
        </xdr:cNvPr>
        <xdr:cNvSpPr/>
      </xdr:nvSpPr>
      <xdr:spPr>
        <a:xfrm>
          <a:off x="17318982" y="4241800"/>
          <a:ext cx="110249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7C" mc:Ignorable="a14" a14:legacySpreadsheetColorIndex="1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CB" mc:Ignorable="a14" a14:legacySpreadsheetColorIndex="1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00" mc:Ignorable="a14" a14:legacySpreadsheetColorIndex="1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0</xdr:colOff>
      <xdr:row>22</xdr:row>
      <xdr:rowOff>12700</xdr:rowOff>
    </xdr:from>
    <xdr:to>
      <xdr:col>16</xdr:col>
      <xdr:colOff>2011769</xdr:colOff>
      <xdr:row>22</xdr:row>
      <xdr:rowOff>177800</xdr:rowOff>
    </xdr:to>
    <xdr:sp macro="" textlink="">
      <xdr:nvSpPr>
        <xdr:cNvPr id="164280" name="Скругленный прямоугольник 164279">
          <a:extLst>
            <a:ext uri="{FF2B5EF4-FFF2-40B4-BE49-F238E27FC236}">
              <a16:creationId xmlns:a16="http://schemas.microsoft.com/office/drawing/2014/main" id="{00000000-0008-0000-0100-0000B8810200}"/>
            </a:ext>
          </a:extLst>
        </xdr:cNvPr>
        <xdr:cNvSpPr/>
      </xdr:nvSpPr>
      <xdr:spPr>
        <a:xfrm>
          <a:off x="12668250" y="4432300"/>
          <a:ext cx="201176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3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3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3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2106</a:t>
          </a:r>
        </a:p>
      </xdr:txBody>
    </xdr:sp>
    <xdr:clientData/>
  </xdr:twoCellAnchor>
  <xdr:twoCellAnchor>
    <xdr:from>
      <xdr:col>16</xdr:col>
      <xdr:colOff>2046799</xdr:colOff>
      <xdr:row>22</xdr:row>
      <xdr:rowOff>12700</xdr:rowOff>
    </xdr:from>
    <xdr:to>
      <xdr:col>16</xdr:col>
      <xdr:colOff>3371772</xdr:colOff>
      <xdr:row>22</xdr:row>
      <xdr:rowOff>177800</xdr:rowOff>
    </xdr:to>
    <xdr:sp macro="" textlink="">
      <xdr:nvSpPr>
        <xdr:cNvPr id="164281" name="Скругленный прямоугольник 164280">
          <a:extLst>
            <a:ext uri="{FF2B5EF4-FFF2-40B4-BE49-F238E27FC236}">
              <a16:creationId xmlns:a16="http://schemas.microsoft.com/office/drawing/2014/main" id="{00000000-0008-0000-0100-0000B9810200}"/>
            </a:ext>
          </a:extLst>
        </xdr:cNvPr>
        <xdr:cNvSpPr/>
      </xdr:nvSpPr>
      <xdr:spPr>
        <a:xfrm>
          <a:off x="14715049" y="4432300"/>
          <a:ext cx="132497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1396</a:t>
          </a:r>
        </a:p>
      </xdr:txBody>
    </xdr:sp>
    <xdr:clientData/>
  </xdr:twoCellAnchor>
  <xdr:twoCellAnchor>
    <xdr:from>
      <xdr:col>16</xdr:col>
      <xdr:colOff>3406804</xdr:colOff>
      <xdr:row>22</xdr:row>
      <xdr:rowOff>12700</xdr:rowOff>
    </xdr:from>
    <xdr:to>
      <xdr:col>16</xdr:col>
      <xdr:colOff>4644720</xdr:colOff>
      <xdr:row>22</xdr:row>
      <xdr:rowOff>177800</xdr:rowOff>
    </xdr:to>
    <xdr:sp macro="" textlink="">
      <xdr:nvSpPr>
        <xdr:cNvPr id="164282" name="Скругленный прямоугольник 164281">
          <a:extLst>
            <a:ext uri="{FF2B5EF4-FFF2-40B4-BE49-F238E27FC236}">
              <a16:creationId xmlns:a16="http://schemas.microsoft.com/office/drawing/2014/main" id="{00000000-0008-0000-0100-0000BA810200}"/>
            </a:ext>
          </a:extLst>
        </xdr:cNvPr>
        <xdr:cNvSpPr/>
      </xdr:nvSpPr>
      <xdr:spPr>
        <a:xfrm>
          <a:off x="16075054" y="4432300"/>
          <a:ext cx="123791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4679752</xdr:colOff>
      <xdr:row>22</xdr:row>
      <xdr:rowOff>12700</xdr:rowOff>
    </xdr:from>
    <xdr:to>
      <xdr:col>16</xdr:col>
      <xdr:colOff>5753224</xdr:colOff>
      <xdr:row>22</xdr:row>
      <xdr:rowOff>177800</xdr:rowOff>
    </xdr:to>
    <xdr:sp macro="" textlink="">
      <xdr:nvSpPr>
        <xdr:cNvPr id="164283" name="Скругленный прямоугольник 164282">
          <a:extLst>
            <a:ext uri="{FF2B5EF4-FFF2-40B4-BE49-F238E27FC236}">
              <a16:creationId xmlns:a16="http://schemas.microsoft.com/office/drawing/2014/main" id="{00000000-0008-0000-0100-0000BB810200}"/>
            </a:ext>
          </a:extLst>
        </xdr:cNvPr>
        <xdr:cNvSpPr/>
      </xdr:nvSpPr>
      <xdr:spPr>
        <a:xfrm>
          <a:off x="17348002" y="4432300"/>
          <a:ext cx="107347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1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1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1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1136</a:t>
          </a:r>
        </a:p>
      </xdr:txBody>
    </xdr:sp>
    <xdr:clientData/>
  </xdr:twoCellAnchor>
  <xdr:twoCellAnchor>
    <xdr:from>
      <xdr:col>16</xdr:col>
      <xdr:colOff>0</xdr:colOff>
      <xdr:row>23</xdr:row>
      <xdr:rowOff>12700</xdr:rowOff>
    </xdr:from>
    <xdr:to>
      <xdr:col>16</xdr:col>
      <xdr:colOff>2011769</xdr:colOff>
      <xdr:row>23</xdr:row>
      <xdr:rowOff>177800</xdr:rowOff>
    </xdr:to>
    <xdr:sp macro="" textlink="">
      <xdr:nvSpPr>
        <xdr:cNvPr id="164284" name="Скругленный прямоугольник 164283">
          <a:extLst>
            <a:ext uri="{FF2B5EF4-FFF2-40B4-BE49-F238E27FC236}">
              <a16:creationId xmlns:a16="http://schemas.microsoft.com/office/drawing/2014/main" id="{00000000-0008-0000-0100-0000BC810200}"/>
            </a:ext>
          </a:extLst>
        </xdr:cNvPr>
        <xdr:cNvSpPr/>
      </xdr:nvSpPr>
      <xdr:spPr>
        <a:xfrm>
          <a:off x="12668250" y="4622800"/>
          <a:ext cx="201176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3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3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3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2106</a:t>
          </a:r>
        </a:p>
      </xdr:txBody>
    </xdr:sp>
    <xdr:clientData/>
  </xdr:twoCellAnchor>
  <xdr:twoCellAnchor>
    <xdr:from>
      <xdr:col>16</xdr:col>
      <xdr:colOff>2046799</xdr:colOff>
      <xdr:row>23</xdr:row>
      <xdr:rowOff>12700</xdr:rowOff>
    </xdr:from>
    <xdr:to>
      <xdr:col>16</xdr:col>
      <xdr:colOff>3371772</xdr:colOff>
      <xdr:row>23</xdr:row>
      <xdr:rowOff>177800</xdr:rowOff>
    </xdr:to>
    <xdr:sp macro="" textlink="">
      <xdr:nvSpPr>
        <xdr:cNvPr id="164285" name="Скругленный прямоугольник 164284">
          <a:extLst>
            <a:ext uri="{FF2B5EF4-FFF2-40B4-BE49-F238E27FC236}">
              <a16:creationId xmlns:a16="http://schemas.microsoft.com/office/drawing/2014/main" id="{00000000-0008-0000-0100-0000BD810200}"/>
            </a:ext>
          </a:extLst>
        </xdr:cNvPr>
        <xdr:cNvSpPr/>
      </xdr:nvSpPr>
      <xdr:spPr>
        <a:xfrm>
          <a:off x="14715049" y="4622800"/>
          <a:ext cx="132497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1396</a:t>
          </a:r>
        </a:p>
      </xdr:txBody>
    </xdr:sp>
    <xdr:clientData/>
  </xdr:twoCellAnchor>
  <xdr:twoCellAnchor>
    <xdr:from>
      <xdr:col>16</xdr:col>
      <xdr:colOff>3406804</xdr:colOff>
      <xdr:row>23</xdr:row>
      <xdr:rowOff>12700</xdr:rowOff>
    </xdr:from>
    <xdr:to>
      <xdr:col>16</xdr:col>
      <xdr:colOff>4712432</xdr:colOff>
      <xdr:row>23</xdr:row>
      <xdr:rowOff>177800</xdr:rowOff>
    </xdr:to>
    <xdr:sp macro="" textlink="">
      <xdr:nvSpPr>
        <xdr:cNvPr id="164286" name="Скругленный прямоугольник 164285">
          <a:extLst>
            <a:ext uri="{FF2B5EF4-FFF2-40B4-BE49-F238E27FC236}">
              <a16:creationId xmlns:a16="http://schemas.microsoft.com/office/drawing/2014/main" id="{00000000-0008-0000-0100-0000BE810200}"/>
            </a:ext>
          </a:extLst>
        </xdr:cNvPr>
        <xdr:cNvSpPr/>
      </xdr:nvSpPr>
      <xdr:spPr>
        <a:xfrm>
          <a:off x="16075054" y="4622800"/>
          <a:ext cx="130562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7C96" mc:Ignorable="a14" a14:legacySpreadsheetColorIndex="2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CBD3" mc:Ignorable="a14" a14:legacySpreadsheetColorIndex="2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0041" mc:Ignorable="a14" a14:legacySpreadsheetColorIndex="2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1376</a:t>
          </a:r>
        </a:p>
      </xdr:txBody>
    </xdr:sp>
    <xdr:clientData/>
  </xdr:twoCellAnchor>
  <xdr:twoCellAnchor>
    <xdr:from>
      <xdr:col>16</xdr:col>
      <xdr:colOff>4747464</xdr:colOff>
      <xdr:row>23</xdr:row>
      <xdr:rowOff>12700</xdr:rowOff>
    </xdr:from>
    <xdr:to>
      <xdr:col>16</xdr:col>
      <xdr:colOff>5753224</xdr:colOff>
      <xdr:row>23</xdr:row>
      <xdr:rowOff>177800</xdr:rowOff>
    </xdr:to>
    <xdr:sp macro="" textlink="">
      <xdr:nvSpPr>
        <xdr:cNvPr id="164287" name="Скругленный прямоугольник 164286">
          <a:extLst>
            <a:ext uri="{FF2B5EF4-FFF2-40B4-BE49-F238E27FC236}">
              <a16:creationId xmlns:a16="http://schemas.microsoft.com/office/drawing/2014/main" id="{00000000-0008-0000-0100-0000BF810200}"/>
            </a:ext>
          </a:extLst>
        </xdr:cNvPr>
        <xdr:cNvSpPr/>
      </xdr:nvSpPr>
      <xdr:spPr>
        <a:xfrm>
          <a:off x="17415714" y="4622800"/>
          <a:ext cx="100576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1066</a:t>
          </a:r>
        </a:p>
      </xdr:txBody>
    </xdr:sp>
    <xdr:clientData/>
  </xdr:twoCellAnchor>
  <xdr:twoCellAnchor>
    <xdr:from>
      <xdr:col>16</xdr:col>
      <xdr:colOff>0</xdr:colOff>
      <xdr:row>24</xdr:row>
      <xdr:rowOff>12700</xdr:rowOff>
    </xdr:from>
    <xdr:to>
      <xdr:col>16</xdr:col>
      <xdr:colOff>2031115</xdr:colOff>
      <xdr:row>24</xdr:row>
      <xdr:rowOff>177800</xdr:rowOff>
    </xdr:to>
    <xdr:sp macro="" textlink="">
      <xdr:nvSpPr>
        <xdr:cNvPr id="164288" name="Скругленный прямоугольник 164287">
          <a:extLst>
            <a:ext uri="{FF2B5EF4-FFF2-40B4-BE49-F238E27FC236}">
              <a16:creationId xmlns:a16="http://schemas.microsoft.com/office/drawing/2014/main" id="{00000000-0008-0000-0100-0000C0810200}"/>
            </a:ext>
          </a:extLst>
        </xdr:cNvPr>
        <xdr:cNvSpPr/>
      </xdr:nvSpPr>
      <xdr:spPr>
        <a:xfrm>
          <a:off x="12668250" y="4813300"/>
          <a:ext cx="20311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D7FF" mc:Ignorable="a14" a14:legacySpreadsheetColorIndex="4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ECFF" mc:Ignorable="a14" a14:legacySpreadsheetColorIndex="4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87AA" mc:Ignorable="a14" a14:legacySpreadsheetColorIndex="4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2126</a:t>
          </a:r>
        </a:p>
      </xdr:txBody>
    </xdr:sp>
    <xdr:clientData/>
  </xdr:twoCellAnchor>
  <xdr:twoCellAnchor>
    <xdr:from>
      <xdr:col>16</xdr:col>
      <xdr:colOff>2066147</xdr:colOff>
      <xdr:row>24</xdr:row>
      <xdr:rowOff>12700</xdr:rowOff>
    </xdr:from>
    <xdr:to>
      <xdr:col>16</xdr:col>
      <xdr:colOff>3410468</xdr:colOff>
      <xdr:row>24</xdr:row>
      <xdr:rowOff>177800</xdr:rowOff>
    </xdr:to>
    <xdr:sp macro="" textlink="">
      <xdr:nvSpPr>
        <xdr:cNvPr id="164289" name="Скругленный прямоугольник 164288">
          <a:extLst>
            <a:ext uri="{FF2B5EF4-FFF2-40B4-BE49-F238E27FC236}">
              <a16:creationId xmlns:a16="http://schemas.microsoft.com/office/drawing/2014/main" id="{00000000-0008-0000-0100-0000C1810200}"/>
            </a:ext>
          </a:extLst>
        </xdr:cNvPr>
        <xdr:cNvSpPr/>
      </xdr:nvSpPr>
      <xdr:spPr>
        <a:xfrm>
          <a:off x="14734397" y="4813300"/>
          <a:ext cx="134432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D7FF" mc:Ignorable="a14" a14:legacySpreadsheetColorIndex="3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ECFF" mc:Ignorable="a14" a14:legacySpreadsheetColorIndex="3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87AA" mc:Ignorable="a14" a14:legacySpreadsheetColorIndex="3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1416</a:t>
          </a:r>
        </a:p>
      </xdr:txBody>
    </xdr:sp>
    <xdr:clientData/>
  </xdr:twoCellAnchor>
  <xdr:twoCellAnchor>
    <xdr:from>
      <xdr:col>16</xdr:col>
      <xdr:colOff>3445497</xdr:colOff>
      <xdr:row>24</xdr:row>
      <xdr:rowOff>12700</xdr:rowOff>
    </xdr:from>
    <xdr:to>
      <xdr:col>16</xdr:col>
      <xdr:colOff>4712432</xdr:colOff>
      <xdr:row>24</xdr:row>
      <xdr:rowOff>177800</xdr:rowOff>
    </xdr:to>
    <xdr:sp macro="" textlink="">
      <xdr:nvSpPr>
        <xdr:cNvPr id="164290" name="Скругленный прямоугольник 164289">
          <a:extLst>
            <a:ext uri="{FF2B5EF4-FFF2-40B4-BE49-F238E27FC236}">
              <a16:creationId xmlns:a16="http://schemas.microsoft.com/office/drawing/2014/main" id="{00000000-0008-0000-0100-0000C2810200}"/>
            </a:ext>
          </a:extLst>
        </xdr:cNvPr>
        <xdr:cNvSpPr/>
      </xdr:nvSpPr>
      <xdr:spPr>
        <a:xfrm>
          <a:off x="16113747" y="48133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4747464</xdr:colOff>
      <xdr:row>24</xdr:row>
      <xdr:rowOff>12700</xdr:rowOff>
    </xdr:from>
    <xdr:to>
      <xdr:col>16</xdr:col>
      <xdr:colOff>5753224</xdr:colOff>
      <xdr:row>24</xdr:row>
      <xdr:rowOff>177800</xdr:rowOff>
    </xdr:to>
    <xdr:sp macro="" textlink="">
      <xdr:nvSpPr>
        <xdr:cNvPr id="164291" name="Скругленный прямоугольник 164290">
          <a:extLst>
            <a:ext uri="{FF2B5EF4-FFF2-40B4-BE49-F238E27FC236}">
              <a16:creationId xmlns:a16="http://schemas.microsoft.com/office/drawing/2014/main" id="{00000000-0008-0000-0100-0000C3810200}"/>
            </a:ext>
          </a:extLst>
        </xdr:cNvPr>
        <xdr:cNvSpPr/>
      </xdr:nvSpPr>
      <xdr:spPr>
        <a:xfrm>
          <a:off x="17415714" y="4813300"/>
          <a:ext cx="100576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1066</a:t>
          </a:r>
        </a:p>
      </xdr:txBody>
    </xdr:sp>
    <xdr:clientData/>
  </xdr:twoCellAnchor>
  <xdr:twoCellAnchor>
    <xdr:from>
      <xdr:col>16</xdr:col>
      <xdr:colOff>0</xdr:colOff>
      <xdr:row>25</xdr:row>
      <xdr:rowOff>12700</xdr:rowOff>
    </xdr:from>
    <xdr:to>
      <xdr:col>16</xdr:col>
      <xdr:colOff>2040789</xdr:colOff>
      <xdr:row>25</xdr:row>
      <xdr:rowOff>177800</xdr:rowOff>
    </xdr:to>
    <xdr:sp macro="" textlink="">
      <xdr:nvSpPr>
        <xdr:cNvPr id="164292" name="Скругленный прямоугольник 164291">
          <a:extLst>
            <a:ext uri="{FF2B5EF4-FFF2-40B4-BE49-F238E27FC236}">
              <a16:creationId xmlns:a16="http://schemas.microsoft.com/office/drawing/2014/main" id="{00000000-0008-0000-0100-0000C4810200}"/>
            </a:ext>
          </a:extLst>
        </xdr:cNvPr>
        <xdr:cNvSpPr/>
      </xdr:nvSpPr>
      <xdr:spPr>
        <a:xfrm>
          <a:off x="12668250" y="5003800"/>
          <a:ext cx="20407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FF" mc:Ignorable="a14" a14:legacySpreadsheetColorIndex="4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FF" mc:Ignorable="a14" a14:legacySpreadsheetColorIndex="4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AA" mc:Ignorable="a14" a14:legacySpreadsheetColorIndex="4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2136</a:t>
          </a:r>
        </a:p>
      </xdr:txBody>
    </xdr:sp>
    <xdr:clientData/>
  </xdr:twoCellAnchor>
  <xdr:twoCellAnchor>
    <xdr:from>
      <xdr:col>16</xdr:col>
      <xdr:colOff>2075819</xdr:colOff>
      <xdr:row>25</xdr:row>
      <xdr:rowOff>12700</xdr:rowOff>
    </xdr:from>
    <xdr:to>
      <xdr:col>16</xdr:col>
      <xdr:colOff>3420140</xdr:colOff>
      <xdr:row>25</xdr:row>
      <xdr:rowOff>177800</xdr:rowOff>
    </xdr:to>
    <xdr:sp macro="" textlink="">
      <xdr:nvSpPr>
        <xdr:cNvPr id="164293" name="Скругленный прямоугольник 164292">
          <a:extLst>
            <a:ext uri="{FF2B5EF4-FFF2-40B4-BE49-F238E27FC236}">
              <a16:creationId xmlns:a16="http://schemas.microsoft.com/office/drawing/2014/main" id="{00000000-0008-0000-0100-0000C5810200}"/>
            </a:ext>
          </a:extLst>
        </xdr:cNvPr>
        <xdr:cNvSpPr/>
      </xdr:nvSpPr>
      <xdr:spPr>
        <a:xfrm>
          <a:off x="14744069" y="5003800"/>
          <a:ext cx="134432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D7FF" mc:Ignorable="a14" a14:legacySpreadsheetColorIndex="3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ECFF" mc:Ignorable="a14" a14:legacySpreadsheetColorIndex="3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87AA" mc:Ignorable="a14" a14:legacySpreadsheetColorIndex="3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1416</a:t>
          </a:r>
        </a:p>
      </xdr:txBody>
    </xdr:sp>
    <xdr:clientData/>
  </xdr:twoCellAnchor>
  <xdr:twoCellAnchor>
    <xdr:from>
      <xdr:col>16</xdr:col>
      <xdr:colOff>3455170</xdr:colOff>
      <xdr:row>25</xdr:row>
      <xdr:rowOff>12700</xdr:rowOff>
    </xdr:from>
    <xdr:to>
      <xdr:col>16</xdr:col>
      <xdr:colOff>4712432</xdr:colOff>
      <xdr:row>25</xdr:row>
      <xdr:rowOff>177800</xdr:rowOff>
    </xdr:to>
    <xdr:sp macro="" textlink="">
      <xdr:nvSpPr>
        <xdr:cNvPr id="164294" name="Скругленный прямоугольник 164293">
          <a:extLst>
            <a:ext uri="{FF2B5EF4-FFF2-40B4-BE49-F238E27FC236}">
              <a16:creationId xmlns:a16="http://schemas.microsoft.com/office/drawing/2014/main" id="{00000000-0008-0000-0100-0000C6810200}"/>
            </a:ext>
          </a:extLst>
        </xdr:cNvPr>
        <xdr:cNvSpPr/>
      </xdr:nvSpPr>
      <xdr:spPr>
        <a:xfrm>
          <a:off x="16123420" y="5003800"/>
          <a:ext cx="125726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4747464</xdr:colOff>
      <xdr:row>25</xdr:row>
      <xdr:rowOff>12700</xdr:rowOff>
    </xdr:from>
    <xdr:to>
      <xdr:col>16</xdr:col>
      <xdr:colOff>5753224</xdr:colOff>
      <xdr:row>25</xdr:row>
      <xdr:rowOff>177800</xdr:rowOff>
    </xdr:to>
    <xdr:sp macro="" textlink="">
      <xdr:nvSpPr>
        <xdr:cNvPr id="164295" name="Скругленный прямоугольник 164294">
          <a:extLst>
            <a:ext uri="{FF2B5EF4-FFF2-40B4-BE49-F238E27FC236}">
              <a16:creationId xmlns:a16="http://schemas.microsoft.com/office/drawing/2014/main" id="{00000000-0008-0000-0100-0000C7810200}"/>
            </a:ext>
          </a:extLst>
        </xdr:cNvPr>
        <xdr:cNvSpPr/>
      </xdr:nvSpPr>
      <xdr:spPr>
        <a:xfrm>
          <a:off x="17415714" y="5003800"/>
          <a:ext cx="100576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1066</a:t>
          </a:r>
        </a:p>
      </xdr:txBody>
    </xdr:sp>
    <xdr:clientData/>
  </xdr:twoCellAnchor>
  <xdr:twoCellAnchor>
    <xdr:from>
      <xdr:col>16</xdr:col>
      <xdr:colOff>0</xdr:colOff>
      <xdr:row>26</xdr:row>
      <xdr:rowOff>12700</xdr:rowOff>
    </xdr:from>
    <xdr:to>
      <xdr:col>16</xdr:col>
      <xdr:colOff>2040789</xdr:colOff>
      <xdr:row>26</xdr:row>
      <xdr:rowOff>177800</xdr:rowOff>
    </xdr:to>
    <xdr:sp macro="" textlink="">
      <xdr:nvSpPr>
        <xdr:cNvPr id="164296" name="Скругленный прямоугольник 164295">
          <a:extLst>
            <a:ext uri="{FF2B5EF4-FFF2-40B4-BE49-F238E27FC236}">
              <a16:creationId xmlns:a16="http://schemas.microsoft.com/office/drawing/2014/main" id="{00000000-0008-0000-0100-0000C8810200}"/>
            </a:ext>
          </a:extLst>
        </xdr:cNvPr>
        <xdr:cNvSpPr/>
      </xdr:nvSpPr>
      <xdr:spPr>
        <a:xfrm>
          <a:off x="12668250" y="5194300"/>
          <a:ext cx="20407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FF" mc:Ignorable="a14" a14:legacySpreadsheetColorIndex="4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FF" mc:Ignorable="a14" a14:legacySpreadsheetColorIndex="4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AA" mc:Ignorable="a14" a14:legacySpreadsheetColorIndex="4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2136</a:t>
          </a:r>
        </a:p>
      </xdr:txBody>
    </xdr:sp>
    <xdr:clientData/>
  </xdr:twoCellAnchor>
  <xdr:twoCellAnchor>
    <xdr:from>
      <xdr:col>16</xdr:col>
      <xdr:colOff>2075819</xdr:colOff>
      <xdr:row>26</xdr:row>
      <xdr:rowOff>12700</xdr:rowOff>
    </xdr:from>
    <xdr:to>
      <xdr:col>16</xdr:col>
      <xdr:colOff>3526544</xdr:colOff>
      <xdr:row>26</xdr:row>
      <xdr:rowOff>177800</xdr:rowOff>
    </xdr:to>
    <xdr:sp macro="" textlink="">
      <xdr:nvSpPr>
        <xdr:cNvPr id="164297" name="Скругленный прямоугольник 164296">
          <a:extLst>
            <a:ext uri="{FF2B5EF4-FFF2-40B4-BE49-F238E27FC236}">
              <a16:creationId xmlns:a16="http://schemas.microsoft.com/office/drawing/2014/main" id="{00000000-0008-0000-0100-0000C9810200}"/>
            </a:ext>
          </a:extLst>
        </xdr:cNvPr>
        <xdr:cNvSpPr/>
      </xdr:nvSpPr>
      <xdr:spPr>
        <a:xfrm>
          <a:off x="14744069" y="5194300"/>
          <a:ext cx="14507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3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3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3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3561575</xdr:colOff>
      <xdr:row>26</xdr:row>
      <xdr:rowOff>12700</xdr:rowOff>
    </xdr:from>
    <xdr:to>
      <xdr:col>16</xdr:col>
      <xdr:colOff>4905896</xdr:colOff>
      <xdr:row>26</xdr:row>
      <xdr:rowOff>177800</xdr:rowOff>
    </xdr:to>
    <xdr:sp macro="" textlink="">
      <xdr:nvSpPr>
        <xdr:cNvPr id="164298" name="Скругленный прямоугольник 164297">
          <a:extLst>
            <a:ext uri="{FF2B5EF4-FFF2-40B4-BE49-F238E27FC236}">
              <a16:creationId xmlns:a16="http://schemas.microsoft.com/office/drawing/2014/main" id="{00000000-0008-0000-0100-0000CA810200}"/>
            </a:ext>
          </a:extLst>
        </xdr:cNvPr>
        <xdr:cNvSpPr/>
      </xdr:nvSpPr>
      <xdr:spPr>
        <a:xfrm>
          <a:off x="16229825" y="5194300"/>
          <a:ext cx="134432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D7FF" mc:Ignorable="a14" a14:legacySpreadsheetColorIndex="3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ECFF" mc:Ignorable="a14" a14:legacySpreadsheetColorIndex="3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87AA" mc:Ignorable="a14" a14:legacySpreadsheetColorIndex="3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1416</a:t>
          </a:r>
        </a:p>
      </xdr:txBody>
    </xdr:sp>
    <xdr:clientData/>
  </xdr:twoCellAnchor>
  <xdr:twoCellAnchor>
    <xdr:from>
      <xdr:col>16</xdr:col>
      <xdr:colOff>4940926</xdr:colOff>
      <xdr:row>26</xdr:row>
      <xdr:rowOff>12700</xdr:rowOff>
    </xdr:from>
    <xdr:to>
      <xdr:col>16</xdr:col>
      <xdr:colOff>5753222</xdr:colOff>
      <xdr:row>26</xdr:row>
      <xdr:rowOff>177800</xdr:rowOff>
    </xdr:to>
    <xdr:sp macro="" textlink="">
      <xdr:nvSpPr>
        <xdr:cNvPr id="164299" name="Скругленный прямоугольник 164298">
          <a:extLst>
            <a:ext uri="{FF2B5EF4-FFF2-40B4-BE49-F238E27FC236}">
              <a16:creationId xmlns:a16="http://schemas.microsoft.com/office/drawing/2014/main" id="{00000000-0008-0000-0100-0000CB810200}"/>
            </a:ext>
          </a:extLst>
        </xdr:cNvPr>
        <xdr:cNvSpPr/>
      </xdr:nvSpPr>
      <xdr:spPr>
        <a:xfrm>
          <a:off x="17609176" y="5194300"/>
          <a:ext cx="81229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866</a:t>
          </a:r>
        </a:p>
      </xdr:txBody>
    </xdr:sp>
    <xdr:clientData/>
  </xdr:twoCellAnchor>
  <xdr:twoCellAnchor>
    <xdr:from>
      <xdr:col>16</xdr:col>
      <xdr:colOff>0</xdr:colOff>
      <xdr:row>27</xdr:row>
      <xdr:rowOff>12700</xdr:rowOff>
    </xdr:from>
    <xdr:to>
      <xdr:col>16</xdr:col>
      <xdr:colOff>2079481</xdr:colOff>
      <xdr:row>27</xdr:row>
      <xdr:rowOff>177800</xdr:rowOff>
    </xdr:to>
    <xdr:sp macro="" textlink="">
      <xdr:nvSpPr>
        <xdr:cNvPr id="164300" name="Скругленный прямоугольник 164299">
          <a:extLst>
            <a:ext uri="{FF2B5EF4-FFF2-40B4-BE49-F238E27FC236}">
              <a16:creationId xmlns:a16="http://schemas.microsoft.com/office/drawing/2014/main" id="{00000000-0008-0000-0100-0000CC810200}"/>
            </a:ext>
          </a:extLst>
        </xdr:cNvPr>
        <xdr:cNvSpPr/>
      </xdr:nvSpPr>
      <xdr:spPr>
        <a:xfrm>
          <a:off x="12668250" y="5384800"/>
          <a:ext cx="207948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D7" mc:Ignorable="a14" a14:legacySpreadsheetColorIndex="4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EC" mc:Ignorable="a14" a14:legacySpreadsheetColorIndex="4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87" mc:Ignorable="a14" a14:legacySpreadsheetColorIndex="4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2176</a:t>
          </a:r>
        </a:p>
      </xdr:txBody>
    </xdr:sp>
    <xdr:clientData/>
  </xdr:twoCellAnchor>
  <xdr:twoCellAnchor>
    <xdr:from>
      <xdr:col>16</xdr:col>
      <xdr:colOff>2114511</xdr:colOff>
      <xdr:row>27</xdr:row>
      <xdr:rowOff>12700</xdr:rowOff>
    </xdr:from>
    <xdr:to>
      <xdr:col>16</xdr:col>
      <xdr:colOff>3439485</xdr:colOff>
      <xdr:row>27</xdr:row>
      <xdr:rowOff>177800</xdr:rowOff>
    </xdr:to>
    <xdr:sp macro="" textlink="">
      <xdr:nvSpPr>
        <xdr:cNvPr id="164301" name="Скругленный прямоугольник 164300">
          <a:extLst>
            <a:ext uri="{FF2B5EF4-FFF2-40B4-BE49-F238E27FC236}">
              <a16:creationId xmlns:a16="http://schemas.microsoft.com/office/drawing/2014/main" id="{00000000-0008-0000-0100-0000CD810200}"/>
            </a:ext>
          </a:extLst>
        </xdr:cNvPr>
        <xdr:cNvSpPr/>
      </xdr:nvSpPr>
      <xdr:spPr>
        <a:xfrm>
          <a:off x="14782761" y="5384800"/>
          <a:ext cx="132497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1396</a:t>
          </a:r>
        </a:p>
      </xdr:txBody>
    </xdr:sp>
    <xdr:clientData/>
  </xdr:twoCellAnchor>
  <xdr:twoCellAnchor>
    <xdr:from>
      <xdr:col>16</xdr:col>
      <xdr:colOff>3474517</xdr:colOff>
      <xdr:row>27</xdr:row>
      <xdr:rowOff>12700</xdr:rowOff>
    </xdr:from>
    <xdr:to>
      <xdr:col>16</xdr:col>
      <xdr:colOff>4712432</xdr:colOff>
      <xdr:row>27</xdr:row>
      <xdr:rowOff>177800</xdr:rowOff>
    </xdr:to>
    <xdr:sp macro="" textlink="">
      <xdr:nvSpPr>
        <xdr:cNvPr id="164302" name="Скругленный прямоугольник 164301">
          <a:extLst>
            <a:ext uri="{FF2B5EF4-FFF2-40B4-BE49-F238E27FC236}">
              <a16:creationId xmlns:a16="http://schemas.microsoft.com/office/drawing/2014/main" id="{00000000-0008-0000-0100-0000CE810200}"/>
            </a:ext>
          </a:extLst>
        </xdr:cNvPr>
        <xdr:cNvSpPr/>
      </xdr:nvSpPr>
      <xdr:spPr>
        <a:xfrm>
          <a:off x="16142767" y="53848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4747464</xdr:colOff>
      <xdr:row>27</xdr:row>
      <xdr:rowOff>12700</xdr:rowOff>
    </xdr:from>
    <xdr:to>
      <xdr:col>16</xdr:col>
      <xdr:colOff>5753224</xdr:colOff>
      <xdr:row>27</xdr:row>
      <xdr:rowOff>177800</xdr:rowOff>
    </xdr:to>
    <xdr:sp macro="" textlink="">
      <xdr:nvSpPr>
        <xdr:cNvPr id="164303" name="Скругленный прямоугольник 164302">
          <a:extLst>
            <a:ext uri="{FF2B5EF4-FFF2-40B4-BE49-F238E27FC236}">
              <a16:creationId xmlns:a16="http://schemas.microsoft.com/office/drawing/2014/main" id="{00000000-0008-0000-0100-0000CF810200}"/>
            </a:ext>
          </a:extLst>
        </xdr:cNvPr>
        <xdr:cNvSpPr/>
      </xdr:nvSpPr>
      <xdr:spPr>
        <a:xfrm>
          <a:off x="17415714" y="5384800"/>
          <a:ext cx="100576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1066</a:t>
          </a:r>
        </a:p>
      </xdr:txBody>
    </xdr:sp>
    <xdr:clientData/>
  </xdr:twoCellAnchor>
  <xdr:twoCellAnchor>
    <xdr:from>
      <xdr:col>16</xdr:col>
      <xdr:colOff>0</xdr:colOff>
      <xdr:row>28</xdr:row>
      <xdr:rowOff>12700</xdr:rowOff>
    </xdr:from>
    <xdr:to>
      <xdr:col>16</xdr:col>
      <xdr:colOff>2185885</xdr:colOff>
      <xdr:row>28</xdr:row>
      <xdr:rowOff>177800</xdr:rowOff>
    </xdr:to>
    <xdr:sp macro="" textlink="">
      <xdr:nvSpPr>
        <xdr:cNvPr id="164304" name="Скругленный прямоугольник 164303">
          <a:extLst>
            <a:ext uri="{FF2B5EF4-FFF2-40B4-BE49-F238E27FC236}">
              <a16:creationId xmlns:a16="http://schemas.microsoft.com/office/drawing/2014/main" id="{00000000-0008-0000-0100-0000D0810200}"/>
            </a:ext>
          </a:extLst>
        </xdr:cNvPr>
        <xdr:cNvSpPr/>
      </xdr:nvSpPr>
      <xdr:spPr>
        <a:xfrm>
          <a:off x="12668250" y="5575300"/>
          <a:ext cx="218588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B4" mc:Ignorable="a14" a14:legacySpreadsheetColorIndex="4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DE" mc:Ignorable="a14" a14:legacySpreadsheetColorIndex="4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64" mc:Ignorable="a14" a14:legacySpreadsheetColorIndex="4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2286</a:t>
          </a:r>
        </a:p>
      </xdr:txBody>
    </xdr:sp>
    <xdr:clientData/>
  </xdr:twoCellAnchor>
  <xdr:twoCellAnchor>
    <xdr:from>
      <xdr:col>16</xdr:col>
      <xdr:colOff>2220917</xdr:colOff>
      <xdr:row>28</xdr:row>
      <xdr:rowOff>12700</xdr:rowOff>
    </xdr:from>
    <xdr:to>
      <xdr:col>16</xdr:col>
      <xdr:colOff>3545891</xdr:colOff>
      <xdr:row>28</xdr:row>
      <xdr:rowOff>177800</xdr:rowOff>
    </xdr:to>
    <xdr:sp macro="" textlink="">
      <xdr:nvSpPr>
        <xdr:cNvPr id="164305" name="Скругленный прямоугольник 164304">
          <a:extLst>
            <a:ext uri="{FF2B5EF4-FFF2-40B4-BE49-F238E27FC236}">
              <a16:creationId xmlns:a16="http://schemas.microsoft.com/office/drawing/2014/main" id="{00000000-0008-0000-0100-0000D1810200}"/>
            </a:ext>
          </a:extLst>
        </xdr:cNvPr>
        <xdr:cNvSpPr/>
      </xdr:nvSpPr>
      <xdr:spPr>
        <a:xfrm>
          <a:off x="14889167" y="5575300"/>
          <a:ext cx="132497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1396</a:t>
          </a:r>
        </a:p>
      </xdr:txBody>
    </xdr:sp>
    <xdr:clientData/>
  </xdr:twoCellAnchor>
  <xdr:twoCellAnchor>
    <xdr:from>
      <xdr:col>16</xdr:col>
      <xdr:colOff>3580921</xdr:colOff>
      <xdr:row>28</xdr:row>
      <xdr:rowOff>12700</xdr:rowOff>
    </xdr:from>
    <xdr:to>
      <xdr:col>16</xdr:col>
      <xdr:colOff>4905894</xdr:colOff>
      <xdr:row>28</xdr:row>
      <xdr:rowOff>177800</xdr:rowOff>
    </xdr:to>
    <xdr:sp macro="" textlink="">
      <xdr:nvSpPr>
        <xdr:cNvPr id="164306" name="Скругленный прямоугольник 164305">
          <a:extLst>
            <a:ext uri="{FF2B5EF4-FFF2-40B4-BE49-F238E27FC236}">
              <a16:creationId xmlns:a16="http://schemas.microsoft.com/office/drawing/2014/main" id="{00000000-0008-0000-0100-0000D2810200}"/>
            </a:ext>
          </a:extLst>
        </xdr:cNvPr>
        <xdr:cNvSpPr/>
      </xdr:nvSpPr>
      <xdr:spPr>
        <a:xfrm>
          <a:off x="16249171" y="5575300"/>
          <a:ext cx="132497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1396</a:t>
          </a:r>
        </a:p>
      </xdr:txBody>
    </xdr:sp>
    <xdr:clientData/>
  </xdr:twoCellAnchor>
  <xdr:twoCellAnchor>
    <xdr:from>
      <xdr:col>16</xdr:col>
      <xdr:colOff>4940926</xdr:colOff>
      <xdr:row>28</xdr:row>
      <xdr:rowOff>12700</xdr:rowOff>
    </xdr:from>
    <xdr:to>
      <xdr:col>16</xdr:col>
      <xdr:colOff>5753222</xdr:colOff>
      <xdr:row>28</xdr:row>
      <xdr:rowOff>177800</xdr:rowOff>
    </xdr:to>
    <xdr:sp macro="" textlink="">
      <xdr:nvSpPr>
        <xdr:cNvPr id="164307" name="Скругленный прямоугольник 164306">
          <a:extLst>
            <a:ext uri="{FF2B5EF4-FFF2-40B4-BE49-F238E27FC236}">
              <a16:creationId xmlns:a16="http://schemas.microsoft.com/office/drawing/2014/main" id="{00000000-0008-0000-0100-0000D3810200}"/>
            </a:ext>
          </a:extLst>
        </xdr:cNvPr>
        <xdr:cNvSpPr/>
      </xdr:nvSpPr>
      <xdr:spPr>
        <a:xfrm>
          <a:off x="17609176" y="5575300"/>
          <a:ext cx="81229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866</a:t>
          </a:r>
        </a:p>
      </xdr:txBody>
    </xdr:sp>
    <xdr:clientData/>
  </xdr:twoCellAnchor>
  <xdr:twoCellAnchor>
    <xdr:from>
      <xdr:col>16</xdr:col>
      <xdr:colOff>0</xdr:colOff>
      <xdr:row>29</xdr:row>
      <xdr:rowOff>12700</xdr:rowOff>
    </xdr:from>
    <xdr:to>
      <xdr:col>16</xdr:col>
      <xdr:colOff>1450725</xdr:colOff>
      <xdr:row>29</xdr:row>
      <xdr:rowOff>177800</xdr:rowOff>
    </xdr:to>
    <xdr:sp macro="" textlink="">
      <xdr:nvSpPr>
        <xdr:cNvPr id="164308" name="Скругленный прямоугольник 164307">
          <a:extLst>
            <a:ext uri="{FF2B5EF4-FFF2-40B4-BE49-F238E27FC236}">
              <a16:creationId xmlns:a16="http://schemas.microsoft.com/office/drawing/2014/main" id="{00000000-0008-0000-0100-0000D4810200}"/>
            </a:ext>
          </a:extLst>
        </xdr:cNvPr>
        <xdr:cNvSpPr/>
      </xdr:nvSpPr>
      <xdr:spPr>
        <a:xfrm>
          <a:off x="12668250" y="5765800"/>
          <a:ext cx="14507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3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3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3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1485756</xdr:colOff>
      <xdr:row>29</xdr:row>
      <xdr:rowOff>12700</xdr:rowOff>
    </xdr:from>
    <xdr:to>
      <xdr:col>16</xdr:col>
      <xdr:colOff>2936481</xdr:colOff>
      <xdr:row>29</xdr:row>
      <xdr:rowOff>177800</xdr:rowOff>
    </xdr:to>
    <xdr:sp macro="" textlink="">
      <xdr:nvSpPr>
        <xdr:cNvPr id="164309" name="Скругленный прямоугольник 164308">
          <a:extLst>
            <a:ext uri="{FF2B5EF4-FFF2-40B4-BE49-F238E27FC236}">
              <a16:creationId xmlns:a16="http://schemas.microsoft.com/office/drawing/2014/main" id="{00000000-0008-0000-0100-0000D5810200}"/>
            </a:ext>
          </a:extLst>
        </xdr:cNvPr>
        <xdr:cNvSpPr/>
      </xdr:nvSpPr>
      <xdr:spPr>
        <a:xfrm>
          <a:off x="14154006" y="5765800"/>
          <a:ext cx="14507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3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3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3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2971512</xdr:colOff>
      <xdr:row>29</xdr:row>
      <xdr:rowOff>12700</xdr:rowOff>
    </xdr:from>
    <xdr:to>
      <xdr:col>16</xdr:col>
      <xdr:colOff>4422237</xdr:colOff>
      <xdr:row>29</xdr:row>
      <xdr:rowOff>177800</xdr:rowOff>
    </xdr:to>
    <xdr:sp macro="" textlink="">
      <xdr:nvSpPr>
        <xdr:cNvPr id="164310" name="Скругленный прямоугольник 164309">
          <a:extLst>
            <a:ext uri="{FF2B5EF4-FFF2-40B4-BE49-F238E27FC236}">
              <a16:creationId xmlns:a16="http://schemas.microsoft.com/office/drawing/2014/main" id="{00000000-0008-0000-0100-0000D6810200}"/>
            </a:ext>
          </a:extLst>
        </xdr:cNvPr>
        <xdr:cNvSpPr/>
      </xdr:nvSpPr>
      <xdr:spPr>
        <a:xfrm>
          <a:off x="15639762" y="5765800"/>
          <a:ext cx="14507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3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3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3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4457267</xdr:colOff>
      <xdr:row>29</xdr:row>
      <xdr:rowOff>12700</xdr:rowOff>
    </xdr:from>
    <xdr:to>
      <xdr:col>16</xdr:col>
      <xdr:colOff>5733876</xdr:colOff>
      <xdr:row>29</xdr:row>
      <xdr:rowOff>177800</xdr:rowOff>
    </xdr:to>
    <xdr:sp macro="" textlink="">
      <xdr:nvSpPr>
        <xdr:cNvPr id="164311" name="Скругленный прямоугольник 164310">
          <a:extLst>
            <a:ext uri="{FF2B5EF4-FFF2-40B4-BE49-F238E27FC236}">
              <a16:creationId xmlns:a16="http://schemas.microsoft.com/office/drawing/2014/main" id="{00000000-0008-0000-0100-0000D7810200}"/>
            </a:ext>
          </a:extLst>
        </xdr:cNvPr>
        <xdr:cNvSpPr/>
      </xdr:nvSpPr>
      <xdr:spPr>
        <a:xfrm>
          <a:off x="17125517" y="5765800"/>
          <a:ext cx="127660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FF" mc:Ignorable="a14" a14:legacySpreadsheetColorIndex="2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FF" mc:Ignorable="a14" a14:legacySpreadsheetColorIndex="2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AA" mc:Ignorable="a14" a14:legacySpreadsheetColorIndex="2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1346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44825</xdr:colOff>
      <xdr:row>17</xdr:row>
      <xdr:rowOff>150420</xdr:rowOff>
    </xdr:from>
    <xdr:to>
      <xdr:col>3</xdr:col>
      <xdr:colOff>307043</xdr:colOff>
      <xdr:row>19</xdr:row>
      <xdr:rowOff>76200</xdr:rowOff>
    </xdr:to>
    <xdr:sp macro="[0]!Raskroy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25800" y="3617520"/>
          <a:ext cx="1214718" cy="30678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Расчет</a:t>
          </a:r>
          <a:r>
            <a:rPr lang="en-US" sz="1100"/>
            <a:t> DP</a:t>
          </a:r>
          <a:endParaRPr lang="ru-RU" sz="1100"/>
        </a:p>
      </xdr:txBody>
    </xdr:sp>
    <xdr:clientData fPrintsWithSheet="0"/>
  </xdr:twoCellAnchor>
  <xdr:twoCellAnchor>
    <xdr:from>
      <xdr:col>3</xdr:col>
      <xdr:colOff>472817</xdr:colOff>
      <xdr:row>17</xdr:row>
      <xdr:rowOff>150420</xdr:rowOff>
    </xdr:from>
    <xdr:to>
      <xdr:col>4</xdr:col>
      <xdr:colOff>735035</xdr:colOff>
      <xdr:row>19</xdr:row>
      <xdr:rowOff>76200</xdr:rowOff>
    </xdr:to>
    <xdr:sp macro="[0]!ClearData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606292" y="3617520"/>
          <a:ext cx="1214718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Очистить все</a:t>
          </a:r>
        </a:p>
      </xdr:txBody>
    </xdr:sp>
    <xdr:clientData fPrintsWithSheet="0"/>
  </xdr:twoCellAnchor>
  <xdr:twoCellAnchor>
    <xdr:from>
      <xdr:col>4</xdr:col>
      <xdr:colOff>924205</xdr:colOff>
      <xdr:row>17</xdr:row>
      <xdr:rowOff>150420</xdr:rowOff>
    </xdr:from>
    <xdr:to>
      <xdr:col>7</xdr:col>
      <xdr:colOff>21011</xdr:colOff>
      <xdr:row>19</xdr:row>
      <xdr:rowOff>76200</xdr:rowOff>
    </xdr:to>
    <xdr:sp macro="[0]!OutGraph" textlink="">
      <xdr:nvSpPr>
        <xdr:cNvPr id="4" name="Скругленный прямоугольник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010180" y="3617520"/>
          <a:ext cx="1220881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Отобразить</a:t>
          </a:r>
        </a:p>
      </xdr:txBody>
    </xdr:sp>
    <xdr:clientData fPrintsWithSheet="0"/>
  </xdr:twoCellAnchor>
  <xdr:twoCellAnchor>
    <xdr:from>
      <xdr:col>7</xdr:col>
      <xdr:colOff>197224</xdr:colOff>
      <xdr:row>17</xdr:row>
      <xdr:rowOff>150420</xdr:rowOff>
    </xdr:from>
    <xdr:to>
      <xdr:col>8</xdr:col>
      <xdr:colOff>806824</xdr:colOff>
      <xdr:row>19</xdr:row>
      <xdr:rowOff>76200</xdr:rowOff>
    </xdr:to>
    <xdr:sp macro="[0]!Export2PDF" textlink="">
      <xdr:nvSpPr>
        <xdr:cNvPr id="5" name="Скругленный прямоугольник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407274" y="3617520"/>
          <a:ext cx="1209675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Экспорт в </a:t>
          </a:r>
          <a:r>
            <a:rPr lang="en-US" sz="1100"/>
            <a:t>PDF</a:t>
          </a:r>
          <a:endParaRPr lang="ru-RU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13</xdr:row>
          <xdr:rowOff>180975</xdr:rowOff>
        </xdr:from>
        <xdr:to>
          <xdr:col>9</xdr:col>
          <xdr:colOff>9525</xdr:colOff>
          <xdr:row>15</xdr:row>
          <xdr:rowOff>0</xdr:rowOff>
        </xdr:to>
        <xdr:sp macro="" textlink="">
          <xdr:nvSpPr>
            <xdr:cNvPr id="164865" name="Drop Down 1" hidden="1">
              <a:extLst>
                <a:ext uri="{63B3BB69-23CF-44E3-9099-C40C66FF867C}">
                  <a14:compatExt spid="_x0000_s164865"/>
                </a:ext>
                <a:ext uri="{FF2B5EF4-FFF2-40B4-BE49-F238E27FC236}">
                  <a16:creationId xmlns:a16="http://schemas.microsoft.com/office/drawing/2014/main" id="{00000000-0008-0000-0200-0000018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13</xdr:row>
          <xdr:rowOff>161925</xdr:rowOff>
        </xdr:from>
        <xdr:to>
          <xdr:col>5</xdr:col>
          <xdr:colOff>981075</xdr:colOff>
          <xdr:row>15</xdr:row>
          <xdr:rowOff>0</xdr:rowOff>
        </xdr:to>
        <xdr:sp macro="" textlink="">
          <xdr:nvSpPr>
            <xdr:cNvPr id="164866" name="Check Box 2" hidden="1">
              <a:extLst>
                <a:ext uri="{63B3BB69-23CF-44E3-9099-C40C66FF867C}">
                  <a14:compatExt spid="_x0000_s164866"/>
                </a:ext>
                <a:ext uri="{FF2B5EF4-FFF2-40B4-BE49-F238E27FC236}">
                  <a16:creationId xmlns:a16="http://schemas.microsoft.com/office/drawing/2014/main" id="{00000000-0008-0000-0200-0000028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Группировать решение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14</xdr:row>
          <xdr:rowOff>161925</xdr:rowOff>
        </xdr:from>
        <xdr:to>
          <xdr:col>5</xdr:col>
          <xdr:colOff>981075</xdr:colOff>
          <xdr:row>16</xdr:row>
          <xdr:rowOff>0</xdr:rowOff>
        </xdr:to>
        <xdr:sp macro="" textlink="">
          <xdr:nvSpPr>
            <xdr:cNvPr id="164867" name="Check Box 3" hidden="1">
              <a:extLst>
                <a:ext uri="{63B3BB69-23CF-44E3-9099-C40C66FF867C}">
                  <a14:compatExt spid="_x0000_s164867"/>
                </a:ext>
                <a:ext uri="{FF2B5EF4-FFF2-40B4-BE49-F238E27FC236}">
                  <a16:creationId xmlns:a16="http://schemas.microsoft.com/office/drawing/2014/main" id="{00000000-0008-0000-0200-0000038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Отображать графику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15</xdr:row>
          <xdr:rowOff>0</xdr:rowOff>
        </xdr:from>
        <xdr:to>
          <xdr:col>9</xdr:col>
          <xdr:colOff>9525</xdr:colOff>
          <xdr:row>16</xdr:row>
          <xdr:rowOff>9525</xdr:rowOff>
        </xdr:to>
        <xdr:sp macro="" textlink="">
          <xdr:nvSpPr>
            <xdr:cNvPr id="164868" name="Drop Down 4" hidden="1">
              <a:extLst>
                <a:ext uri="{63B3BB69-23CF-44E3-9099-C40C66FF867C}">
                  <a14:compatExt spid="_x0000_s164868"/>
                </a:ext>
                <a:ext uri="{FF2B5EF4-FFF2-40B4-BE49-F238E27FC236}">
                  <a16:creationId xmlns:a16="http://schemas.microsoft.com/office/drawing/2014/main" id="{00000000-0008-0000-0200-0000048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15</xdr:row>
          <xdr:rowOff>161925</xdr:rowOff>
        </xdr:from>
        <xdr:to>
          <xdr:col>5</xdr:col>
          <xdr:colOff>981075</xdr:colOff>
          <xdr:row>17</xdr:row>
          <xdr:rowOff>0</xdr:rowOff>
        </xdr:to>
        <xdr:sp macro="" textlink="">
          <xdr:nvSpPr>
            <xdr:cNvPr id="164869" name="Check Box 5" hidden="1">
              <a:extLst>
                <a:ext uri="{63B3BB69-23CF-44E3-9099-C40C66FF867C}">
                  <a14:compatExt spid="_x0000_s164869"/>
                </a:ext>
                <a:ext uri="{FF2B5EF4-FFF2-40B4-BE49-F238E27FC236}">
                  <a16:creationId xmlns:a16="http://schemas.microsoft.com/office/drawing/2014/main" id="{00000000-0008-0000-0200-0000058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Рез под 45 градусов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16</xdr:row>
          <xdr:rowOff>0</xdr:rowOff>
        </xdr:from>
        <xdr:to>
          <xdr:col>9</xdr:col>
          <xdr:colOff>0</xdr:colOff>
          <xdr:row>17</xdr:row>
          <xdr:rowOff>28575</xdr:rowOff>
        </xdr:to>
        <xdr:sp macro="" textlink="">
          <xdr:nvSpPr>
            <xdr:cNvPr id="164870" name="Check Box 6" hidden="1">
              <a:extLst>
                <a:ext uri="{63B3BB69-23CF-44E3-9099-C40C66FF867C}">
                  <a14:compatExt spid="_x0000_s164870"/>
                </a:ext>
                <a:ext uri="{FF2B5EF4-FFF2-40B4-BE49-F238E27FC236}">
                  <a16:creationId xmlns:a16="http://schemas.microsoft.com/office/drawing/2014/main" id="{00000000-0008-0000-0200-0000068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Раскрой в два профиля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44825</xdr:colOff>
      <xdr:row>20</xdr:row>
      <xdr:rowOff>0</xdr:rowOff>
    </xdr:from>
    <xdr:to>
      <xdr:col>3</xdr:col>
      <xdr:colOff>307043</xdr:colOff>
      <xdr:row>21</xdr:row>
      <xdr:rowOff>116280</xdr:rowOff>
    </xdr:to>
    <xdr:sp macro="[0]!lpCSP" textlink="">
      <xdr:nvSpPr>
        <xdr:cNvPr id="12" name="Скругленный прямоугольник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225800" y="4038600"/>
          <a:ext cx="1214718" cy="30678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Расчет</a:t>
          </a:r>
          <a:r>
            <a:rPr lang="en-US" sz="1100"/>
            <a:t> LP</a:t>
          </a:r>
          <a:endParaRPr lang="ru-RU" sz="1100"/>
        </a:p>
      </xdr:txBody>
    </xdr:sp>
    <xdr:clientData fPrintsWithSheet="0"/>
  </xdr:twoCellAnchor>
  <xdr:twoCellAnchor>
    <xdr:from>
      <xdr:col>3</xdr:col>
      <xdr:colOff>472817</xdr:colOff>
      <xdr:row>20</xdr:row>
      <xdr:rowOff>0</xdr:rowOff>
    </xdr:from>
    <xdr:to>
      <xdr:col>4</xdr:col>
      <xdr:colOff>735035</xdr:colOff>
      <xdr:row>21</xdr:row>
      <xdr:rowOff>116280</xdr:rowOff>
    </xdr:to>
    <xdr:sp macro="[0]!ClearSolve" textlink="">
      <xdr:nvSpPr>
        <xdr:cNvPr id="13" name="Скругленный прямоугольник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606292" y="4038600"/>
          <a:ext cx="1214718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Убрать</a:t>
          </a:r>
          <a:r>
            <a:rPr lang="ru-RU" sz="1100" baseline="0"/>
            <a:t> решение</a:t>
          </a:r>
          <a:endParaRPr lang="ru-RU" sz="1100"/>
        </a:p>
      </xdr:txBody>
    </xdr:sp>
    <xdr:clientData fPrintsWithSheet="0"/>
  </xdr:twoCellAnchor>
  <xdr:twoCellAnchor>
    <xdr:from>
      <xdr:col>4</xdr:col>
      <xdr:colOff>924205</xdr:colOff>
      <xdr:row>20</xdr:row>
      <xdr:rowOff>0</xdr:rowOff>
    </xdr:from>
    <xdr:to>
      <xdr:col>7</xdr:col>
      <xdr:colOff>21011</xdr:colOff>
      <xdr:row>21</xdr:row>
      <xdr:rowOff>116280</xdr:rowOff>
    </xdr:to>
    <xdr:sp macro="[0]!OffGraph" textlink="">
      <xdr:nvSpPr>
        <xdr:cNvPr id="14" name="Скругленный прямоугольник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3010180" y="4038600"/>
          <a:ext cx="1220881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Убрать</a:t>
          </a:r>
          <a:r>
            <a:rPr lang="ru-RU" sz="1100" baseline="0"/>
            <a:t> графику</a:t>
          </a:r>
          <a:endParaRPr lang="ru-RU" sz="1100"/>
        </a:p>
      </xdr:txBody>
    </xdr:sp>
    <xdr:clientData fPrintsWithSheet="0"/>
  </xdr:twoCellAnchor>
  <xdr:twoCellAnchor>
    <xdr:from>
      <xdr:col>7</xdr:col>
      <xdr:colOff>197224</xdr:colOff>
      <xdr:row>20</xdr:row>
      <xdr:rowOff>0</xdr:rowOff>
    </xdr:from>
    <xdr:to>
      <xdr:col>8</xdr:col>
      <xdr:colOff>806824</xdr:colOff>
      <xdr:row>21</xdr:row>
      <xdr:rowOff>116280</xdr:rowOff>
    </xdr:to>
    <xdr:sp macro="" textlink="">
      <xdr:nvSpPr>
        <xdr:cNvPr id="15" name="Скругленный прямоугольник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4407274" y="4038600"/>
          <a:ext cx="1209675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Создать отчет</a:t>
          </a:r>
        </a:p>
      </xdr:txBody>
    </xdr:sp>
    <xdr:clientData fPrintsWithSheet="0"/>
  </xdr:twoCellAnchor>
  <xdr:twoCellAnchor>
    <xdr:from>
      <xdr:col>16</xdr:col>
      <xdr:colOff>0</xdr:colOff>
      <xdr:row>3</xdr:row>
      <xdr:rowOff>12700</xdr:rowOff>
    </xdr:from>
    <xdr:to>
      <xdr:col>16</xdr:col>
      <xdr:colOff>1266935</xdr:colOff>
      <xdr:row>3</xdr:row>
      <xdr:rowOff>177800</xdr:rowOff>
    </xdr:to>
    <xdr:sp macro="" textlink="">
      <xdr:nvSpPr>
        <xdr:cNvPr id="164964" name="Скругленный прямоугольник 164963">
          <a:extLst>
            <a:ext uri="{FF2B5EF4-FFF2-40B4-BE49-F238E27FC236}">
              <a16:creationId xmlns:a16="http://schemas.microsoft.com/office/drawing/2014/main" id="{00000000-0008-0000-0200-000064840200}"/>
            </a:ext>
          </a:extLst>
        </xdr:cNvPr>
        <xdr:cNvSpPr/>
      </xdr:nvSpPr>
      <xdr:spPr>
        <a:xfrm>
          <a:off x="12668250" y="8128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1301965</xdr:colOff>
      <xdr:row>3</xdr:row>
      <xdr:rowOff>12700</xdr:rowOff>
    </xdr:from>
    <xdr:to>
      <xdr:col>16</xdr:col>
      <xdr:colOff>2559227</xdr:colOff>
      <xdr:row>3</xdr:row>
      <xdr:rowOff>177800</xdr:rowOff>
    </xdr:to>
    <xdr:sp macro="" textlink="">
      <xdr:nvSpPr>
        <xdr:cNvPr id="164965" name="Скругленный прямоугольник 164964">
          <a:extLst>
            <a:ext uri="{FF2B5EF4-FFF2-40B4-BE49-F238E27FC236}">
              <a16:creationId xmlns:a16="http://schemas.microsoft.com/office/drawing/2014/main" id="{00000000-0008-0000-0200-000065840200}"/>
            </a:ext>
          </a:extLst>
        </xdr:cNvPr>
        <xdr:cNvSpPr/>
      </xdr:nvSpPr>
      <xdr:spPr>
        <a:xfrm>
          <a:off x="13970215" y="812800"/>
          <a:ext cx="125726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2594259</xdr:colOff>
      <xdr:row>3</xdr:row>
      <xdr:rowOff>12700</xdr:rowOff>
    </xdr:from>
    <xdr:to>
      <xdr:col>16</xdr:col>
      <xdr:colOff>3832174</xdr:colOff>
      <xdr:row>3</xdr:row>
      <xdr:rowOff>177800</xdr:rowOff>
    </xdr:to>
    <xdr:sp macro="" textlink="">
      <xdr:nvSpPr>
        <xdr:cNvPr id="164966" name="Скругленный прямоугольник 164965">
          <a:extLst>
            <a:ext uri="{FF2B5EF4-FFF2-40B4-BE49-F238E27FC236}">
              <a16:creationId xmlns:a16="http://schemas.microsoft.com/office/drawing/2014/main" id="{00000000-0008-0000-0200-000066840200}"/>
            </a:ext>
          </a:extLst>
        </xdr:cNvPr>
        <xdr:cNvSpPr/>
      </xdr:nvSpPr>
      <xdr:spPr>
        <a:xfrm>
          <a:off x="15262509" y="8128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3867204</xdr:colOff>
      <xdr:row>3</xdr:row>
      <xdr:rowOff>12700</xdr:rowOff>
    </xdr:from>
    <xdr:to>
      <xdr:col>16</xdr:col>
      <xdr:colOff>5076101</xdr:colOff>
      <xdr:row>3</xdr:row>
      <xdr:rowOff>177800</xdr:rowOff>
    </xdr:to>
    <xdr:sp macro="" textlink="">
      <xdr:nvSpPr>
        <xdr:cNvPr id="164967" name="Скругленный прямоугольник 164966">
          <a:extLst>
            <a:ext uri="{FF2B5EF4-FFF2-40B4-BE49-F238E27FC236}">
              <a16:creationId xmlns:a16="http://schemas.microsoft.com/office/drawing/2014/main" id="{00000000-0008-0000-0200-000067840200}"/>
            </a:ext>
          </a:extLst>
        </xdr:cNvPr>
        <xdr:cNvSpPr/>
      </xdr:nvSpPr>
      <xdr:spPr>
        <a:xfrm>
          <a:off x="16535454" y="812800"/>
          <a:ext cx="120889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CFCFCF" mc:Ignorable="a14" a14:legacySpreadsheetColorIndex="2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8E8E8" mc:Ignorable="a14" a14:legacySpreadsheetColorIndex="2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7F7F7F" mc:Ignorable="a14" a14:legacySpreadsheetColorIndex="2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1276</a:t>
          </a:r>
        </a:p>
      </xdr:txBody>
    </xdr:sp>
    <xdr:clientData/>
  </xdr:twoCellAnchor>
  <xdr:twoCellAnchor>
    <xdr:from>
      <xdr:col>16</xdr:col>
      <xdr:colOff>5111131</xdr:colOff>
      <xdr:row>3</xdr:row>
      <xdr:rowOff>12700</xdr:rowOff>
    </xdr:from>
    <xdr:to>
      <xdr:col>16</xdr:col>
      <xdr:colOff>5758983</xdr:colOff>
      <xdr:row>3</xdr:row>
      <xdr:rowOff>177800</xdr:rowOff>
    </xdr:to>
    <xdr:sp macro="" textlink="">
      <xdr:nvSpPr>
        <xdr:cNvPr id="164968" name="Скругленный прямоугольник 164967">
          <a:extLst>
            <a:ext uri="{FF2B5EF4-FFF2-40B4-BE49-F238E27FC236}">
              <a16:creationId xmlns:a16="http://schemas.microsoft.com/office/drawing/2014/main" id="{00000000-0008-0000-0200-000068840200}"/>
            </a:ext>
          </a:extLst>
        </xdr:cNvPr>
        <xdr:cNvSpPr/>
      </xdr:nvSpPr>
      <xdr:spPr>
        <a:xfrm>
          <a:off x="17779381" y="812800"/>
          <a:ext cx="64785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696</a:t>
          </a:r>
        </a:p>
      </xdr:txBody>
    </xdr:sp>
    <xdr:clientData/>
  </xdr:twoCellAnchor>
  <xdr:twoCellAnchor>
    <xdr:from>
      <xdr:col>16</xdr:col>
      <xdr:colOff>0</xdr:colOff>
      <xdr:row>4</xdr:row>
      <xdr:rowOff>12700</xdr:rowOff>
    </xdr:from>
    <xdr:to>
      <xdr:col>16</xdr:col>
      <xdr:colOff>1276609</xdr:colOff>
      <xdr:row>4</xdr:row>
      <xdr:rowOff>177800</xdr:rowOff>
    </xdr:to>
    <xdr:sp macro="" textlink="">
      <xdr:nvSpPr>
        <xdr:cNvPr id="164969" name="Скругленный прямоугольник 164968">
          <a:extLst>
            <a:ext uri="{FF2B5EF4-FFF2-40B4-BE49-F238E27FC236}">
              <a16:creationId xmlns:a16="http://schemas.microsoft.com/office/drawing/2014/main" id="{00000000-0008-0000-0200-000069840200}"/>
            </a:ext>
          </a:extLst>
        </xdr:cNvPr>
        <xdr:cNvSpPr/>
      </xdr:nvSpPr>
      <xdr:spPr>
        <a:xfrm>
          <a:off x="12668250" y="1003300"/>
          <a:ext cx="127660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FF" mc:Ignorable="a14" a14:legacySpreadsheetColorIndex="2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FF" mc:Ignorable="a14" a14:legacySpreadsheetColorIndex="2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AA" mc:Ignorable="a14" a14:legacySpreadsheetColorIndex="2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1346</a:t>
          </a:r>
        </a:p>
      </xdr:txBody>
    </xdr:sp>
    <xdr:clientData/>
  </xdr:twoCellAnchor>
  <xdr:twoCellAnchor>
    <xdr:from>
      <xdr:col>16</xdr:col>
      <xdr:colOff>1311639</xdr:colOff>
      <xdr:row>4</xdr:row>
      <xdr:rowOff>12700</xdr:rowOff>
    </xdr:from>
    <xdr:to>
      <xdr:col>16</xdr:col>
      <xdr:colOff>2568901</xdr:colOff>
      <xdr:row>4</xdr:row>
      <xdr:rowOff>177800</xdr:rowOff>
    </xdr:to>
    <xdr:sp macro="" textlink="">
      <xdr:nvSpPr>
        <xdr:cNvPr id="164970" name="Скругленный прямоугольник 164969">
          <a:extLst>
            <a:ext uri="{FF2B5EF4-FFF2-40B4-BE49-F238E27FC236}">
              <a16:creationId xmlns:a16="http://schemas.microsoft.com/office/drawing/2014/main" id="{00000000-0008-0000-0200-00006A840200}"/>
            </a:ext>
          </a:extLst>
        </xdr:cNvPr>
        <xdr:cNvSpPr/>
      </xdr:nvSpPr>
      <xdr:spPr>
        <a:xfrm>
          <a:off x="13979889" y="1003300"/>
          <a:ext cx="125726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2603933</xdr:colOff>
      <xdr:row>4</xdr:row>
      <xdr:rowOff>12700</xdr:rowOff>
    </xdr:from>
    <xdr:to>
      <xdr:col>16</xdr:col>
      <xdr:colOff>3861194</xdr:colOff>
      <xdr:row>4</xdr:row>
      <xdr:rowOff>177800</xdr:rowOff>
    </xdr:to>
    <xdr:sp macro="" textlink="">
      <xdr:nvSpPr>
        <xdr:cNvPr id="164971" name="Скругленный прямоугольник 164970">
          <a:extLst>
            <a:ext uri="{FF2B5EF4-FFF2-40B4-BE49-F238E27FC236}">
              <a16:creationId xmlns:a16="http://schemas.microsoft.com/office/drawing/2014/main" id="{00000000-0008-0000-0200-00006B840200}"/>
            </a:ext>
          </a:extLst>
        </xdr:cNvPr>
        <xdr:cNvSpPr/>
      </xdr:nvSpPr>
      <xdr:spPr>
        <a:xfrm>
          <a:off x="15272183" y="1003300"/>
          <a:ext cx="12572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3896224</xdr:colOff>
      <xdr:row>4</xdr:row>
      <xdr:rowOff>12700</xdr:rowOff>
    </xdr:from>
    <xdr:to>
      <xdr:col>16</xdr:col>
      <xdr:colOff>5095447</xdr:colOff>
      <xdr:row>4</xdr:row>
      <xdr:rowOff>177800</xdr:rowOff>
    </xdr:to>
    <xdr:sp macro="" textlink="">
      <xdr:nvSpPr>
        <xdr:cNvPr id="164972" name="Скругленный прямоугольник 164971">
          <a:extLst>
            <a:ext uri="{FF2B5EF4-FFF2-40B4-BE49-F238E27FC236}">
              <a16:creationId xmlns:a16="http://schemas.microsoft.com/office/drawing/2014/main" id="{00000000-0008-0000-0200-00006C840200}"/>
            </a:ext>
          </a:extLst>
        </xdr:cNvPr>
        <xdr:cNvSpPr/>
      </xdr:nvSpPr>
      <xdr:spPr>
        <a:xfrm>
          <a:off x="16564474" y="1003300"/>
          <a:ext cx="119922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A4" mc:Ignorable="a14" a14:legacySpreadsheetColorIndex="2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D8" mc:Ignorable="a14" a14:legacySpreadsheetColorIndex="2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53" mc:Ignorable="a14" a14:legacySpreadsheetColorIndex="2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1266</a:t>
          </a:r>
        </a:p>
      </xdr:txBody>
    </xdr:sp>
    <xdr:clientData/>
  </xdr:twoCellAnchor>
  <xdr:twoCellAnchor>
    <xdr:from>
      <xdr:col>16</xdr:col>
      <xdr:colOff>5130478</xdr:colOff>
      <xdr:row>4</xdr:row>
      <xdr:rowOff>12700</xdr:rowOff>
    </xdr:from>
    <xdr:to>
      <xdr:col>16</xdr:col>
      <xdr:colOff>5758983</xdr:colOff>
      <xdr:row>4</xdr:row>
      <xdr:rowOff>177800</xdr:rowOff>
    </xdr:to>
    <xdr:sp macro="" textlink="">
      <xdr:nvSpPr>
        <xdr:cNvPr id="164973" name="Скругленный прямоугольник 164972">
          <a:extLst>
            <a:ext uri="{FF2B5EF4-FFF2-40B4-BE49-F238E27FC236}">
              <a16:creationId xmlns:a16="http://schemas.microsoft.com/office/drawing/2014/main" id="{00000000-0008-0000-0200-00006D840200}"/>
            </a:ext>
          </a:extLst>
        </xdr:cNvPr>
        <xdr:cNvSpPr/>
      </xdr:nvSpPr>
      <xdr:spPr>
        <a:xfrm>
          <a:off x="17798728" y="1003300"/>
          <a:ext cx="62850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676</a:t>
          </a:r>
        </a:p>
      </xdr:txBody>
    </xdr:sp>
    <xdr:clientData/>
  </xdr:twoCellAnchor>
  <xdr:twoCellAnchor>
    <xdr:from>
      <xdr:col>16</xdr:col>
      <xdr:colOff>0</xdr:colOff>
      <xdr:row>5</xdr:row>
      <xdr:rowOff>12700</xdr:rowOff>
    </xdr:from>
    <xdr:to>
      <xdr:col>16</xdr:col>
      <xdr:colOff>1334647</xdr:colOff>
      <xdr:row>5</xdr:row>
      <xdr:rowOff>177800</xdr:rowOff>
    </xdr:to>
    <xdr:sp macro="" textlink="">
      <xdr:nvSpPr>
        <xdr:cNvPr id="164974" name="Скругленный прямоугольник 164973">
          <a:extLst>
            <a:ext uri="{FF2B5EF4-FFF2-40B4-BE49-F238E27FC236}">
              <a16:creationId xmlns:a16="http://schemas.microsoft.com/office/drawing/2014/main" id="{00000000-0008-0000-0200-00006E840200}"/>
            </a:ext>
          </a:extLst>
        </xdr:cNvPr>
        <xdr:cNvSpPr/>
      </xdr:nvSpPr>
      <xdr:spPr>
        <a:xfrm>
          <a:off x="12668250" y="1193800"/>
          <a:ext cx="13346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1369678</xdr:colOff>
      <xdr:row>5</xdr:row>
      <xdr:rowOff>12700</xdr:rowOff>
    </xdr:from>
    <xdr:to>
      <xdr:col>16</xdr:col>
      <xdr:colOff>2607593</xdr:colOff>
      <xdr:row>5</xdr:row>
      <xdr:rowOff>177800</xdr:rowOff>
    </xdr:to>
    <xdr:sp macro="" textlink="">
      <xdr:nvSpPr>
        <xdr:cNvPr id="164975" name="Скругленный прямоугольник 164974">
          <a:extLst>
            <a:ext uri="{FF2B5EF4-FFF2-40B4-BE49-F238E27FC236}">
              <a16:creationId xmlns:a16="http://schemas.microsoft.com/office/drawing/2014/main" id="{00000000-0008-0000-0200-00006F840200}"/>
            </a:ext>
          </a:extLst>
        </xdr:cNvPr>
        <xdr:cNvSpPr/>
      </xdr:nvSpPr>
      <xdr:spPr>
        <a:xfrm>
          <a:off x="14037928" y="11938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2642625</xdr:colOff>
      <xdr:row>5</xdr:row>
      <xdr:rowOff>12700</xdr:rowOff>
    </xdr:from>
    <xdr:to>
      <xdr:col>16</xdr:col>
      <xdr:colOff>3880540</xdr:colOff>
      <xdr:row>5</xdr:row>
      <xdr:rowOff>177800</xdr:rowOff>
    </xdr:to>
    <xdr:sp macro="" textlink="">
      <xdr:nvSpPr>
        <xdr:cNvPr id="164976" name="Скругленный прямоугольник 164975">
          <a:extLst>
            <a:ext uri="{FF2B5EF4-FFF2-40B4-BE49-F238E27FC236}">
              <a16:creationId xmlns:a16="http://schemas.microsoft.com/office/drawing/2014/main" id="{00000000-0008-0000-0200-000070840200}"/>
            </a:ext>
          </a:extLst>
        </xdr:cNvPr>
        <xdr:cNvSpPr/>
      </xdr:nvSpPr>
      <xdr:spPr>
        <a:xfrm>
          <a:off x="15310875" y="11938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3915570</xdr:colOff>
      <xdr:row>5</xdr:row>
      <xdr:rowOff>12700</xdr:rowOff>
    </xdr:from>
    <xdr:to>
      <xdr:col>16</xdr:col>
      <xdr:colOff>5105119</xdr:colOff>
      <xdr:row>5</xdr:row>
      <xdr:rowOff>177800</xdr:rowOff>
    </xdr:to>
    <xdr:sp macro="" textlink="">
      <xdr:nvSpPr>
        <xdr:cNvPr id="164977" name="Скругленный прямоугольник 164976">
          <a:extLst>
            <a:ext uri="{FF2B5EF4-FFF2-40B4-BE49-F238E27FC236}">
              <a16:creationId xmlns:a16="http://schemas.microsoft.com/office/drawing/2014/main" id="{00000000-0008-0000-0200-000071840200}"/>
            </a:ext>
          </a:extLst>
        </xdr:cNvPr>
        <xdr:cNvSpPr/>
      </xdr:nvSpPr>
      <xdr:spPr>
        <a:xfrm>
          <a:off x="16583820" y="1193800"/>
          <a:ext cx="118954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A4" mc:Ignorable="a14" a14:legacySpreadsheetColorIndex="2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D8" mc:Ignorable="a14" a14:legacySpreadsheetColorIndex="2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53" mc:Ignorable="a14" a14:legacySpreadsheetColorIndex="2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1256</a:t>
          </a:r>
        </a:p>
      </xdr:txBody>
    </xdr:sp>
    <xdr:clientData/>
  </xdr:twoCellAnchor>
  <xdr:twoCellAnchor>
    <xdr:from>
      <xdr:col>16</xdr:col>
      <xdr:colOff>5140151</xdr:colOff>
      <xdr:row>5</xdr:row>
      <xdr:rowOff>12700</xdr:rowOff>
    </xdr:from>
    <xdr:to>
      <xdr:col>16</xdr:col>
      <xdr:colOff>5758985</xdr:colOff>
      <xdr:row>5</xdr:row>
      <xdr:rowOff>177800</xdr:rowOff>
    </xdr:to>
    <xdr:sp macro="" textlink="">
      <xdr:nvSpPr>
        <xdr:cNvPr id="164978" name="Скругленный прямоугольник 164977">
          <a:extLst>
            <a:ext uri="{FF2B5EF4-FFF2-40B4-BE49-F238E27FC236}">
              <a16:creationId xmlns:a16="http://schemas.microsoft.com/office/drawing/2014/main" id="{00000000-0008-0000-0200-000072840200}"/>
            </a:ext>
          </a:extLst>
        </xdr:cNvPr>
        <xdr:cNvSpPr/>
      </xdr:nvSpPr>
      <xdr:spPr>
        <a:xfrm>
          <a:off x="17808401" y="1193800"/>
          <a:ext cx="61883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666</a:t>
          </a:r>
        </a:p>
      </xdr:txBody>
    </xdr:sp>
    <xdr:clientData/>
  </xdr:twoCellAnchor>
  <xdr:twoCellAnchor>
    <xdr:from>
      <xdr:col>16</xdr:col>
      <xdr:colOff>0</xdr:colOff>
      <xdr:row>6</xdr:row>
      <xdr:rowOff>12700</xdr:rowOff>
    </xdr:from>
    <xdr:to>
      <xdr:col>16</xdr:col>
      <xdr:colOff>1344321</xdr:colOff>
      <xdr:row>6</xdr:row>
      <xdr:rowOff>177800</xdr:rowOff>
    </xdr:to>
    <xdr:sp macro="" textlink="">
      <xdr:nvSpPr>
        <xdr:cNvPr id="164979" name="Скругленный прямоугольник 164978">
          <a:extLst>
            <a:ext uri="{FF2B5EF4-FFF2-40B4-BE49-F238E27FC236}">
              <a16:creationId xmlns:a16="http://schemas.microsoft.com/office/drawing/2014/main" id="{00000000-0008-0000-0200-000073840200}"/>
            </a:ext>
          </a:extLst>
        </xdr:cNvPr>
        <xdr:cNvSpPr/>
      </xdr:nvSpPr>
      <xdr:spPr>
        <a:xfrm>
          <a:off x="12668250" y="1384300"/>
          <a:ext cx="134432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D7FF" mc:Ignorable="a14" a14:legacySpreadsheetColorIndex="3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ECFF" mc:Ignorable="a14" a14:legacySpreadsheetColorIndex="3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87AA" mc:Ignorable="a14" a14:legacySpreadsheetColorIndex="3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1416</a:t>
          </a:r>
        </a:p>
      </xdr:txBody>
    </xdr:sp>
    <xdr:clientData/>
  </xdr:twoCellAnchor>
  <xdr:twoCellAnchor>
    <xdr:from>
      <xdr:col>16</xdr:col>
      <xdr:colOff>1379351</xdr:colOff>
      <xdr:row>6</xdr:row>
      <xdr:rowOff>12700</xdr:rowOff>
    </xdr:from>
    <xdr:to>
      <xdr:col>16</xdr:col>
      <xdr:colOff>2646287</xdr:colOff>
      <xdr:row>6</xdr:row>
      <xdr:rowOff>177800</xdr:rowOff>
    </xdr:to>
    <xdr:sp macro="" textlink="">
      <xdr:nvSpPr>
        <xdr:cNvPr id="164980" name="Скругленный прямоугольник 164979">
          <a:extLst>
            <a:ext uri="{FF2B5EF4-FFF2-40B4-BE49-F238E27FC236}">
              <a16:creationId xmlns:a16="http://schemas.microsoft.com/office/drawing/2014/main" id="{00000000-0008-0000-0200-000074840200}"/>
            </a:ext>
          </a:extLst>
        </xdr:cNvPr>
        <xdr:cNvSpPr/>
      </xdr:nvSpPr>
      <xdr:spPr>
        <a:xfrm>
          <a:off x="14047601" y="1384300"/>
          <a:ext cx="126693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2681317</xdr:colOff>
      <xdr:row>6</xdr:row>
      <xdr:rowOff>12700</xdr:rowOff>
    </xdr:from>
    <xdr:to>
      <xdr:col>16</xdr:col>
      <xdr:colOff>3928906</xdr:colOff>
      <xdr:row>6</xdr:row>
      <xdr:rowOff>177800</xdr:rowOff>
    </xdr:to>
    <xdr:sp macro="" textlink="">
      <xdr:nvSpPr>
        <xdr:cNvPr id="164981" name="Скругленный прямоугольник 164980">
          <a:extLst>
            <a:ext uri="{FF2B5EF4-FFF2-40B4-BE49-F238E27FC236}">
              <a16:creationId xmlns:a16="http://schemas.microsoft.com/office/drawing/2014/main" id="{00000000-0008-0000-0200-000075840200}"/>
            </a:ext>
          </a:extLst>
        </xdr:cNvPr>
        <xdr:cNvSpPr/>
      </xdr:nvSpPr>
      <xdr:spPr>
        <a:xfrm>
          <a:off x="15349567" y="1384300"/>
          <a:ext cx="12475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B4FF" mc:Ignorable="a14" a14:legacySpreadsheetColorIndex="2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DEFF" mc:Ignorable="a14" a14:legacySpreadsheetColorIndex="2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64AA" mc:Ignorable="a14" a14:legacySpreadsheetColorIndex="2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1316</a:t>
          </a:r>
        </a:p>
      </xdr:txBody>
    </xdr:sp>
    <xdr:clientData/>
  </xdr:twoCellAnchor>
  <xdr:twoCellAnchor>
    <xdr:from>
      <xdr:col>16</xdr:col>
      <xdr:colOff>3963936</xdr:colOff>
      <xdr:row>6</xdr:row>
      <xdr:rowOff>12700</xdr:rowOff>
    </xdr:from>
    <xdr:to>
      <xdr:col>16</xdr:col>
      <xdr:colOff>5066427</xdr:colOff>
      <xdr:row>6</xdr:row>
      <xdr:rowOff>177800</xdr:rowOff>
    </xdr:to>
    <xdr:sp macro="" textlink="">
      <xdr:nvSpPr>
        <xdr:cNvPr id="164982" name="Скругленный прямоугольник 164981">
          <a:extLst>
            <a:ext uri="{FF2B5EF4-FFF2-40B4-BE49-F238E27FC236}">
              <a16:creationId xmlns:a16="http://schemas.microsoft.com/office/drawing/2014/main" id="{00000000-0008-0000-0200-000076840200}"/>
            </a:ext>
          </a:extLst>
        </xdr:cNvPr>
        <xdr:cNvSpPr/>
      </xdr:nvSpPr>
      <xdr:spPr>
        <a:xfrm>
          <a:off x="16632186" y="13843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7C" mc:Ignorable="a14" a14:legacySpreadsheetColorIndex="1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CB" mc:Ignorable="a14" a14:legacySpreadsheetColorIndex="1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00" mc:Ignorable="a14" a14:legacySpreadsheetColorIndex="1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5101459</xdr:colOff>
      <xdr:row>6</xdr:row>
      <xdr:rowOff>12700</xdr:rowOff>
    </xdr:from>
    <xdr:to>
      <xdr:col>16</xdr:col>
      <xdr:colOff>5758985</xdr:colOff>
      <xdr:row>6</xdr:row>
      <xdr:rowOff>177800</xdr:rowOff>
    </xdr:to>
    <xdr:sp macro="" textlink="">
      <xdr:nvSpPr>
        <xdr:cNvPr id="164983" name="Скругленный прямоугольник 164982">
          <a:extLst>
            <a:ext uri="{FF2B5EF4-FFF2-40B4-BE49-F238E27FC236}">
              <a16:creationId xmlns:a16="http://schemas.microsoft.com/office/drawing/2014/main" id="{00000000-0008-0000-0200-000077840200}"/>
            </a:ext>
          </a:extLst>
        </xdr:cNvPr>
        <xdr:cNvSpPr/>
      </xdr:nvSpPr>
      <xdr:spPr>
        <a:xfrm>
          <a:off x="17769709" y="1384300"/>
          <a:ext cx="65752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706</a:t>
          </a:r>
        </a:p>
      </xdr:txBody>
    </xdr:sp>
    <xdr:clientData/>
  </xdr:twoCellAnchor>
  <xdr:twoCellAnchor>
    <xdr:from>
      <xdr:col>16</xdr:col>
      <xdr:colOff>0</xdr:colOff>
      <xdr:row>7</xdr:row>
      <xdr:rowOff>12700</xdr:rowOff>
    </xdr:from>
    <xdr:to>
      <xdr:col>16</xdr:col>
      <xdr:colOff>1431379</xdr:colOff>
      <xdr:row>7</xdr:row>
      <xdr:rowOff>177800</xdr:rowOff>
    </xdr:to>
    <xdr:sp macro="" textlink="">
      <xdr:nvSpPr>
        <xdr:cNvPr id="164984" name="Скругленный прямоугольник 164983">
          <a:extLst>
            <a:ext uri="{FF2B5EF4-FFF2-40B4-BE49-F238E27FC236}">
              <a16:creationId xmlns:a16="http://schemas.microsoft.com/office/drawing/2014/main" id="{00000000-0008-0000-0200-000078840200}"/>
            </a:ext>
          </a:extLst>
        </xdr:cNvPr>
        <xdr:cNvSpPr/>
      </xdr:nvSpPr>
      <xdr:spPr>
        <a:xfrm>
          <a:off x="12668250" y="1574800"/>
          <a:ext cx="14313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3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3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3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1506</a:t>
          </a:r>
        </a:p>
      </xdr:txBody>
    </xdr:sp>
    <xdr:clientData/>
  </xdr:twoCellAnchor>
  <xdr:twoCellAnchor>
    <xdr:from>
      <xdr:col>16</xdr:col>
      <xdr:colOff>1466410</xdr:colOff>
      <xdr:row>7</xdr:row>
      <xdr:rowOff>12700</xdr:rowOff>
    </xdr:from>
    <xdr:to>
      <xdr:col>16</xdr:col>
      <xdr:colOff>2801057</xdr:colOff>
      <xdr:row>7</xdr:row>
      <xdr:rowOff>177800</xdr:rowOff>
    </xdr:to>
    <xdr:sp macro="" textlink="">
      <xdr:nvSpPr>
        <xdr:cNvPr id="164985" name="Скругленный прямоугольник 164984">
          <a:extLst>
            <a:ext uri="{FF2B5EF4-FFF2-40B4-BE49-F238E27FC236}">
              <a16:creationId xmlns:a16="http://schemas.microsoft.com/office/drawing/2014/main" id="{00000000-0008-0000-0200-000079840200}"/>
            </a:ext>
          </a:extLst>
        </xdr:cNvPr>
        <xdr:cNvSpPr/>
      </xdr:nvSpPr>
      <xdr:spPr>
        <a:xfrm>
          <a:off x="14134660" y="1574800"/>
          <a:ext cx="13346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2836087</xdr:colOff>
      <xdr:row>7</xdr:row>
      <xdr:rowOff>12700</xdr:rowOff>
    </xdr:from>
    <xdr:to>
      <xdr:col>16</xdr:col>
      <xdr:colOff>4093349</xdr:colOff>
      <xdr:row>7</xdr:row>
      <xdr:rowOff>177800</xdr:rowOff>
    </xdr:to>
    <xdr:sp macro="" textlink="">
      <xdr:nvSpPr>
        <xdr:cNvPr id="164986" name="Скругленный прямоугольник 164985">
          <a:extLst>
            <a:ext uri="{FF2B5EF4-FFF2-40B4-BE49-F238E27FC236}">
              <a16:creationId xmlns:a16="http://schemas.microsoft.com/office/drawing/2014/main" id="{00000000-0008-0000-0200-00007A840200}"/>
            </a:ext>
          </a:extLst>
        </xdr:cNvPr>
        <xdr:cNvSpPr/>
      </xdr:nvSpPr>
      <xdr:spPr>
        <a:xfrm>
          <a:off x="15504337" y="1574800"/>
          <a:ext cx="125726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4128381</xdr:colOff>
      <xdr:row>7</xdr:row>
      <xdr:rowOff>12700</xdr:rowOff>
    </xdr:from>
    <xdr:to>
      <xdr:col>16</xdr:col>
      <xdr:colOff>5134139</xdr:colOff>
      <xdr:row>7</xdr:row>
      <xdr:rowOff>177800</xdr:rowOff>
    </xdr:to>
    <xdr:sp macro="" textlink="">
      <xdr:nvSpPr>
        <xdr:cNvPr id="164987" name="Скругленный прямоугольник 164986">
          <a:extLst>
            <a:ext uri="{FF2B5EF4-FFF2-40B4-BE49-F238E27FC236}">
              <a16:creationId xmlns:a16="http://schemas.microsoft.com/office/drawing/2014/main" id="{00000000-0008-0000-0200-00007B840200}"/>
            </a:ext>
          </a:extLst>
        </xdr:cNvPr>
        <xdr:cNvSpPr/>
      </xdr:nvSpPr>
      <xdr:spPr>
        <a:xfrm>
          <a:off x="16796631" y="1574800"/>
          <a:ext cx="100575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1066</a:t>
          </a:r>
        </a:p>
      </xdr:txBody>
    </xdr:sp>
    <xdr:clientData/>
  </xdr:twoCellAnchor>
  <xdr:twoCellAnchor>
    <xdr:from>
      <xdr:col>16</xdr:col>
      <xdr:colOff>5169171</xdr:colOff>
      <xdr:row>7</xdr:row>
      <xdr:rowOff>12700</xdr:rowOff>
    </xdr:from>
    <xdr:to>
      <xdr:col>16</xdr:col>
      <xdr:colOff>5758985</xdr:colOff>
      <xdr:row>7</xdr:row>
      <xdr:rowOff>177800</xdr:rowOff>
    </xdr:to>
    <xdr:sp macro="" textlink="">
      <xdr:nvSpPr>
        <xdr:cNvPr id="164988" name="Скругленный прямоугольник 164987">
          <a:extLst>
            <a:ext uri="{FF2B5EF4-FFF2-40B4-BE49-F238E27FC236}">
              <a16:creationId xmlns:a16="http://schemas.microsoft.com/office/drawing/2014/main" id="{00000000-0008-0000-0200-00007C840200}"/>
            </a:ext>
          </a:extLst>
        </xdr:cNvPr>
        <xdr:cNvSpPr/>
      </xdr:nvSpPr>
      <xdr:spPr>
        <a:xfrm>
          <a:off x="17837421" y="1574800"/>
          <a:ext cx="58981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636</a:t>
          </a:r>
        </a:p>
      </xdr:txBody>
    </xdr:sp>
    <xdr:clientData/>
  </xdr:twoCellAnchor>
  <xdr:twoCellAnchor>
    <xdr:from>
      <xdr:col>16</xdr:col>
      <xdr:colOff>0</xdr:colOff>
      <xdr:row>8</xdr:row>
      <xdr:rowOff>12700</xdr:rowOff>
    </xdr:from>
    <xdr:to>
      <xdr:col>16</xdr:col>
      <xdr:colOff>1450725</xdr:colOff>
      <xdr:row>8</xdr:row>
      <xdr:rowOff>177800</xdr:rowOff>
    </xdr:to>
    <xdr:sp macro="" textlink="">
      <xdr:nvSpPr>
        <xdr:cNvPr id="164989" name="Скругленный прямоугольник 164988">
          <a:extLst>
            <a:ext uri="{FF2B5EF4-FFF2-40B4-BE49-F238E27FC236}">
              <a16:creationId xmlns:a16="http://schemas.microsoft.com/office/drawing/2014/main" id="{00000000-0008-0000-0200-00007D840200}"/>
            </a:ext>
          </a:extLst>
        </xdr:cNvPr>
        <xdr:cNvSpPr/>
      </xdr:nvSpPr>
      <xdr:spPr>
        <a:xfrm>
          <a:off x="12668250" y="1765300"/>
          <a:ext cx="14507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3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3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3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1485756</xdr:colOff>
      <xdr:row>8</xdr:row>
      <xdr:rowOff>12700</xdr:rowOff>
    </xdr:from>
    <xdr:to>
      <xdr:col>16</xdr:col>
      <xdr:colOff>2936481</xdr:colOff>
      <xdr:row>8</xdr:row>
      <xdr:rowOff>177800</xdr:rowOff>
    </xdr:to>
    <xdr:sp macro="" textlink="">
      <xdr:nvSpPr>
        <xdr:cNvPr id="164990" name="Скругленный прямоугольник 164989">
          <a:extLst>
            <a:ext uri="{FF2B5EF4-FFF2-40B4-BE49-F238E27FC236}">
              <a16:creationId xmlns:a16="http://schemas.microsoft.com/office/drawing/2014/main" id="{00000000-0008-0000-0200-00007E840200}"/>
            </a:ext>
          </a:extLst>
        </xdr:cNvPr>
        <xdr:cNvSpPr/>
      </xdr:nvSpPr>
      <xdr:spPr>
        <a:xfrm>
          <a:off x="14154006" y="1765300"/>
          <a:ext cx="14507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3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3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3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2971512</xdr:colOff>
      <xdr:row>8</xdr:row>
      <xdr:rowOff>12700</xdr:rowOff>
    </xdr:from>
    <xdr:to>
      <xdr:col>16</xdr:col>
      <xdr:colOff>4238447</xdr:colOff>
      <xdr:row>8</xdr:row>
      <xdr:rowOff>177800</xdr:rowOff>
    </xdr:to>
    <xdr:sp macro="" textlink="">
      <xdr:nvSpPr>
        <xdr:cNvPr id="164991" name="Скругленный прямоугольник 164990">
          <a:extLst>
            <a:ext uri="{FF2B5EF4-FFF2-40B4-BE49-F238E27FC236}">
              <a16:creationId xmlns:a16="http://schemas.microsoft.com/office/drawing/2014/main" id="{00000000-0008-0000-0200-00007F840200}"/>
            </a:ext>
          </a:extLst>
        </xdr:cNvPr>
        <xdr:cNvSpPr/>
      </xdr:nvSpPr>
      <xdr:spPr>
        <a:xfrm>
          <a:off x="15639762" y="17653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4273479</xdr:colOff>
      <xdr:row>8</xdr:row>
      <xdr:rowOff>12700</xdr:rowOff>
    </xdr:from>
    <xdr:to>
      <xdr:col>16</xdr:col>
      <xdr:colOff>5085775</xdr:colOff>
      <xdr:row>8</xdr:row>
      <xdr:rowOff>177800</xdr:rowOff>
    </xdr:to>
    <xdr:sp macro="" textlink="">
      <xdr:nvSpPr>
        <xdr:cNvPr id="165024" name="Скругленный прямоугольник 165023">
          <a:extLst>
            <a:ext uri="{FF2B5EF4-FFF2-40B4-BE49-F238E27FC236}">
              <a16:creationId xmlns:a16="http://schemas.microsoft.com/office/drawing/2014/main" id="{00000000-0008-0000-0200-0000A0840200}"/>
            </a:ext>
          </a:extLst>
        </xdr:cNvPr>
        <xdr:cNvSpPr/>
      </xdr:nvSpPr>
      <xdr:spPr>
        <a:xfrm>
          <a:off x="16941729" y="1765300"/>
          <a:ext cx="81229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866</a:t>
          </a:r>
        </a:p>
      </xdr:txBody>
    </xdr:sp>
    <xdr:clientData/>
  </xdr:twoCellAnchor>
  <xdr:twoCellAnchor>
    <xdr:from>
      <xdr:col>16</xdr:col>
      <xdr:colOff>5120805</xdr:colOff>
      <xdr:row>8</xdr:row>
      <xdr:rowOff>12700</xdr:rowOff>
    </xdr:from>
    <xdr:to>
      <xdr:col>16</xdr:col>
      <xdr:colOff>5758985</xdr:colOff>
      <xdr:row>8</xdr:row>
      <xdr:rowOff>177800</xdr:rowOff>
    </xdr:to>
    <xdr:sp macro="" textlink="">
      <xdr:nvSpPr>
        <xdr:cNvPr id="165025" name="Скругленный прямоугольник 165024">
          <a:extLst>
            <a:ext uri="{FF2B5EF4-FFF2-40B4-BE49-F238E27FC236}">
              <a16:creationId xmlns:a16="http://schemas.microsoft.com/office/drawing/2014/main" id="{00000000-0008-0000-0200-0000A1840200}"/>
            </a:ext>
          </a:extLst>
        </xdr:cNvPr>
        <xdr:cNvSpPr/>
      </xdr:nvSpPr>
      <xdr:spPr>
        <a:xfrm>
          <a:off x="17789055" y="1765300"/>
          <a:ext cx="63818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686</a:t>
          </a:r>
        </a:p>
      </xdr:txBody>
    </xdr:sp>
    <xdr:clientData/>
  </xdr:twoCellAnchor>
  <xdr:twoCellAnchor>
    <xdr:from>
      <xdr:col>16</xdr:col>
      <xdr:colOff>0</xdr:colOff>
      <xdr:row>9</xdr:row>
      <xdr:rowOff>12700</xdr:rowOff>
    </xdr:from>
    <xdr:to>
      <xdr:col>16</xdr:col>
      <xdr:colOff>2243925</xdr:colOff>
      <xdr:row>9</xdr:row>
      <xdr:rowOff>177800</xdr:rowOff>
    </xdr:to>
    <xdr:sp macro="" textlink="">
      <xdr:nvSpPr>
        <xdr:cNvPr id="165026" name="Скругленный прямоугольник 165025">
          <a:extLst>
            <a:ext uri="{FF2B5EF4-FFF2-40B4-BE49-F238E27FC236}">
              <a16:creationId xmlns:a16="http://schemas.microsoft.com/office/drawing/2014/main" id="{00000000-0008-0000-0200-0000A2840200}"/>
            </a:ext>
          </a:extLst>
        </xdr:cNvPr>
        <xdr:cNvSpPr/>
      </xdr:nvSpPr>
      <xdr:spPr>
        <a:xfrm>
          <a:off x="12668250" y="1955800"/>
          <a:ext cx="22439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D7FF" mc:Ignorable="a14" a14:legacySpreadsheetColorIndex="4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ECFF" mc:Ignorable="a14" a14:legacySpreadsheetColorIndex="4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87AA" mc:Ignorable="a14" a14:legacySpreadsheetColorIndex="4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2346</a:t>
          </a:r>
        </a:p>
      </xdr:txBody>
    </xdr:sp>
    <xdr:clientData/>
  </xdr:twoCellAnchor>
  <xdr:twoCellAnchor>
    <xdr:from>
      <xdr:col>16</xdr:col>
      <xdr:colOff>2278955</xdr:colOff>
      <xdr:row>9</xdr:row>
      <xdr:rowOff>12700</xdr:rowOff>
    </xdr:from>
    <xdr:to>
      <xdr:col>16</xdr:col>
      <xdr:colOff>4358436</xdr:colOff>
      <xdr:row>9</xdr:row>
      <xdr:rowOff>177800</xdr:rowOff>
    </xdr:to>
    <xdr:sp macro="" textlink="">
      <xdr:nvSpPr>
        <xdr:cNvPr id="165027" name="Скругленный прямоугольник 165026">
          <a:extLst>
            <a:ext uri="{FF2B5EF4-FFF2-40B4-BE49-F238E27FC236}">
              <a16:creationId xmlns:a16="http://schemas.microsoft.com/office/drawing/2014/main" id="{00000000-0008-0000-0200-0000A3840200}"/>
            </a:ext>
          </a:extLst>
        </xdr:cNvPr>
        <xdr:cNvSpPr/>
      </xdr:nvSpPr>
      <xdr:spPr>
        <a:xfrm>
          <a:off x="14947205" y="1955800"/>
          <a:ext cx="207948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D7" mc:Ignorable="a14" a14:legacySpreadsheetColorIndex="4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EC" mc:Ignorable="a14" a14:legacySpreadsheetColorIndex="4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87" mc:Ignorable="a14" a14:legacySpreadsheetColorIndex="4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2176</a:t>
          </a:r>
        </a:p>
      </xdr:txBody>
    </xdr:sp>
    <xdr:clientData/>
  </xdr:twoCellAnchor>
  <xdr:twoCellAnchor>
    <xdr:from>
      <xdr:col>16</xdr:col>
      <xdr:colOff>4393468</xdr:colOff>
      <xdr:row>9</xdr:row>
      <xdr:rowOff>12700</xdr:rowOff>
    </xdr:from>
    <xdr:to>
      <xdr:col>16</xdr:col>
      <xdr:colOff>5757135</xdr:colOff>
      <xdr:row>9</xdr:row>
      <xdr:rowOff>177800</xdr:rowOff>
    </xdr:to>
    <xdr:sp macro="" textlink="">
      <xdr:nvSpPr>
        <xdr:cNvPr id="165040" name="Скругленный прямоугольник 165039">
          <a:extLst>
            <a:ext uri="{FF2B5EF4-FFF2-40B4-BE49-F238E27FC236}">
              <a16:creationId xmlns:a16="http://schemas.microsoft.com/office/drawing/2014/main" id="{00000000-0008-0000-0200-0000B0840200}"/>
            </a:ext>
          </a:extLst>
        </xdr:cNvPr>
        <xdr:cNvSpPr/>
      </xdr:nvSpPr>
      <xdr:spPr>
        <a:xfrm>
          <a:off x="17061718" y="1955800"/>
          <a:ext cx="136366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3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3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3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1436</a:t>
          </a:r>
        </a:p>
      </xdr:txBody>
    </xdr:sp>
    <xdr:clientData/>
  </xdr:twoCellAnchor>
  <xdr:twoCellAnchor>
    <xdr:from>
      <xdr:col>16</xdr:col>
      <xdr:colOff>0</xdr:colOff>
      <xdr:row>10</xdr:row>
      <xdr:rowOff>12700</xdr:rowOff>
    </xdr:from>
    <xdr:to>
      <xdr:col>16</xdr:col>
      <xdr:colOff>1450725</xdr:colOff>
      <xdr:row>10</xdr:row>
      <xdr:rowOff>177800</xdr:rowOff>
    </xdr:to>
    <xdr:sp macro="" textlink="">
      <xdr:nvSpPr>
        <xdr:cNvPr id="165041" name="Скругленный прямоугольник 165040">
          <a:extLst>
            <a:ext uri="{FF2B5EF4-FFF2-40B4-BE49-F238E27FC236}">
              <a16:creationId xmlns:a16="http://schemas.microsoft.com/office/drawing/2014/main" id="{00000000-0008-0000-0200-0000B1840200}"/>
            </a:ext>
          </a:extLst>
        </xdr:cNvPr>
        <xdr:cNvSpPr/>
      </xdr:nvSpPr>
      <xdr:spPr>
        <a:xfrm>
          <a:off x="12668250" y="2146300"/>
          <a:ext cx="14507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3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3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3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1485756</xdr:colOff>
      <xdr:row>10</xdr:row>
      <xdr:rowOff>12700</xdr:rowOff>
    </xdr:from>
    <xdr:to>
      <xdr:col>16</xdr:col>
      <xdr:colOff>2917135</xdr:colOff>
      <xdr:row>10</xdr:row>
      <xdr:rowOff>177800</xdr:rowOff>
    </xdr:to>
    <xdr:sp macro="" textlink="">
      <xdr:nvSpPr>
        <xdr:cNvPr id="165042" name="Скругленный прямоугольник 165041">
          <a:extLst>
            <a:ext uri="{FF2B5EF4-FFF2-40B4-BE49-F238E27FC236}">
              <a16:creationId xmlns:a16="http://schemas.microsoft.com/office/drawing/2014/main" id="{00000000-0008-0000-0200-0000B2840200}"/>
            </a:ext>
          </a:extLst>
        </xdr:cNvPr>
        <xdr:cNvSpPr/>
      </xdr:nvSpPr>
      <xdr:spPr>
        <a:xfrm>
          <a:off x="14154006" y="2146300"/>
          <a:ext cx="14313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3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3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3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1506</a:t>
          </a:r>
        </a:p>
      </xdr:txBody>
    </xdr:sp>
    <xdr:clientData/>
  </xdr:twoCellAnchor>
  <xdr:twoCellAnchor>
    <xdr:from>
      <xdr:col>16</xdr:col>
      <xdr:colOff>2952166</xdr:colOff>
      <xdr:row>10</xdr:row>
      <xdr:rowOff>12700</xdr:rowOff>
    </xdr:from>
    <xdr:to>
      <xdr:col>16</xdr:col>
      <xdr:colOff>4383545</xdr:colOff>
      <xdr:row>10</xdr:row>
      <xdr:rowOff>177800</xdr:rowOff>
    </xdr:to>
    <xdr:sp macro="" textlink="">
      <xdr:nvSpPr>
        <xdr:cNvPr id="165043" name="Скругленный прямоугольник 165042">
          <a:extLst>
            <a:ext uri="{FF2B5EF4-FFF2-40B4-BE49-F238E27FC236}">
              <a16:creationId xmlns:a16="http://schemas.microsoft.com/office/drawing/2014/main" id="{00000000-0008-0000-0200-0000B3840200}"/>
            </a:ext>
          </a:extLst>
        </xdr:cNvPr>
        <xdr:cNvSpPr/>
      </xdr:nvSpPr>
      <xdr:spPr>
        <a:xfrm>
          <a:off x="15620416" y="2146300"/>
          <a:ext cx="14313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3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3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3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1506</a:t>
          </a:r>
        </a:p>
      </xdr:txBody>
    </xdr:sp>
    <xdr:clientData/>
  </xdr:twoCellAnchor>
  <xdr:twoCellAnchor>
    <xdr:from>
      <xdr:col>16</xdr:col>
      <xdr:colOff>4418575</xdr:colOff>
      <xdr:row>10</xdr:row>
      <xdr:rowOff>12700</xdr:rowOff>
    </xdr:from>
    <xdr:to>
      <xdr:col>16</xdr:col>
      <xdr:colOff>5753222</xdr:colOff>
      <xdr:row>10</xdr:row>
      <xdr:rowOff>177800</xdr:rowOff>
    </xdr:to>
    <xdr:sp macro="" textlink="">
      <xdr:nvSpPr>
        <xdr:cNvPr id="165044" name="Скругленный прямоугольник 165043">
          <a:extLst>
            <a:ext uri="{FF2B5EF4-FFF2-40B4-BE49-F238E27FC236}">
              <a16:creationId xmlns:a16="http://schemas.microsoft.com/office/drawing/2014/main" id="{00000000-0008-0000-0200-0000B4840200}"/>
            </a:ext>
          </a:extLst>
        </xdr:cNvPr>
        <xdr:cNvSpPr/>
      </xdr:nvSpPr>
      <xdr:spPr>
        <a:xfrm>
          <a:off x="17086825" y="2146300"/>
          <a:ext cx="13346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0</xdr:colOff>
      <xdr:row>11</xdr:row>
      <xdr:rowOff>12700</xdr:rowOff>
    </xdr:from>
    <xdr:to>
      <xdr:col>16</xdr:col>
      <xdr:colOff>1750594</xdr:colOff>
      <xdr:row>11</xdr:row>
      <xdr:rowOff>177800</xdr:rowOff>
    </xdr:to>
    <xdr:sp macro="" textlink="">
      <xdr:nvSpPr>
        <xdr:cNvPr id="165045" name="Скругленный прямоугольник 165044">
          <a:extLst>
            <a:ext uri="{FF2B5EF4-FFF2-40B4-BE49-F238E27FC236}">
              <a16:creationId xmlns:a16="http://schemas.microsoft.com/office/drawing/2014/main" id="{00000000-0008-0000-0200-0000B5840200}"/>
            </a:ext>
          </a:extLst>
        </xdr:cNvPr>
        <xdr:cNvSpPr/>
      </xdr:nvSpPr>
      <xdr:spPr>
        <a:xfrm>
          <a:off x="12668250" y="2336800"/>
          <a:ext cx="175059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3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3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3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1836</a:t>
          </a:r>
        </a:p>
      </xdr:txBody>
    </xdr:sp>
    <xdr:clientData/>
  </xdr:twoCellAnchor>
  <xdr:twoCellAnchor>
    <xdr:from>
      <xdr:col>16</xdr:col>
      <xdr:colOff>1785624</xdr:colOff>
      <xdr:row>11</xdr:row>
      <xdr:rowOff>12700</xdr:rowOff>
    </xdr:from>
    <xdr:to>
      <xdr:col>16</xdr:col>
      <xdr:colOff>3120272</xdr:colOff>
      <xdr:row>11</xdr:row>
      <xdr:rowOff>177800</xdr:rowOff>
    </xdr:to>
    <xdr:sp macro="" textlink="">
      <xdr:nvSpPr>
        <xdr:cNvPr id="165046" name="Скругленный прямоугольник 165045">
          <a:extLst>
            <a:ext uri="{FF2B5EF4-FFF2-40B4-BE49-F238E27FC236}">
              <a16:creationId xmlns:a16="http://schemas.microsoft.com/office/drawing/2014/main" id="{00000000-0008-0000-0200-0000B6840200}"/>
            </a:ext>
          </a:extLst>
        </xdr:cNvPr>
        <xdr:cNvSpPr/>
      </xdr:nvSpPr>
      <xdr:spPr>
        <a:xfrm>
          <a:off x="14453874" y="2336800"/>
          <a:ext cx="133464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3155302</xdr:colOff>
      <xdr:row>11</xdr:row>
      <xdr:rowOff>12700</xdr:rowOff>
    </xdr:from>
    <xdr:to>
      <xdr:col>16</xdr:col>
      <xdr:colOff>4480275</xdr:colOff>
      <xdr:row>11</xdr:row>
      <xdr:rowOff>177800</xdr:rowOff>
    </xdr:to>
    <xdr:sp macro="" textlink="">
      <xdr:nvSpPr>
        <xdr:cNvPr id="165047" name="Скругленный прямоугольник 165046">
          <a:extLst>
            <a:ext uri="{FF2B5EF4-FFF2-40B4-BE49-F238E27FC236}">
              <a16:creationId xmlns:a16="http://schemas.microsoft.com/office/drawing/2014/main" id="{00000000-0008-0000-0200-0000B7840200}"/>
            </a:ext>
          </a:extLst>
        </xdr:cNvPr>
        <xdr:cNvSpPr/>
      </xdr:nvSpPr>
      <xdr:spPr>
        <a:xfrm>
          <a:off x="15823552" y="2336800"/>
          <a:ext cx="132497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1396</a:t>
          </a:r>
        </a:p>
      </xdr:txBody>
    </xdr:sp>
    <xdr:clientData/>
  </xdr:twoCellAnchor>
  <xdr:twoCellAnchor>
    <xdr:from>
      <xdr:col>16</xdr:col>
      <xdr:colOff>4515307</xdr:colOff>
      <xdr:row>11</xdr:row>
      <xdr:rowOff>12700</xdr:rowOff>
    </xdr:from>
    <xdr:to>
      <xdr:col>16</xdr:col>
      <xdr:colOff>5753222</xdr:colOff>
      <xdr:row>11</xdr:row>
      <xdr:rowOff>177800</xdr:rowOff>
    </xdr:to>
    <xdr:sp macro="" textlink="">
      <xdr:nvSpPr>
        <xdr:cNvPr id="165048" name="Скругленный прямоугольник 165047">
          <a:extLst>
            <a:ext uri="{FF2B5EF4-FFF2-40B4-BE49-F238E27FC236}">
              <a16:creationId xmlns:a16="http://schemas.microsoft.com/office/drawing/2014/main" id="{00000000-0008-0000-0200-0000B8840200}"/>
            </a:ext>
          </a:extLst>
        </xdr:cNvPr>
        <xdr:cNvSpPr/>
      </xdr:nvSpPr>
      <xdr:spPr>
        <a:xfrm>
          <a:off x="17183557" y="23368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0</xdr:colOff>
      <xdr:row>12</xdr:row>
      <xdr:rowOff>12700</xdr:rowOff>
    </xdr:from>
    <xdr:to>
      <xdr:col>16</xdr:col>
      <xdr:colOff>1818306</xdr:colOff>
      <xdr:row>12</xdr:row>
      <xdr:rowOff>177800</xdr:rowOff>
    </xdr:to>
    <xdr:sp macro="" textlink="">
      <xdr:nvSpPr>
        <xdr:cNvPr id="165049" name="Скругленный прямоугольник 165048">
          <a:extLst>
            <a:ext uri="{FF2B5EF4-FFF2-40B4-BE49-F238E27FC236}">
              <a16:creationId xmlns:a16="http://schemas.microsoft.com/office/drawing/2014/main" id="{00000000-0008-0000-0200-0000B9840200}"/>
            </a:ext>
          </a:extLst>
        </xdr:cNvPr>
        <xdr:cNvSpPr/>
      </xdr:nvSpPr>
      <xdr:spPr>
        <a:xfrm>
          <a:off x="12668250" y="2527300"/>
          <a:ext cx="181830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A4" mc:Ignorable="a14" a14:legacySpreadsheetColorIndex="3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D8" mc:Ignorable="a14" a14:legacySpreadsheetColorIndex="3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53" mc:Ignorable="a14" a14:legacySpreadsheetColorIndex="3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1906</a:t>
          </a:r>
        </a:p>
      </xdr:txBody>
    </xdr:sp>
    <xdr:clientData/>
  </xdr:twoCellAnchor>
  <xdr:twoCellAnchor>
    <xdr:from>
      <xdr:col>16</xdr:col>
      <xdr:colOff>1853336</xdr:colOff>
      <xdr:row>12</xdr:row>
      <xdr:rowOff>12700</xdr:rowOff>
    </xdr:from>
    <xdr:to>
      <xdr:col>16</xdr:col>
      <xdr:colOff>3178310</xdr:colOff>
      <xdr:row>12</xdr:row>
      <xdr:rowOff>177800</xdr:rowOff>
    </xdr:to>
    <xdr:sp macro="" textlink="">
      <xdr:nvSpPr>
        <xdr:cNvPr id="165050" name="Скругленный прямоугольник 165049">
          <a:extLst>
            <a:ext uri="{FF2B5EF4-FFF2-40B4-BE49-F238E27FC236}">
              <a16:creationId xmlns:a16="http://schemas.microsoft.com/office/drawing/2014/main" id="{00000000-0008-0000-0200-0000BA840200}"/>
            </a:ext>
          </a:extLst>
        </xdr:cNvPr>
        <xdr:cNvSpPr/>
      </xdr:nvSpPr>
      <xdr:spPr>
        <a:xfrm>
          <a:off x="14521586" y="2527300"/>
          <a:ext cx="132497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1396</a:t>
          </a:r>
        </a:p>
      </xdr:txBody>
    </xdr:sp>
    <xdr:clientData/>
  </xdr:twoCellAnchor>
  <xdr:twoCellAnchor>
    <xdr:from>
      <xdr:col>16</xdr:col>
      <xdr:colOff>3213342</xdr:colOff>
      <xdr:row>12</xdr:row>
      <xdr:rowOff>12700</xdr:rowOff>
    </xdr:from>
    <xdr:to>
      <xdr:col>16</xdr:col>
      <xdr:colOff>4480277</xdr:colOff>
      <xdr:row>12</xdr:row>
      <xdr:rowOff>177800</xdr:rowOff>
    </xdr:to>
    <xdr:sp macro="" textlink="">
      <xdr:nvSpPr>
        <xdr:cNvPr id="165051" name="Скругленный прямоугольник 165050">
          <a:extLst>
            <a:ext uri="{FF2B5EF4-FFF2-40B4-BE49-F238E27FC236}">
              <a16:creationId xmlns:a16="http://schemas.microsoft.com/office/drawing/2014/main" id="{00000000-0008-0000-0200-0000BB840200}"/>
            </a:ext>
          </a:extLst>
        </xdr:cNvPr>
        <xdr:cNvSpPr/>
      </xdr:nvSpPr>
      <xdr:spPr>
        <a:xfrm>
          <a:off x="15881592" y="25273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4515307</xdr:colOff>
      <xdr:row>12</xdr:row>
      <xdr:rowOff>12700</xdr:rowOff>
    </xdr:from>
    <xdr:to>
      <xdr:col>16</xdr:col>
      <xdr:colOff>5753222</xdr:colOff>
      <xdr:row>12</xdr:row>
      <xdr:rowOff>177800</xdr:rowOff>
    </xdr:to>
    <xdr:sp macro="" textlink="">
      <xdr:nvSpPr>
        <xdr:cNvPr id="165052" name="Скругленный прямоугольник 165051">
          <a:extLst>
            <a:ext uri="{FF2B5EF4-FFF2-40B4-BE49-F238E27FC236}">
              <a16:creationId xmlns:a16="http://schemas.microsoft.com/office/drawing/2014/main" id="{00000000-0008-0000-0200-0000BC840200}"/>
            </a:ext>
          </a:extLst>
        </xdr:cNvPr>
        <xdr:cNvSpPr/>
      </xdr:nvSpPr>
      <xdr:spPr>
        <a:xfrm>
          <a:off x="17183557" y="25273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0</xdr:colOff>
      <xdr:row>13</xdr:row>
      <xdr:rowOff>12700</xdr:rowOff>
    </xdr:from>
    <xdr:to>
      <xdr:col>16</xdr:col>
      <xdr:colOff>1973076</xdr:colOff>
      <xdr:row>13</xdr:row>
      <xdr:rowOff>177800</xdr:rowOff>
    </xdr:to>
    <xdr:sp macro="" textlink="">
      <xdr:nvSpPr>
        <xdr:cNvPr id="165053" name="Скругленный прямоугольник 165052">
          <a:extLst>
            <a:ext uri="{FF2B5EF4-FFF2-40B4-BE49-F238E27FC236}">
              <a16:creationId xmlns:a16="http://schemas.microsoft.com/office/drawing/2014/main" id="{00000000-0008-0000-0200-0000BD840200}"/>
            </a:ext>
          </a:extLst>
        </xdr:cNvPr>
        <xdr:cNvSpPr/>
      </xdr:nvSpPr>
      <xdr:spPr>
        <a:xfrm>
          <a:off x="12668250" y="2717800"/>
          <a:ext cx="197307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3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3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3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2066</a:t>
          </a:r>
        </a:p>
      </xdr:txBody>
    </xdr:sp>
    <xdr:clientData/>
  </xdr:twoCellAnchor>
  <xdr:twoCellAnchor>
    <xdr:from>
      <xdr:col>16</xdr:col>
      <xdr:colOff>2008107</xdr:colOff>
      <xdr:row>13</xdr:row>
      <xdr:rowOff>12700</xdr:rowOff>
    </xdr:from>
    <xdr:to>
      <xdr:col>16</xdr:col>
      <xdr:colOff>3352428</xdr:colOff>
      <xdr:row>13</xdr:row>
      <xdr:rowOff>177800</xdr:rowOff>
    </xdr:to>
    <xdr:sp macro="" textlink="">
      <xdr:nvSpPr>
        <xdr:cNvPr id="165054" name="Скругленный прямоугольник 165053">
          <a:extLst>
            <a:ext uri="{FF2B5EF4-FFF2-40B4-BE49-F238E27FC236}">
              <a16:creationId xmlns:a16="http://schemas.microsoft.com/office/drawing/2014/main" id="{00000000-0008-0000-0200-0000BE840200}"/>
            </a:ext>
          </a:extLst>
        </xdr:cNvPr>
        <xdr:cNvSpPr/>
      </xdr:nvSpPr>
      <xdr:spPr>
        <a:xfrm>
          <a:off x="14676357" y="2717800"/>
          <a:ext cx="134432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D7FF" mc:Ignorable="a14" a14:legacySpreadsheetColorIndex="3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ECFF" mc:Ignorable="a14" a14:legacySpreadsheetColorIndex="3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87AA" mc:Ignorable="a14" a14:legacySpreadsheetColorIndex="3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1416</a:t>
          </a:r>
        </a:p>
      </xdr:txBody>
    </xdr:sp>
    <xdr:clientData/>
  </xdr:twoCellAnchor>
  <xdr:twoCellAnchor>
    <xdr:from>
      <xdr:col>16</xdr:col>
      <xdr:colOff>3387458</xdr:colOff>
      <xdr:row>13</xdr:row>
      <xdr:rowOff>12700</xdr:rowOff>
    </xdr:from>
    <xdr:to>
      <xdr:col>16</xdr:col>
      <xdr:colOff>4712432</xdr:colOff>
      <xdr:row>13</xdr:row>
      <xdr:rowOff>177800</xdr:rowOff>
    </xdr:to>
    <xdr:sp macro="" textlink="">
      <xdr:nvSpPr>
        <xdr:cNvPr id="165055" name="Скругленный прямоугольник 165054">
          <a:extLst>
            <a:ext uri="{FF2B5EF4-FFF2-40B4-BE49-F238E27FC236}">
              <a16:creationId xmlns:a16="http://schemas.microsoft.com/office/drawing/2014/main" id="{00000000-0008-0000-0200-0000BF840200}"/>
            </a:ext>
          </a:extLst>
        </xdr:cNvPr>
        <xdr:cNvSpPr/>
      </xdr:nvSpPr>
      <xdr:spPr>
        <a:xfrm>
          <a:off x="16055708" y="2717800"/>
          <a:ext cx="132497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1396</a:t>
          </a:r>
        </a:p>
      </xdr:txBody>
    </xdr:sp>
    <xdr:clientData/>
  </xdr:twoCellAnchor>
  <xdr:twoCellAnchor>
    <xdr:from>
      <xdr:col>16</xdr:col>
      <xdr:colOff>4747464</xdr:colOff>
      <xdr:row>13</xdr:row>
      <xdr:rowOff>12700</xdr:rowOff>
    </xdr:from>
    <xdr:to>
      <xdr:col>16</xdr:col>
      <xdr:colOff>5753224</xdr:colOff>
      <xdr:row>13</xdr:row>
      <xdr:rowOff>177800</xdr:rowOff>
    </xdr:to>
    <xdr:sp macro="" textlink="">
      <xdr:nvSpPr>
        <xdr:cNvPr id="165056" name="Скругленный прямоугольник 165055">
          <a:extLst>
            <a:ext uri="{FF2B5EF4-FFF2-40B4-BE49-F238E27FC236}">
              <a16:creationId xmlns:a16="http://schemas.microsoft.com/office/drawing/2014/main" id="{00000000-0008-0000-0200-0000C0840200}"/>
            </a:ext>
          </a:extLst>
        </xdr:cNvPr>
        <xdr:cNvSpPr/>
      </xdr:nvSpPr>
      <xdr:spPr>
        <a:xfrm>
          <a:off x="17415714" y="2717800"/>
          <a:ext cx="100576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1066</a:t>
          </a:r>
        </a:p>
      </xdr:txBody>
    </xdr:sp>
    <xdr:clientData/>
  </xdr:twoCellAnchor>
  <xdr:twoCellAnchor>
    <xdr:from>
      <xdr:col>16</xdr:col>
      <xdr:colOff>0</xdr:colOff>
      <xdr:row>14</xdr:row>
      <xdr:rowOff>12700</xdr:rowOff>
    </xdr:from>
    <xdr:to>
      <xdr:col>16</xdr:col>
      <xdr:colOff>1992423</xdr:colOff>
      <xdr:row>14</xdr:row>
      <xdr:rowOff>177800</xdr:rowOff>
    </xdr:to>
    <xdr:sp macro="" textlink="">
      <xdr:nvSpPr>
        <xdr:cNvPr id="165057" name="Скругленный прямоугольник 165056">
          <a:extLst>
            <a:ext uri="{FF2B5EF4-FFF2-40B4-BE49-F238E27FC236}">
              <a16:creationId xmlns:a16="http://schemas.microsoft.com/office/drawing/2014/main" id="{00000000-0008-0000-0200-0000C1840200}"/>
            </a:ext>
          </a:extLst>
        </xdr:cNvPr>
        <xdr:cNvSpPr/>
      </xdr:nvSpPr>
      <xdr:spPr>
        <a:xfrm>
          <a:off x="12668250" y="2908300"/>
          <a:ext cx="199242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A4" mc:Ignorable="a14" a14:legacySpreadsheetColorIndex="3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D8" mc:Ignorable="a14" a14:legacySpreadsheetColorIndex="3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53" mc:Ignorable="a14" a14:legacySpreadsheetColorIndex="3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2086</a:t>
          </a:r>
        </a:p>
      </xdr:txBody>
    </xdr:sp>
    <xdr:clientData/>
  </xdr:twoCellAnchor>
  <xdr:twoCellAnchor>
    <xdr:from>
      <xdr:col>16</xdr:col>
      <xdr:colOff>2027453</xdr:colOff>
      <xdr:row>14</xdr:row>
      <xdr:rowOff>12700</xdr:rowOff>
    </xdr:from>
    <xdr:to>
      <xdr:col>16</xdr:col>
      <xdr:colOff>3352426</xdr:colOff>
      <xdr:row>14</xdr:row>
      <xdr:rowOff>177800</xdr:rowOff>
    </xdr:to>
    <xdr:sp macro="" textlink="">
      <xdr:nvSpPr>
        <xdr:cNvPr id="165058" name="Скругленный прямоугольник 165057">
          <a:extLst>
            <a:ext uri="{FF2B5EF4-FFF2-40B4-BE49-F238E27FC236}">
              <a16:creationId xmlns:a16="http://schemas.microsoft.com/office/drawing/2014/main" id="{00000000-0008-0000-0200-0000C2840200}"/>
            </a:ext>
          </a:extLst>
        </xdr:cNvPr>
        <xdr:cNvSpPr/>
      </xdr:nvSpPr>
      <xdr:spPr>
        <a:xfrm>
          <a:off x="14695703" y="2908300"/>
          <a:ext cx="132497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1396</a:t>
          </a:r>
        </a:p>
      </xdr:txBody>
    </xdr:sp>
    <xdr:clientData/>
  </xdr:twoCellAnchor>
  <xdr:twoCellAnchor>
    <xdr:from>
      <xdr:col>16</xdr:col>
      <xdr:colOff>3387458</xdr:colOff>
      <xdr:row>14</xdr:row>
      <xdr:rowOff>12700</xdr:rowOff>
    </xdr:from>
    <xdr:to>
      <xdr:col>16</xdr:col>
      <xdr:colOff>4654393</xdr:colOff>
      <xdr:row>14</xdr:row>
      <xdr:rowOff>177800</xdr:rowOff>
    </xdr:to>
    <xdr:sp macro="" textlink="">
      <xdr:nvSpPr>
        <xdr:cNvPr id="165059" name="Скругленный прямоугольник 165058">
          <a:extLst>
            <a:ext uri="{FF2B5EF4-FFF2-40B4-BE49-F238E27FC236}">
              <a16:creationId xmlns:a16="http://schemas.microsoft.com/office/drawing/2014/main" id="{00000000-0008-0000-0200-0000C3840200}"/>
            </a:ext>
          </a:extLst>
        </xdr:cNvPr>
        <xdr:cNvSpPr/>
      </xdr:nvSpPr>
      <xdr:spPr>
        <a:xfrm>
          <a:off x="16055708" y="29083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4689424</xdr:colOff>
      <xdr:row>14</xdr:row>
      <xdr:rowOff>12700</xdr:rowOff>
    </xdr:from>
    <xdr:to>
      <xdr:col>16</xdr:col>
      <xdr:colOff>5753222</xdr:colOff>
      <xdr:row>14</xdr:row>
      <xdr:rowOff>177800</xdr:rowOff>
    </xdr:to>
    <xdr:sp macro="" textlink="">
      <xdr:nvSpPr>
        <xdr:cNvPr id="165060" name="Скругленный прямоугольник 165059">
          <a:extLst>
            <a:ext uri="{FF2B5EF4-FFF2-40B4-BE49-F238E27FC236}">
              <a16:creationId xmlns:a16="http://schemas.microsoft.com/office/drawing/2014/main" id="{00000000-0008-0000-0200-0000C4840200}"/>
            </a:ext>
          </a:extLst>
        </xdr:cNvPr>
        <xdr:cNvSpPr/>
      </xdr:nvSpPr>
      <xdr:spPr>
        <a:xfrm>
          <a:off x="17357674" y="2908300"/>
          <a:ext cx="106379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1126</a:t>
          </a:r>
        </a:p>
      </xdr:txBody>
    </xdr:sp>
    <xdr:clientData/>
  </xdr:twoCellAnchor>
  <xdr:twoCellAnchor>
    <xdr:from>
      <xdr:col>16</xdr:col>
      <xdr:colOff>0</xdr:colOff>
      <xdr:row>15</xdr:row>
      <xdr:rowOff>12700</xdr:rowOff>
    </xdr:from>
    <xdr:to>
      <xdr:col>16</xdr:col>
      <xdr:colOff>2011769</xdr:colOff>
      <xdr:row>15</xdr:row>
      <xdr:rowOff>177800</xdr:rowOff>
    </xdr:to>
    <xdr:sp macro="" textlink="">
      <xdr:nvSpPr>
        <xdr:cNvPr id="165061" name="Скругленный прямоугольник 165060">
          <a:extLst>
            <a:ext uri="{FF2B5EF4-FFF2-40B4-BE49-F238E27FC236}">
              <a16:creationId xmlns:a16="http://schemas.microsoft.com/office/drawing/2014/main" id="{00000000-0008-0000-0200-0000C5840200}"/>
            </a:ext>
          </a:extLst>
        </xdr:cNvPr>
        <xdr:cNvSpPr/>
      </xdr:nvSpPr>
      <xdr:spPr>
        <a:xfrm>
          <a:off x="12668250" y="3098800"/>
          <a:ext cx="201176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3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3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3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2106</a:t>
          </a:r>
        </a:p>
      </xdr:txBody>
    </xdr:sp>
    <xdr:clientData/>
  </xdr:twoCellAnchor>
  <xdr:twoCellAnchor>
    <xdr:from>
      <xdr:col>16</xdr:col>
      <xdr:colOff>2046799</xdr:colOff>
      <xdr:row>15</xdr:row>
      <xdr:rowOff>12700</xdr:rowOff>
    </xdr:from>
    <xdr:to>
      <xdr:col>16</xdr:col>
      <xdr:colOff>3352426</xdr:colOff>
      <xdr:row>15</xdr:row>
      <xdr:rowOff>177800</xdr:rowOff>
    </xdr:to>
    <xdr:sp macro="" textlink="">
      <xdr:nvSpPr>
        <xdr:cNvPr id="165062" name="Скругленный прямоугольник 165061">
          <a:extLst>
            <a:ext uri="{FF2B5EF4-FFF2-40B4-BE49-F238E27FC236}">
              <a16:creationId xmlns:a16="http://schemas.microsoft.com/office/drawing/2014/main" id="{00000000-0008-0000-0200-0000C6840200}"/>
            </a:ext>
          </a:extLst>
        </xdr:cNvPr>
        <xdr:cNvSpPr/>
      </xdr:nvSpPr>
      <xdr:spPr>
        <a:xfrm>
          <a:off x="14715049" y="3098800"/>
          <a:ext cx="130562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7C96" mc:Ignorable="a14" a14:legacySpreadsheetColorIndex="2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CBD3" mc:Ignorable="a14" a14:legacySpreadsheetColorIndex="2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0041" mc:Ignorable="a14" a14:legacySpreadsheetColorIndex="2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1376</a:t>
          </a:r>
        </a:p>
      </xdr:txBody>
    </xdr:sp>
    <xdr:clientData/>
  </xdr:twoCellAnchor>
  <xdr:twoCellAnchor>
    <xdr:from>
      <xdr:col>16</xdr:col>
      <xdr:colOff>3387458</xdr:colOff>
      <xdr:row>15</xdr:row>
      <xdr:rowOff>12700</xdr:rowOff>
    </xdr:from>
    <xdr:to>
      <xdr:col>16</xdr:col>
      <xdr:colOff>4644720</xdr:colOff>
      <xdr:row>15</xdr:row>
      <xdr:rowOff>177800</xdr:rowOff>
    </xdr:to>
    <xdr:sp macro="" textlink="">
      <xdr:nvSpPr>
        <xdr:cNvPr id="165063" name="Скругленный прямоугольник 165062">
          <a:extLst>
            <a:ext uri="{FF2B5EF4-FFF2-40B4-BE49-F238E27FC236}">
              <a16:creationId xmlns:a16="http://schemas.microsoft.com/office/drawing/2014/main" id="{00000000-0008-0000-0200-0000C7840200}"/>
            </a:ext>
          </a:extLst>
        </xdr:cNvPr>
        <xdr:cNvSpPr/>
      </xdr:nvSpPr>
      <xdr:spPr>
        <a:xfrm>
          <a:off x="16055708" y="3098800"/>
          <a:ext cx="125726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4679752</xdr:colOff>
      <xdr:row>15</xdr:row>
      <xdr:rowOff>12700</xdr:rowOff>
    </xdr:from>
    <xdr:to>
      <xdr:col>16</xdr:col>
      <xdr:colOff>5753224</xdr:colOff>
      <xdr:row>15</xdr:row>
      <xdr:rowOff>177800</xdr:rowOff>
    </xdr:to>
    <xdr:sp macro="" textlink="">
      <xdr:nvSpPr>
        <xdr:cNvPr id="165064" name="Скругленный прямоугольник 165063">
          <a:extLst>
            <a:ext uri="{FF2B5EF4-FFF2-40B4-BE49-F238E27FC236}">
              <a16:creationId xmlns:a16="http://schemas.microsoft.com/office/drawing/2014/main" id="{00000000-0008-0000-0200-0000C8840200}"/>
            </a:ext>
          </a:extLst>
        </xdr:cNvPr>
        <xdr:cNvSpPr/>
      </xdr:nvSpPr>
      <xdr:spPr>
        <a:xfrm>
          <a:off x="17348002" y="3098800"/>
          <a:ext cx="107347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1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1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1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1136</a:t>
          </a:r>
        </a:p>
      </xdr:txBody>
    </xdr:sp>
    <xdr:clientData/>
  </xdr:twoCellAnchor>
  <xdr:twoCellAnchor>
    <xdr:from>
      <xdr:col>16</xdr:col>
      <xdr:colOff>0</xdr:colOff>
      <xdr:row>16</xdr:row>
      <xdr:rowOff>12700</xdr:rowOff>
    </xdr:from>
    <xdr:to>
      <xdr:col>16</xdr:col>
      <xdr:colOff>2040789</xdr:colOff>
      <xdr:row>16</xdr:row>
      <xdr:rowOff>177800</xdr:rowOff>
    </xdr:to>
    <xdr:sp macro="" textlink="">
      <xdr:nvSpPr>
        <xdr:cNvPr id="165065" name="Скругленный прямоугольник 165064">
          <a:extLst>
            <a:ext uri="{FF2B5EF4-FFF2-40B4-BE49-F238E27FC236}">
              <a16:creationId xmlns:a16="http://schemas.microsoft.com/office/drawing/2014/main" id="{00000000-0008-0000-0200-0000C9840200}"/>
            </a:ext>
          </a:extLst>
        </xdr:cNvPr>
        <xdr:cNvSpPr/>
      </xdr:nvSpPr>
      <xdr:spPr>
        <a:xfrm>
          <a:off x="12668250" y="3289300"/>
          <a:ext cx="20407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FF" mc:Ignorable="a14" a14:legacySpreadsheetColorIndex="4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FF" mc:Ignorable="a14" a14:legacySpreadsheetColorIndex="4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AA" mc:Ignorable="a14" a14:legacySpreadsheetColorIndex="4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2136</a:t>
          </a:r>
        </a:p>
      </xdr:txBody>
    </xdr:sp>
    <xdr:clientData/>
  </xdr:twoCellAnchor>
  <xdr:twoCellAnchor>
    <xdr:from>
      <xdr:col>16</xdr:col>
      <xdr:colOff>2075819</xdr:colOff>
      <xdr:row>16</xdr:row>
      <xdr:rowOff>12700</xdr:rowOff>
    </xdr:from>
    <xdr:to>
      <xdr:col>16</xdr:col>
      <xdr:colOff>3410466</xdr:colOff>
      <xdr:row>16</xdr:row>
      <xdr:rowOff>177800</xdr:rowOff>
    </xdr:to>
    <xdr:sp macro="" textlink="">
      <xdr:nvSpPr>
        <xdr:cNvPr id="165066" name="Скругленный прямоугольник 165065">
          <a:extLst>
            <a:ext uri="{FF2B5EF4-FFF2-40B4-BE49-F238E27FC236}">
              <a16:creationId xmlns:a16="http://schemas.microsoft.com/office/drawing/2014/main" id="{00000000-0008-0000-0200-0000CA840200}"/>
            </a:ext>
          </a:extLst>
        </xdr:cNvPr>
        <xdr:cNvSpPr/>
      </xdr:nvSpPr>
      <xdr:spPr>
        <a:xfrm>
          <a:off x="14744069" y="3289300"/>
          <a:ext cx="13346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3445497</xdr:colOff>
      <xdr:row>16</xdr:row>
      <xdr:rowOff>12700</xdr:rowOff>
    </xdr:from>
    <xdr:to>
      <xdr:col>16</xdr:col>
      <xdr:colOff>4712432</xdr:colOff>
      <xdr:row>16</xdr:row>
      <xdr:rowOff>177800</xdr:rowOff>
    </xdr:to>
    <xdr:sp macro="" textlink="">
      <xdr:nvSpPr>
        <xdr:cNvPr id="165067" name="Скругленный прямоугольник 165066">
          <a:extLst>
            <a:ext uri="{FF2B5EF4-FFF2-40B4-BE49-F238E27FC236}">
              <a16:creationId xmlns:a16="http://schemas.microsoft.com/office/drawing/2014/main" id="{00000000-0008-0000-0200-0000CB840200}"/>
            </a:ext>
          </a:extLst>
        </xdr:cNvPr>
        <xdr:cNvSpPr/>
      </xdr:nvSpPr>
      <xdr:spPr>
        <a:xfrm>
          <a:off x="16113747" y="32893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4747464</xdr:colOff>
      <xdr:row>16</xdr:row>
      <xdr:rowOff>12700</xdr:rowOff>
    </xdr:from>
    <xdr:to>
      <xdr:col>16</xdr:col>
      <xdr:colOff>5753224</xdr:colOff>
      <xdr:row>16</xdr:row>
      <xdr:rowOff>177800</xdr:rowOff>
    </xdr:to>
    <xdr:sp macro="" textlink="">
      <xdr:nvSpPr>
        <xdr:cNvPr id="165068" name="Скругленный прямоугольник 165067">
          <a:extLst>
            <a:ext uri="{FF2B5EF4-FFF2-40B4-BE49-F238E27FC236}">
              <a16:creationId xmlns:a16="http://schemas.microsoft.com/office/drawing/2014/main" id="{00000000-0008-0000-0200-0000CC840200}"/>
            </a:ext>
          </a:extLst>
        </xdr:cNvPr>
        <xdr:cNvSpPr/>
      </xdr:nvSpPr>
      <xdr:spPr>
        <a:xfrm>
          <a:off x="17415714" y="3289300"/>
          <a:ext cx="100576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1066</a:t>
          </a:r>
        </a:p>
      </xdr:txBody>
    </xdr:sp>
    <xdr:clientData/>
  </xdr:twoCellAnchor>
  <xdr:twoCellAnchor>
    <xdr:from>
      <xdr:col>16</xdr:col>
      <xdr:colOff>0</xdr:colOff>
      <xdr:row>17</xdr:row>
      <xdr:rowOff>12700</xdr:rowOff>
    </xdr:from>
    <xdr:to>
      <xdr:col>16</xdr:col>
      <xdr:colOff>2185885</xdr:colOff>
      <xdr:row>17</xdr:row>
      <xdr:rowOff>177800</xdr:rowOff>
    </xdr:to>
    <xdr:sp macro="" textlink="">
      <xdr:nvSpPr>
        <xdr:cNvPr id="165069" name="Скругленный прямоугольник 165068">
          <a:extLst>
            <a:ext uri="{FF2B5EF4-FFF2-40B4-BE49-F238E27FC236}">
              <a16:creationId xmlns:a16="http://schemas.microsoft.com/office/drawing/2014/main" id="{00000000-0008-0000-0200-0000CD840200}"/>
            </a:ext>
          </a:extLst>
        </xdr:cNvPr>
        <xdr:cNvSpPr/>
      </xdr:nvSpPr>
      <xdr:spPr>
        <a:xfrm>
          <a:off x="12668250" y="3479800"/>
          <a:ext cx="218588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B4" mc:Ignorable="a14" a14:legacySpreadsheetColorIndex="4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DE" mc:Ignorable="a14" a14:legacySpreadsheetColorIndex="4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64" mc:Ignorable="a14" a14:legacySpreadsheetColorIndex="4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2286</a:t>
          </a:r>
        </a:p>
      </xdr:txBody>
    </xdr:sp>
    <xdr:clientData/>
  </xdr:twoCellAnchor>
  <xdr:twoCellAnchor>
    <xdr:from>
      <xdr:col>16</xdr:col>
      <xdr:colOff>2220917</xdr:colOff>
      <xdr:row>17</xdr:row>
      <xdr:rowOff>12700</xdr:rowOff>
    </xdr:from>
    <xdr:to>
      <xdr:col>16</xdr:col>
      <xdr:colOff>4252032</xdr:colOff>
      <xdr:row>17</xdr:row>
      <xdr:rowOff>177800</xdr:rowOff>
    </xdr:to>
    <xdr:sp macro="" textlink="">
      <xdr:nvSpPr>
        <xdr:cNvPr id="165070" name="Скругленный прямоугольник 165069">
          <a:extLst>
            <a:ext uri="{FF2B5EF4-FFF2-40B4-BE49-F238E27FC236}">
              <a16:creationId xmlns:a16="http://schemas.microsoft.com/office/drawing/2014/main" id="{00000000-0008-0000-0200-0000CE840200}"/>
            </a:ext>
          </a:extLst>
        </xdr:cNvPr>
        <xdr:cNvSpPr/>
      </xdr:nvSpPr>
      <xdr:spPr>
        <a:xfrm>
          <a:off x="14889167" y="3479800"/>
          <a:ext cx="20311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D7FF" mc:Ignorable="a14" a14:legacySpreadsheetColorIndex="4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ECFF" mc:Ignorable="a14" a14:legacySpreadsheetColorIndex="4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87AA" mc:Ignorable="a14" a14:legacySpreadsheetColorIndex="4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2126</a:t>
          </a:r>
        </a:p>
      </xdr:txBody>
    </xdr:sp>
    <xdr:clientData/>
  </xdr:twoCellAnchor>
  <xdr:twoCellAnchor>
    <xdr:from>
      <xdr:col>16</xdr:col>
      <xdr:colOff>4287062</xdr:colOff>
      <xdr:row>17</xdr:row>
      <xdr:rowOff>12700</xdr:rowOff>
    </xdr:from>
    <xdr:to>
      <xdr:col>16</xdr:col>
      <xdr:colOff>5737788</xdr:colOff>
      <xdr:row>17</xdr:row>
      <xdr:rowOff>177800</xdr:rowOff>
    </xdr:to>
    <xdr:sp macro="" textlink="">
      <xdr:nvSpPr>
        <xdr:cNvPr id="165071" name="Скругленный прямоугольник 165070">
          <a:extLst>
            <a:ext uri="{FF2B5EF4-FFF2-40B4-BE49-F238E27FC236}">
              <a16:creationId xmlns:a16="http://schemas.microsoft.com/office/drawing/2014/main" id="{00000000-0008-0000-0200-0000CF840200}"/>
            </a:ext>
          </a:extLst>
        </xdr:cNvPr>
        <xdr:cNvSpPr/>
      </xdr:nvSpPr>
      <xdr:spPr>
        <a:xfrm>
          <a:off x="16955312" y="3479800"/>
          <a:ext cx="145072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3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3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3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44825</xdr:colOff>
      <xdr:row>17</xdr:row>
      <xdr:rowOff>150420</xdr:rowOff>
    </xdr:from>
    <xdr:to>
      <xdr:col>3</xdr:col>
      <xdr:colOff>307043</xdr:colOff>
      <xdr:row>19</xdr:row>
      <xdr:rowOff>76200</xdr:rowOff>
    </xdr:to>
    <xdr:sp macro="[0]!Raskroy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25800" y="3617520"/>
          <a:ext cx="1214718" cy="30678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Расчет</a:t>
          </a:r>
          <a:r>
            <a:rPr lang="en-US" sz="1100"/>
            <a:t> DP</a:t>
          </a:r>
          <a:endParaRPr lang="ru-RU" sz="1100"/>
        </a:p>
      </xdr:txBody>
    </xdr:sp>
    <xdr:clientData fPrintsWithSheet="0"/>
  </xdr:twoCellAnchor>
  <xdr:twoCellAnchor>
    <xdr:from>
      <xdr:col>3</xdr:col>
      <xdr:colOff>472817</xdr:colOff>
      <xdr:row>17</xdr:row>
      <xdr:rowOff>150420</xdr:rowOff>
    </xdr:from>
    <xdr:to>
      <xdr:col>4</xdr:col>
      <xdr:colOff>735035</xdr:colOff>
      <xdr:row>19</xdr:row>
      <xdr:rowOff>76200</xdr:rowOff>
    </xdr:to>
    <xdr:sp macro="[0]!ClearData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606292" y="3617520"/>
          <a:ext cx="1214718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Очистить все</a:t>
          </a:r>
        </a:p>
      </xdr:txBody>
    </xdr:sp>
    <xdr:clientData fPrintsWithSheet="0"/>
  </xdr:twoCellAnchor>
  <xdr:twoCellAnchor>
    <xdr:from>
      <xdr:col>4</xdr:col>
      <xdr:colOff>924205</xdr:colOff>
      <xdr:row>17</xdr:row>
      <xdr:rowOff>150420</xdr:rowOff>
    </xdr:from>
    <xdr:to>
      <xdr:col>7</xdr:col>
      <xdr:colOff>21011</xdr:colOff>
      <xdr:row>19</xdr:row>
      <xdr:rowOff>76200</xdr:rowOff>
    </xdr:to>
    <xdr:sp macro="[0]!OutGraph" textlink="">
      <xdr:nvSpPr>
        <xdr:cNvPr id="4" name="Скругленный 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010180" y="3617520"/>
          <a:ext cx="1220881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Отобразить</a:t>
          </a:r>
        </a:p>
      </xdr:txBody>
    </xdr:sp>
    <xdr:clientData fPrintsWithSheet="0"/>
  </xdr:twoCellAnchor>
  <xdr:twoCellAnchor>
    <xdr:from>
      <xdr:col>7</xdr:col>
      <xdr:colOff>197224</xdr:colOff>
      <xdr:row>17</xdr:row>
      <xdr:rowOff>150420</xdr:rowOff>
    </xdr:from>
    <xdr:to>
      <xdr:col>8</xdr:col>
      <xdr:colOff>806824</xdr:colOff>
      <xdr:row>19</xdr:row>
      <xdr:rowOff>76200</xdr:rowOff>
    </xdr:to>
    <xdr:sp macro="[0]!Export2PDF" textlink="">
      <xdr:nvSpPr>
        <xdr:cNvPr id="5" name="Скругленный прямоугольник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407274" y="3617520"/>
          <a:ext cx="1209675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Экспорт в </a:t>
          </a:r>
          <a:r>
            <a:rPr lang="en-US" sz="1100"/>
            <a:t>PDF</a:t>
          </a:r>
          <a:endParaRPr lang="ru-RU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13</xdr:row>
          <xdr:rowOff>180975</xdr:rowOff>
        </xdr:from>
        <xdr:to>
          <xdr:col>9</xdr:col>
          <xdr:colOff>9525</xdr:colOff>
          <xdr:row>15</xdr:row>
          <xdr:rowOff>0</xdr:rowOff>
        </xdr:to>
        <xdr:sp macro="" textlink="">
          <xdr:nvSpPr>
            <xdr:cNvPr id="165889" name="Drop Down 1" hidden="1">
              <a:extLst>
                <a:ext uri="{63B3BB69-23CF-44E3-9099-C40C66FF867C}">
                  <a14:compatExt spid="_x0000_s165889"/>
                </a:ext>
                <a:ext uri="{FF2B5EF4-FFF2-40B4-BE49-F238E27FC236}">
                  <a16:creationId xmlns:a16="http://schemas.microsoft.com/office/drawing/2014/main" id="{00000000-0008-0000-0300-0000018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13</xdr:row>
          <xdr:rowOff>161925</xdr:rowOff>
        </xdr:from>
        <xdr:to>
          <xdr:col>5</xdr:col>
          <xdr:colOff>981075</xdr:colOff>
          <xdr:row>15</xdr:row>
          <xdr:rowOff>0</xdr:rowOff>
        </xdr:to>
        <xdr:sp macro="" textlink="">
          <xdr:nvSpPr>
            <xdr:cNvPr id="165890" name="Check Box 2" hidden="1">
              <a:extLst>
                <a:ext uri="{63B3BB69-23CF-44E3-9099-C40C66FF867C}">
                  <a14:compatExt spid="_x0000_s165890"/>
                </a:ext>
                <a:ext uri="{FF2B5EF4-FFF2-40B4-BE49-F238E27FC236}">
                  <a16:creationId xmlns:a16="http://schemas.microsoft.com/office/drawing/2014/main" id="{00000000-0008-0000-0300-0000028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Группировать решение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14</xdr:row>
          <xdr:rowOff>161925</xdr:rowOff>
        </xdr:from>
        <xdr:to>
          <xdr:col>5</xdr:col>
          <xdr:colOff>981075</xdr:colOff>
          <xdr:row>16</xdr:row>
          <xdr:rowOff>0</xdr:rowOff>
        </xdr:to>
        <xdr:sp macro="" textlink="">
          <xdr:nvSpPr>
            <xdr:cNvPr id="165891" name="Check Box 3" hidden="1">
              <a:extLst>
                <a:ext uri="{63B3BB69-23CF-44E3-9099-C40C66FF867C}">
                  <a14:compatExt spid="_x0000_s165891"/>
                </a:ext>
                <a:ext uri="{FF2B5EF4-FFF2-40B4-BE49-F238E27FC236}">
                  <a16:creationId xmlns:a16="http://schemas.microsoft.com/office/drawing/2014/main" id="{00000000-0008-0000-0300-0000038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Отображать графику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15</xdr:row>
          <xdr:rowOff>0</xdr:rowOff>
        </xdr:from>
        <xdr:to>
          <xdr:col>9</xdr:col>
          <xdr:colOff>9525</xdr:colOff>
          <xdr:row>16</xdr:row>
          <xdr:rowOff>9525</xdr:rowOff>
        </xdr:to>
        <xdr:sp macro="" textlink="">
          <xdr:nvSpPr>
            <xdr:cNvPr id="165892" name="Drop Down 4" hidden="1">
              <a:extLst>
                <a:ext uri="{63B3BB69-23CF-44E3-9099-C40C66FF867C}">
                  <a14:compatExt spid="_x0000_s165892"/>
                </a:ext>
                <a:ext uri="{FF2B5EF4-FFF2-40B4-BE49-F238E27FC236}">
                  <a16:creationId xmlns:a16="http://schemas.microsoft.com/office/drawing/2014/main" id="{00000000-0008-0000-0300-0000048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15</xdr:row>
          <xdr:rowOff>161925</xdr:rowOff>
        </xdr:from>
        <xdr:to>
          <xdr:col>5</xdr:col>
          <xdr:colOff>981075</xdr:colOff>
          <xdr:row>17</xdr:row>
          <xdr:rowOff>0</xdr:rowOff>
        </xdr:to>
        <xdr:sp macro="" textlink="">
          <xdr:nvSpPr>
            <xdr:cNvPr id="165893" name="Check Box 5" hidden="1">
              <a:extLst>
                <a:ext uri="{63B3BB69-23CF-44E3-9099-C40C66FF867C}">
                  <a14:compatExt spid="_x0000_s165893"/>
                </a:ext>
                <a:ext uri="{FF2B5EF4-FFF2-40B4-BE49-F238E27FC236}">
                  <a16:creationId xmlns:a16="http://schemas.microsoft.com/office/drawing/2014/main" id="{00000000-0008-0000-0300-0000058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Рез под 45 градусов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16</xdr:row>
          <xdr:rowOff>0</xdr:rowOff>
        </xdr:from>
        <xdr:to>
          <xdr:col>9</xdr:col>
          <xdr:colOff>0</xdr:colOff>
          <xdr:row>17</xdr:row>
          <xdr:rowOff>28575</xdr:rowOff>
        </xdr:to>
        <xdr:sp macro="" textlink="">
          <xdr:nvSpPr>
            <xdr:cNvPr id="165894" name="Check Box 6" hidden="1">
              <a:extLst>
                <a:ext uri="{63B3BB69-23CF-44E3-9099-C40C66FF867C}">
                  <a14:compatExt spid="_x0000_s165894"/>
                </a:ext>
                <a:ext uri="{FF2B5EF4-FFF2-40B4-BE49-F238E27FC236}">
                  <a16:creationId xmlns:a16="http://schemas.microsoft.com/office/drawing/2014/main" id="{00000000-0008-0000-0300-0000068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Раскрой в два профиля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44825</xdr:colOff>
      <xdr:row>20</xdr:row>
      <xdr:rowOff>0</xdr:rowOff>
    </xdr:from>
    <xdr:to>
      <xdr:col>3</xdr:col>
      <xdr:colOff>307043</xdr:colOff>
      <xdr:row>21</xdr:row>
      <xdr:rowOff>116280</xdr:rowOff>
    </xdr:to>
    <xdr:sp macro="[0]!lpCSP" textlink="">
      <xdr:nvSpPr>
        <xdr:cNvPr id="12" name="Скругленный прямоугольник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225800" y="4038600"/>
          <a:ext cx="1214718" cy="30678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Расчет</a:t>
          </a:r>
          <a:r>
            <a:rPr lang="en-US" sz="1100"/>
            <a:t> LP</a:t>
          </a:r>
          <a:endParaRPr lang="ru-RU" sz="1100"/>
        </a:p>
      </xdr:txBody>
    </xdr:sp>
    <xdr:clientData fPrintsWithSheet="0"/>
  </xdr:twoCellAnchor>
  <xdr:twoCellAnchor>
    <xdr:from>
      <xdr:col>3</xdr:col>
      <xdr:colOff>472817</xdr:colOff>
      <xdr:row>20</xdr:row>
      <xdr:rowOff>0</xdr:rowOff>
    </xdr:from>
    <xdr:to>
      <xdr:col>4</xdr:col>
      <xdr:colOff>735035</xdr:colOff>
      <xdr:row>21</xdr:row>
      <xdr:rowOff>116280</xdr:rowOff>
    </xdr:to>
    <xdr:sp macro="[0]!ClearSolve" textlink="">
      <xdr:nvSpPr>
        <xdr:cNvPr id="13" name="Скругленный прямоугольник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1606292" y="4038600"/>
          <a:ext cx="1214718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Убрать</a:t>
          </a:r>
          <a:r>
            <a:rPr lang="ru-RU" sz="1100" baseline="0"/>
            <a:t> решение</a:t>
          </a:r>
          <a:endParaRPr lang="ru-RU" sz="1100"/>
        </a:p>
      </xdr:txBody>
    </xdr:sp>
    <xdr:clientData fPrintsWithSheet="0"/>
  </xdr:twoCellAnchor>
  <xdr:twoCellAnchor>
    <xdr:from>
      <xdr:col>4</xdr:col>
      <xdr:colOff>924205</xdr:colOff>
      <xdr:row>20</xdr:row>
      <xdr:rowOff>0</xdr:rowOff>
    </xdr:from>
    <xdr:to>
      <xdr:col>7</xdr:col>
      <xdr:colOff>21011</xdr:colOff>
      <xdr:row>21</xdr:row>
      <xdr:rowOff>116280</xdr:rowOff>
    </xdr:to>
    <xdr:sp macro="[0]!OffGraph" textlink="">
      <xdr:nvSpPr>
        <xdr:cNvPr id="14" name="Скругленный прямоугольник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3010180" y="4038600"/>
          <a:ext cx="1220881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Убрать</a:t>
          </a:r>
          <a:r>
            <a:rPr lang="ru-RU" sz="1100" baseline="0"/>
            <a:t> графику</a:t>
          </a:r>
          <a:endParaRPr lang="ru-RU" sz="1100"/>
        </a:p>
      </xdr:txBody>
    </xdr:sp>
    <xdr:clientData fPrintsWithSheet="0"/>
  </xdr:twoCellAnchor>
  <xdr:twoCellAnchor>
    <xdr:from>
      <xdr:col>7</xdr:col>
      <xdr:colOff>197224</xdr:colOff>
      <xdr:row>20</xdr:row>
      <xdr:rowOff>0</xdr:rowOff>
    </xdr:from>
    <xdr:to>
      <xdr:col>8</xdr:col>
      <xdr:colOff>806824</xdr:colOff>
      <xdr:row>21</xdr:row>
      <xdr:rowOff>116280</xdr:rowOff>
    </xdr:to>
    <xdr:sp macro="" textlink="">
      <xdr:nvSpPr>
        <xdr:cNvPr id="15" name="Скругленный прямоугольник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4407274" y="4038600"/>
          <a:ext cx="1209675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Создать отчет</a:t>
          </a:r>
        </a:p>
      </xdr:txBody>
    </xdr:sp>
    <xdr:clientData fPrintsWithSheet="0"/>
  </xdr:twoCellAnchor>
  <xdr:twoCellAnchor>
    <xdr:from>
      <xdr:col>16</xdr:col>
      <xdr:colOff>0</xdr:colOff>
      <xdr:row>3</xdr:row>
      <xdr:rowOff>12700</xdr:rowOff>
    </xdr:from>
    <xdr:to>
      <xdr:col>16</xdr:col>
      <xdr:colOff>1179877</xdr:colOff>
      <xdr:row>3</xdr:row>
      <xdr:rowOff>177800</xdr:rowOff>
    </xdr:to>
    <xdr:sp macro="" textlink="">
      <xdr:nvSpPr>
        <xdr:cNvPr id="6" name="Скругленный прямоугольник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5697200" y="812800"/>
          <a:ext cx="117987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1246</a:t>
          </a:r>
        </a:p>
      </xdr:txBody>
    </xdr:sp>
    <xdr:clientData/>
  </xdr:twoCellAnchor>
  <xdr:twoCellAnchor>
    <xdr:from>
      <xdr:col>16</xdr:col>
      <xdr:colOff>1214907</xdr:colOff>
      <xdr:row>3</xdr:row>
      <xdr:rowOff>12700</xdr:rowOff>
    </xdr:from>
    <xdr:to>
      <xdr:col>16</xdr:col>
      <xdr:colOff>2346418</xdr:colOff>
      <xdr:row>3</xdr:row>
      <xdr:rowOff>177800</xdr:rowOff>
    </xdr:to>
    <xdr:sp macro="" textlink="">
      <xdr:nvSpPr>
        <xdr:cNvPr id="7" name="Скругленный прямоугольник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6912107" y="812800"/>
          <a:ext cx="113151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D7FF" mc:Ignorable="a14" a14:legacySpreadsheetColorIndex="3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ECFF" mc:Ignorable="a14" a14:legacySpreadsheetColorIndex="3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87AA" mc:Ignorable="a14" a14:legacySpreadsheetColorIndex="3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1196</a:t>
          </a:r>
        </a:p>
      </xdr:txBody>
    </xdr:sp>
    <xdr:clientData/>
  </xdr:twoCellAnchor>
  <xdr:twoCellAnchor>
    <xdr:from>
      <xdr:col>16</xdr:col>
      <xdr:colOff>2381448</xdr:colOff>
      <xdr:row>3</xdr:row>
      <xdr:rowOff>12700</xdr:rowOff>
    </xdr:from>
    <xdr:to>
      <xdr:col>16</xdr:col>
      <xdr:colOff>3512959</xdr:colOff>
      <xdr:row>3</xdr:row>
      <xdr:rowOff>177800</xdr:rowOff>
    </xdr:to>
    <xdr:sp macro="" textlink="">
      <xdr:nvSpPr>
        <xdr:cNvPr id="8" name="Скругленный прямоугольник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8078648" y="812800"/>
          <a:ext cx="113151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D7FF" mc:Ignorable="a14" a14:legacySpreadsheetColorIndex="3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ECFF" mc:Ignorable="a14" a14:legacySpreadsheetColorIndex="3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87AA" mc:Ignorable="a14" a14:legacySpreadsheetColorIndex="3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1196</a:t>
          </a:r>
        </a:p>
      </xdr:txBody>
    </xdr:sp>
    <xdr:clientData/>
  </xdr:twoCellAnchor>
  <xdr:twoCellAnchor>
    <xdr:from>
      <xdr:col>16</xdr:col>
      <xdr:colOff>3547991</xdr:colOff>
      <xdr:row>3</xdr:row>
      <xdr:rowOff>12700</xdr:rowOff>
    </xdr:from>
    <xdr:to>
      <xdr:col>16</xdr:col>
      <xdr:colOff>4650482</xdr:colOff>
      <xdr:row>3</xdr:row>
      <xdr:rowOff>177800</xdr:rowOff>
    </xdr:to>
    <xdr:sp macro="" textlink="">
      <xdr:nvSpPr>
        <xdr:cNvPr id="9" name="Скругленный прямоугольник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9245191" y="8128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4685512</xdr:colOff>
      <xdr:row>3</xdr:row>
      <xdr:rowOff>12700</xdr:rowOff>
    </xdr:from>
    <xdr:to>
      <xdr:col>16</xdr:col>
      <xdr:colOff>5758985</xdr:colOff>
      <xdr:row>3</xdr:row>
      <xdr:rowOff>177800</xdr:rowOff>
    </xdr:to>
    <xdr:sp macro="" textlink="">
      <xdr:nvSpPr>
        <xdr:cNvPr id="10" name="Скругленный прямоугольник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0382712" y="812800"/>
          <a:ext cx="107347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1136</a:t>
          </a:r>
        </a:p>
      </xdr:txBody>
    </xdr:sp>
    <xdr:clientData/>
  </xdr:twoCellAnchor>
  <xdr:twoCellAnchor>
    <xdr:from>
      <xdr:col>16</xdr:col>
      <xdr:colOff>0</xdr:colOff>
      <xdr:row>4</xdr:row>
      <xdr:rowOff>12700</xdr:rowOff>
    </xdr:from>
    <xdr:to>
      <xdr:col>16</xdr:col>
      <xdr:colOff>1247589</xdr:colOff>
      <xdr:row>4</xdr:row>
      <xdr:rowOff>177800</xdr:rowOff>
    </xdr:to>
    <xdr:sp macro="" textlink="">
      <xdr:nvSpPr>
        <xdr:cNvPr id="11" name="Скругленный прямоугольник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15697200" y="1003300"/>
          <a:ext cx="12475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1316</a:t>
          </a:r>
        </a:p>
      </xdr:txBody>
    </xdr:sp>
    <xdr:clientData/>
  </xdr:twoCellAnchor>
  <xdr:twoCellAnchor>
    <xdr:from>
      <xdr:col>16</xdr:col>
      <xdr:colOff>1282619</xdr:colOff>
      <xdr:row>4</xdr:row>
      <xdr:rowOff>12700</xdr:rowOff>
    </xdr:from>
    <xdr:to>
      <xdr:col>16</xdr:col>
      <xdr:colOff>2530208</xdr:colOff>
      <xdr:row>4</xdr:row>
      <xdr:rowOff>177800</xdr:rowOff>
    </xdr:to>
    <xdr:sp macro="" textlink="">
      <xdr:nvSpPr>
        <xdr:cNvPr id="165984" name="Скругленный прямоугольник 165983">
          <a:extLst>
            <a:ext uri="{FF2B5EF4-FFF2-40B4-BE49-F238E27FC236}">
              <a16:creationId xmlns:a16="http://schemas.microsoft.com/office/drawing/2014/main" id="{00000000-0008-0000-0300-000060880200}"/>
            </a:ext>
          </a:extLst>
        </xdr:cNvPr>
        <xdr:cNvSpPr/>
      </xdr:nvSpPr>
      <xdr:spPr>
        <a:xfrm>
          <a:off x="16979819" y="1003300"/>
          <a:ext cx="12475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1316</a:t>
          </a:r>
        </a:p>
      </xdr:txBody>
    </xdr:sp>
    <xdr:clientData/>
  </xdr:twoCellAnchor>
  <xdr:twoCellAnchor>
    <xdr:from>
      <xdr:col>16</xdr:col>
      <xdr:colOff>2565239</xdr:colOff>
      <xdr:row>4</xdr:row>
      <xdr:rowOff>12700</xdr:rowOff>
    </xdr:from>
    <xdr:to>
      <xdr:col>16</xdr:col>
      <xdr:colOff>3667730</xdr:colOff>
      <xdr:row>4</xdr:row>
      <xdr:rowOff>177800</xdr:rowOff>
    </xdr:to>
    <xdr:sp macro="" textlink="">
      <xdr:nvSpPr>
        <xdr:cNvPr id="165985" name="Скругленный прямоугольник 165984">
          <a:extLst>
            <a:ext uri="{FF2B5EF4-FFF2-40B4-BE49-F238E27FC236}">
              <a16:creationId xmlns:a16="http://schemas.microsoft.com/office/drawing/2014/main" id="{00000000-0008-0000-0300-000061880200}"/>
            </a:ext>
          </a:extLst>
        </xdr:cNvPr>
        <xdr:cNvSpPr/>
      </xdr:nvSpPr>
      <xdr:spPr>
        <a:xfrm>
          <a:off x="18262439" y="10033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3702762</xdr:colOff>
      <xdr:row>4</xdr:row>
      <xdr:rowOff>12700</xdr:rowOff>
    </xdr:from>
    <xdr:to>
      <xdr:col>16</xdr:col>
      <xdr:colOff>4805252</xdr:colOff>
      <xdr:row>4</xdr:row>
      <xdr:rowOff>177800</xdr:rowOff>
    </xdr:to>
    <xdr:sp macro="" textlink="">
      <xdr:nvSpPr>
        <xdr:cNvPr id="165986" name="Скругленный прямоугольник 165985">
          <a:extLst>
            <a:ext uri="{FF2B5EF4-FFF2-40B4-BE49-F238E27FC236}">
              <a16:creationId xmlns:a16="http://schemas.microsoft.com/office/drawing/2014/main" id="{00000000-0008-0000-0300-000062880200}"/>
            </a:ext>
          </a:extLst>
        </xdr:cNvPr>
        <xdr:cNvSpPr/>
      </xdr:nvSpPr>
      <xdr:spPr>
        <a:xfrm>
          <a:off x="19399962" y="1003300"/>
          <a:ext cx="110249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4840283</xdr:colOff>
      <xdr:row>4</xdr:row>
      <xdr:rowOff>12700</xdr:rowOff>
    </xdr:from>
    <xdr:to>
      <xdr:col>16</xdr:col>
      <xdr:colOff>5758983</xdr:colOff>
      <xdr:row>4</xdr:row>
      <xdr:rowOff>177800</xdr:rowOff>
    </xdr:to>
    <xdr:sp macro="" textlink="">
      <xdr:nvSpPr>
        <xdr:cNvPr id="165987" name="Скругленный прямоугольник 165986">
          <a:extLst>
            <a:ext uri="{FF2B5EF4-FFF2-40B4-BE49-F238E27FC236}">
              <a16:creationId xmlns:a16="http://schemas.microsoft.com/office/drawing/2014/main" id="{00000000-0008-0000-0300-000063880200}"/>
            </a:ext>
          </a:extLst>
        </xdr:cNvPr>
        <xdr:cNvSpPr/>
      </xdr:nvSpPr>
      <xdr:spPr>
        <a:xfrm>
          <a:off x="20537483" y="1003300"/>
          <a:ext cx="91870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3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3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3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976</a:t>
          </a:r>
        </a:p>
      </xdr:txBody>
    </xdr:sp>
    <xdr:clientData/>
  </xdr:twoCellAnchor>
  <xdr:twoCellAnchor>
    <xdr:from>
      <xdr:col>16</xdr:col>
      <xdr:colOff>0</xdr:colOff>
      <xdr:row>5</xdr:row>
      <xdr:rowOff>12700</xdr:rowOff>
    </xdr:from>
    <xdr:to>
      <xdr:col>16</xdr:col>
      <xdr:colOff>1353993</xdr:colOff>
      <xdr:row>5</xdr:row>
      <xdr:rowOff>177800</xdr:rowOff>
    </xdr:to>
    <xdr:sp macro="" textlink="">
      <xdr:nvSpPr>
        <xdr:cNvPr id="165988" name="Скругленный прямоугольник 165987">
          <a:extLst>
            <a:ext uri="{FF2B5EF4-FFF2-40B4-BE49-F238E27FC236}">
              <a16:creationId xmlns:a16="http://schemas.microsoft.com/office/drawing/2014/main" id="{00000000-0008-0000-0300-000064880200}"/>
            </a:ext>
          </a:extLst>
        </xdr:cNvPr>
        <xdr:cNvSpPr/>
      </xdr:nvSpPr>
      <xdr:spPr>
        <a:xfrm>
          <a:off x="15697200" y="1193800"/>
          <a:ext cx="135399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7C96" mc:Ignorable="a14" a14:legacySpreadsheetColorIndex="2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CBD3" mc:Ignorable="a14" a14:legacySpreadsheetColorIndex="2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0041" mc:Ignorable="a14" a14:legacySpreadsheetColorIndex="2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1426</a:t>
          </a:r>
        </a:p>
      </xdr:txBody>
    </xdr:sp>
    <xdr:clientData/>
  </xdr:twoCellAnchor>
  <xdr:twoCellAnchor>
    <xdr:from>
      <xdr:col>16</xdr:col>
      <xdr:colOff>1389024</xdr:colOff>
      <xdr:row>5</xdr:row>
      <xdr:rowOff>12700</xdr:rowOff>
    </xdr:from>
    <xdr:to>
      <xdr:col>16</xdr:col>
      <xdr:colOff>2549554</xdr:colOff>
      <xdr:row>5</xdr:row>
      <xdr:rowOff>177800</xdr:rowOff>
    </xdr:to>
    <xdr:sp macro="" textlink="">
      <xdr:nvSpPr>
        <xdr:cNvPr id="165989" name="Скругленный прямоугольник 165988">
          <a:extLst>
            <a:ext uri="{FF2B5EF4-FFF2-40B4-BE49-F238E27FC236}">
              <a16:creationId xmlns:a16="http://schemas.microsoft.com/office/drawing/2014/main" id="{00000000-0008-0000-0300-000065880200}"/>
            </a:ext>
          </a:extLst>
        </xdr:cNvPr>
        <xdr:cNvSpPr/>
      </xdr:nvSpPr>
      <xdr:spPr>
        <a:xfrm>
          <a:off x="17086224" y="1193800"/>
          <a:ext cx="116053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3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3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3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1226</a:t>
          </a:r>
        </a:p>
      </xdr:txBody>
    </xdr:sp>
    <xdr:clientData/>
  </xdr:twoCellAnchor>
  <xdr:twoCellAnchor>
    <xdr:from>
      <xdr:col>16</xdr:col>
      <xdr:colOff>2584585</xdr:colOff>
      <xdr:row>5</xdr:row>
      <xdr:rowOff>12700</xdr:rowOff>
    </xdr:from>
    <xdr:to>
      <xdr:col>16</xdr:col>
      <xdr:colOff>3696750</xdr:colOff>
      <xdr:row>5</xdr:row>
      <xdr:rowOff>177800</xdr:rowOff>
    </xdr:to>
    <xdr:sp macro="" textlink="">
      <xdr:nvSpPr>
        <xdr:cNvPr id="165990" name="Скругленный прямоугольник 165989">
          <a:extLst>
            <a:ext uri="{FF2B5EF4-FFF2-40B4-BE49-F238E27FC236}">
              <a16:creationId xmlns:a16="http://schemas.microsoft.com/office/drawing/2014/main" id="{00000000-0008-0000-0300-000066880200}"/>
            </a:ext>
          </a:extLst>
        </xdr:cNvPr>
        <xdr:cNvSpPr/>
      </xdr:nvSpPr>
      <xdr:spPr>
        <a:xfrm>
          <a:off x="18281785" y="1193800"/>
          <a:ext cx="111216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3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3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3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1176</a:t>
          </a:r>
        </a:p>
      </xdr:txBody>
    </xdr:sp>
    <xdr:clientData/>
  </xdr:twoCellAnchor>
  <xdr:twoCellAnchor>
    <xdr:from>
      <xdr:col>16</xdr:col>
      <xdr:colOff>3731780</xdr:colOff>
      <xdr:row>5</xdr:row>
      <xdr:rowOff>12700</xdr:rowOff>
    </xdr:from>
    <xdr:to>
      <xdr:col>16</xdr:col>
      <xdr:colOff>4824599</xdr:colOff>
      <xdr:row>5</xdr:row>
      <xdr:rowOff>177800</xdr:rowOff>
    </xdr:to>
    <xdr:sp macro="" textlink="">
      <xdr:nvSpPr>
        <xdr:cNvPr id="165991" name="Скругленный прямоугольник 165990">
          <a:extLst>
            <a:ext uri="{FF2B5EF4-FFF2-40B4-BE49-F238E27FC236}">
              <a16:creationId xmlns:a16="http://schemas.microsoft.com/office/drawing/2014/main" id="{00000000-0008-0000-0300-000067880200}"/>
            </a:ext>
          </a:extLst>
        </xdr:cNvPr>
        <xdr:cNvSpPr/>
      </xdr:nvSpPr>
      <xdr:spPr>
        <a:xfrm>
          <a:off x="19428980" y="1193800"/>
          <a:ext cx="109281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3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3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3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1156</a:t>
          </a:r>
        </a:p>
      </xdr:txBody>
    </xdr:sp>
    <xdr:clientData/>
  </xdr:twoCellAnchor>
  <xdr:twoCellAnchor>
    <xdr:from>
      <xdr:col>16</xdr:col>
      <xdr:colOff>4859629</xdr:colOff>
      <xdr:row>5</xdr:row>
      <xdr:rowOff>12700</xdr:rowOff>
    </xdr:from>
    <xdr:to>
      <xdr:col>16</xdr:col>
      <xdr:colOff>5758983</xdr:colOff>
      <xdr:row>5</xdr:row>
      <xdr:rowOff>177800</xdr:rowOff>
    </xdr:to>
    <xdr:sp macro="" textlink="">
      <xdr:nvSpPr>
        <xdr:cNvPr id="165992" name="Скругленный прямоугольник 165991">
          <a:extLst>
            <a:ext uri="{FF2B5EF4-FFF2-40B4-BE49-F238E27FC236}">
              <a16:creationId xmlns:a16="http://schemas.microsoft.com/office/drawing/2014/main" id="{00000000-0008-0000-0300-000068880200}"/>
            </a:ext>
          </a:extLst>
        </xdr:cNvPr>
        <xdr:cNvSpPr/>
      </xdr:nvSpPr>
      <xdr:spPr>
        <a:xfrm>
          <a:off x="20556829" y="1193800"/>
          <a:ext cx="89935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956</a:t>
          </a:r>
        </a:p>
      </xdr:txBody>
    </xdr:sp>
    <xdr:clientData/>
  </xdr:twoCellAnchor>
  <xdr:twoCellAnchor>
    <xdr:from>
      <xdr:col>16</xdr:col>
      <xdr:colOff>0</xdr:colOff>
      <xdr:row>6</xdr:row>
      <xdr:rowOff>12700</xdr:rowOff>
    </xdr:from>
    <xdr:to>
      <xdr:col>16</xdr:col>
      <xdr:colOff>1353993</xdr:colOff>
      <xdr:row>6</xdr:row>
      <xdr:rowOff>177800</xdr:rowOff>
    </xdr:to>
    <xdr:sp macro="" textlink="">
      <xdr:nvSpPr>
        <xdr:cNvPr id="165993" name="Скругленный прямоугольник 165992">
          <a:extLst>
            <a:ext uri="{FF2B5EF4-FFF2-40B4-BE49-F238E27FC236}">
              <a16:creationId xmlns:a16="http://schemas.microsoft.com/office/drawing/2014/main" id="{00000000-0008-0000-0300-000069880200}"/>
            </a:ext>
          </a:extLst>
        </xdr:cNvPr>
        <xdr:cNvSpPr/>
      </xdr:nvSpPr>
      <xdr:spPr>
        <a:xfrm>
          <a:off x="15697200" y="1384300"/>
          <a:ext cx="135399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7C96" mc:Ignorable="a14" a14:legacySpreadsheetColorIndex="2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CBD3" mc:Ignorable="a14" a14:legacySpreadsheetColorIndex="2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0041" mc:Ignorable="a14" a14:legacySpreadsheetColorIndex="2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1426</a:t>
          </a:r>
        </a:p>
      </xdr:txBody>
    </xdr:sp>
    <xdr:clientData/>
  </xdr:twoCellAnchor>
  <xdr:twoCellAnchor>
    <xdr:from>
      <xdr:col>16</xdr:col>
      <xdr:colOff>1389024</xdr:colOff>
      <xdr:row>6</xdr:row>
      <xdr:rowOff>12700</xdr:rowOff>
    </xdr:from>
    <xdr:to>
      <xdr:col>16</xdr:col>
      <xdr:colOff>2704325</xdr:colOff>
      <xdr:row>6</xdr:row>
      <xdr:rowOff>177800</xdr:rowOff>
    </xdr:to>
    <xdr:sp macro="" textlink="">
      <xdr:nvSpPr>
        <xdr:cNvPr id="165994" name="Скругленный прямоугольник 165993">
          <a:extLst>
            <a:ext uri="{FF2B5EF4-FFF2-40B4-BE49-F238E27FC236}">
              <a16:creationId xmlns:a16="http://schemas.microsoft.com/office/drawing/2014/main" id="{00000000-0008-0000-0300-00006A880200}"/>
            </a:ext>
          </a:extLst>
        </xdr:cNvPr>
        <xdr:cNvSpPr/>
      </xdr:nvSpPr>
      <xdr:spPr>
        <a:xfrm>
          <a:off x="17086224" y="1384300"/>
          <a:ext cx="131530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B4FF" mc:Ignorable="a14" a14:legacySpreadsheetColorIndex="2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DEFF" mc:Ignorable="a14" a14:legacySpreadsheetColorIndex="2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64AA" mc:Ignorable="a14" a14:legacySpreadsheetColorIndex="2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1386</a:t>
          </a:r>
        </a:p>
      </xdr:txBody>
    </xdr:sp>
    <xdr:clientData/>
  </xdr:twoCellAnchor>
  <xdr:twoCellAnchor>
    <xdr:from>
      <xdr:col>16</xdr:col>
      <xdr:colOff>2739357</xdr:colOff>
      <xdr:row>6</xdr:row>
      <xdr:rowOff>12700</xdr:rowOff>
    </xdr:from>
    <xdr:to>
      <xdr:col>16</xdr:col>
      <xdr:colOff>3832175</xdr:colOff>
      <xdr:row>6</xdr:row>
      <xdr:rowOff>177800</xdr:rowOff>
    </xdr:to>
    <xdr:sp macro="" textlink="">
      <xdr:nvSpPr>
        <xdr:cNvPr id="165995" name="Скругленный прямоугольник 165994">
          <a:extLst>
            <a:ext uri="{FF2B5EF4-FFF2-40B4-BE49-F238E27FC236}">
              <a16:creationId xmlns:a16="http://schemas.microsoft.com/office/drawing/2014/main" id="{00000000-0008-0000-0300-00006B880200}"/>
            </a:ext>
          </a:extLst>
        </xdr:cNvPr>
        <xdr:cNvSpPr/>
      </xdr:nvSpPr>
      <xdr:spPr>
        <a:xfrm>
          <a:off x="18436557" y="1384300"/>
          <a:ext cx="109281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3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3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3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1156</a:t>
          </a:r>
        </a:p>
      </xdr:txBody>
    </xdr:sp>
    <xdr:clientData/>
  </xdr:twoCellAnchor>
  <xdr:twoCellAnchor>
    <xdr:from>
      <xdr:col>16</xdr:col>
      <xdr:colOff>3867204</xdr:colOff>
      <xdr:row>6</xdr:row>
      <xdr:rowOff>12700</xdr:rowOff>
    </xdr:from>
    <xdr:to>
      <xdr:col>16</xdr:col>
      <xdr:colOff>4824599</xdr:colOff>
      <xdr:row>6</xdr:row>
      <xdr:rowOff>177800</xdr:rowOff>
    </xdr:to>
    <xdr:sp macro="" textlink="">
      <xdr:nvSpPr>
        <xdr:cNvPr id="165996" name="Скругленный прямоугольник 165995">
          <a:extLst>
            <a:ext uri="{FF2B5EF4-FFF2-40B4-BE49-F238E27FC236}">
              <a16:creationId xmlns:a16="http://schemas.microsoft.com/office/drawing/2014/main" id="{00000000-0008-0000-0300-00006C880200}"/>
            </a:ext>
          </a:extLst>
        </xdr:cNvPr>
        <xdr:cNvSpPr/>
      </xdr:nvSpPr>
      <xdr:spPr>
        <a:xfrm>
          <a:off x="19564404" y="1384300"/>
          <a:ext cx="95739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A4" mc:Ignorable="a14" a14:legacySpreadsheetColorIndex="3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D8" mc:Ignorable="a14" a14:legacySpreadsheetColorIndex="3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53" mc:Ignorable="a14" a14:legacySpreadsheetColorIndex="3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1016</a:t>
          </a:r>
        </a:p>
      </xdr:txBody>
    </xdr:sp>
    <xdr:clientData/>
  </xdr:twoCellAnchor>
  <xdr:twoCellAnchor>
    <xdr:from>
      <xdr:col>16</xdr:col>
      <xdr:colOff>4859629</xdr:colOff>
      <xdr:row>6</xdr:row>
      <xdr:rowOff>12700</xdr:rowOff>
    </xdr:from>
    <xdr:to>
      <xdr:col>16</xdr:col>
      <xdr:colOff>5758983</xdr:colOff>
      <xdr:row>6</xdr:row>
      <xdr:rowOff>177800</xdr:rowOff>
    </xdr:to>
    <xdr:sp macro="" textlink="">
      <xdr:nvSpPr>
        <xdr:cNvPr id="165997" name="Скругленный прямоугольник 165996">
          <a:extLst>
            <a:ext uri="{FF2B5EF4-FFF2-40B4-BE49-F238E27FC236}">
              <a16:creationId xmlns:a16="http://schemas.microsoft.com/office/drawing/2014/main" id="{00000000-0008-0000-0300-00006D880200}"/>
            </a:ext>
          </a:extLst>
        </xdr:cNvPr>
        <xdr:cNvSpPr/>
      </xdr:nvSpPr>
      <xdr:spPr>
        <a:xfrm>
          <a:off x="20556829" y="1384300"/>
          <a:ext cx="89935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956</a:t>
          </a:r>
        </a:p>
      </xdr:txBody>
    </xdr:sp>
    <xdr:clientData/>
  </xdr:twoCellAnchor>
  <xdr:twoCellAnchor>
    <xdr:from>
      <xdr:col>16</xdr:col>
      <xdr:colOff>0</xdr:colOff>
      <xdr:row>7</xdr:row>
      <xdr:rowOff>12700</xdr:rowOff>
    </xdr:from>
    <xdr:to>
      <xdr:col>16</xdr:col>
      <xdr:colOff>1353993</xdr:colOff>
      <xdr:row>7</xdr:row>
      <xdr:rowOff>177800</xdr:rowOff>
    </xdr:to>
    <xdr:sp macro="" textlink="">
      <xdr:nvSpPr>
        <xdr:cNvPr id="165998" name="Скругленный прямоугольник 165997">
          <a:extLst>
            <a:ext uri="{FF2B5EF4-FFF2-40B4-BE49-F238E27FC236}">
              <a16:creationId xmlns:a16="http://schemas.microsoft.com/office/drawing/2014/main" id="{00000000-0008-0000-0300-00006E880200}"/>
            </a:ext>
          </a:extLst>
        </xdr:cNvPr>
        <xdr:cNvSpPr/>
      </xdr:nvSpPr>
      <xdr:spPr>
        <a:xfrm>
          <a:off x="15697200" y="1574800"/>
          <a:ext cx="135399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7C96" mc:Ignorable="a14" a14:legacySpreadsheetColorIndex="2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CBD3" mc:Ignorable="a14" a14:legacySpreadsheetColorIndex="2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0041" mc:Ignorable="a14" a14:legacySpreadsheetColorIndex="2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1426</a:t>
          </a:r>
        </a:p>
      </xdr:txBody>
    </xdr:sp>
    <xdr:clientData/>
  </xdr:twoCellAnchor>
  <xdr:twoCellAnchor>
    <xdr:from>
      <xdr:col>16</xdr:col>
      <xdr:colOff>1389024</xdr:colOff>
      <xdr:row>7</xdr:row>
      <xdr:rowOff>12700</xdr:rowOff>
    </xdr:from>
    <xdr:to>
      <xdr:col>16</xdr:col>
      <xdr:colOff>2743017</xdr:colOff>
      <xdr:row>7</xdr:row>
      <xdr:rowOff>177800</xdr:rowOff>
    </xdr:to>
    <xdr:sp macro="" textlink="">
      <xdr:nvSpPr>
        <xdr:cNvPr id="165999" name="Скругленный прямоугольник 165998">
          <a:extLst>
            <a:ext uri="{FF2B5EF4-FFF2-40B4-BE49-F238E27FC236}">
              <a16:creationId xmlns:a16="http://schemas.microsoft.com/office/drawing/2014/main" id="{00000000-0008-0000-0300-00006F880200}"/>
            </a:ext>
          </a:extLst>
        </xdr:cNvPr>
        <xdr:cNvSpPr/>
      </xdr:nvSpPr>
      <xdr:spPr>
        <a:xfrm>
          <a:off x="17086224" y="1574800"/>
          <a:ext cx="135399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7C96" mc:Ignorable="a14" a14:legacySpreadsheetColorIndex="2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CBD3" mc:Ignorable="a14" a14:legacySpreadsheetColorIndex="2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0041" mc:Ignorable="a14" a14:legacySpreadsheetColorIndex="2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1426</a:t>
          </a:r>
        </a:p>
      </xdr:txBody>
    </xdr:sp>
    <xdr:clientData/>
  </xdr:twoCellAnchor>
  <xdr:twoCellAnchor>
    <xdr:from>
      <xdr:col>16</xdr:col>
      <xdr:colOff>2778049</xdr:colOff>
      <xdr:row>7</xdr:row>
      <xdr:rowOff>12700</xdr:rowOff>
    </xdr:from>
    <xdr:to>
      <xdr:col>16</xdr:col>
      <xdr:colOff>3938580</xdr:colOff>
      <xdr:row>7</xdr:row>
      <xdr:rowOff>177800</xdr:rowOff>
    </xdr:to>
    <xdr:sp macro="" textlink="">
      <xdr:nvSpPr>
        <xdr:cNvPr id="166000" name="Скругленный прямоугольник 165999">
          <a:extLst>
            <a:ext uri="{FF2B5EF4-FFF2-40B4-BE49-F238E27FC236}">
              <a16:creationId xmlns:a16="http://schemas.microsoft.com/office/drawing/2014/main" id="{00000000-0008-0000-0300-000070880200}"/>
            </a:ext>
          </a:extLst>
        </xdr:cNvPr>
        <xdr:cNvSpPr/>
      </xdr:nvSpPr>
      <xdr:spPr>
        <a:xfrm>
          <a:off x="18475249" y="1574800"/>
          <a:ext cx="116053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3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3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3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1226</a:t>
          </a:r>
        </a:p>
      </xdr:txBody>
    </xdr:sp>
    <xdr:clientData/>
  </xdr:twoCellAnchor>
  <xdr:twoCellAnchor>
    <xdr:from>
      <xdr:col>16</xdr:col>
      <xdr:colOff>3973610</xdr:colOff>
      <xdr:row>7</xdr:row>
      <xdr:rowOff>12700</xdr:rowOff>
    </xdr:from>
    <xdr:to>
      <xdr:col>16</xdr:col>
      <xdr:colOff>5076101</xdr:colOff>
      <xdr:row>7</xdr:row>
      <xdr:rowOff>177800</xdr:rowOff>
    </xdr:to>
    <xdr:sp macro="" textlink="">
      <xdr:nvSpPr>
        <xdr:cNvPr id="80" name="Скругленный прямоугольник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/>
      </xdr:nvSpPr>
      <xdr:spPr>
        <a:xfrm>
          <a:off x="19670810" y="15748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5111131</xdr:colOff>
      <xdr:row>7</xdr:row>
      <xdr:rowOff>12700</xdr:rowOff>
    </xdr:from>
    <xdr:to>
      <xdr:col>16</xdr:col>
      <xdr:colOff>5758983</xdr:colOff>
      <xdr:row>7</xdr:row>
      <xdr:rowOff>177800</xdr:rowOff>
    </xdr:to>
    <xdr:sp macro="" textlink="">
      <xdr:nvSpPr>
        <xdr:cNvPr id="81" name="Скругленный прямоугольник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/>
      </xdr:nvSpPr>
      <xdr:spPr>
        <a:xfrm>
          <a:off x="20808331" y="1574800"/>
          <a:ext cx="64785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696</a:t>
          </a:r>
        </a:p>
      </xdr:txBody>
    </xdr:sp>
    <xdr:clientData/>
  </xdr:twoCellAnchor>
  <xdr:twoCellAnchor>
    <xdr:from>
      <xdr:col>16</xdr:col>
      <xdr:colOff>0</xdr:colOff>
      <xdr:row>8</xdr:row>
      <xdr:rowOff>12700</xdr:rowOff>
    </xdr:from>
    <xdr:to>
      <xdr:col>16</xdr:col>
      <xdr:colOff>1353993</xdr:colOff>
      <xdr:row>8</xdr:row>
      <xdr:rowOff>177800</xdr:rowOff>
    </xdr:to>
    <xdr:sp macro="" textlink="">
      <xdr:nvSpPr>
        <xdr:cNvPr id="82" name="Скругленный прямоугольник 8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/>
      </xdr:nvSpPr>
      <xdr:spPr>
        <a:xfrm>
          <a:off x="15697200" y="1765300"/>
          <a:ext cx="135399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7C96" mc:Ignorable="a14" a14:legacySpreadsheetColorIndex="2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CBD3" mc:Ignorable="a14" a14:legacySpreadsheetColorIndex="2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0041" mc:Ignorable="a14" a14:legacySpreadsheetColorIndex="2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1426</a:t>
          </a:r>
        </a:p>
      </xdr:txBody>
    </xdr:sp>
    <xdr:clientData/>
  </xdr:twoCellAnchor>
  <xdr:twoCellAnchor>
    <xdr:from>
      <xdr:col>16</xdr:col>
      <xdr:colOff>1389024</xdr:colOff>
      <xdr:row>8</xdr:row>
      <xdr:rowOff>12700</xdr:rowOff>
    </xdr:from>
    <xdr:to>
      <xdr:col>16</xdr:col>
      <xdr:colOff>2743017</xdr:colOff>
      <xdr:row>8</xdr:row>
      <xdr:rowOff>177800</xdr:rowOff>
    </xdr:to>
    <xdr:sp macro="" textlink="">
      <xdr:nvSpPr>
        <xdr:cNvPr id="83" name="Скругленный прямоугольник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/>
      </xdr:nvSpPr>
      <xdr:spPr>
        <a:xfrm>
          <a:off x="17086224" y="1765300"/>
          <a:ext cx="135399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7C96" mc:Ignorable="a14" a14:legacySpreadsheetColorIndex="2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CBD3" mc:Ignorable="a14" a14:legacySpreadsheetColorIndex="2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0041" mc:Ignorable="a14" a14:legacySpreadsheetColorIndex="2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1426</a:t>
          </a:r>
        </a:p>
      </xdr:txBody>
    </xdr:sp>
    <xdr:clientData/>
  </xdr:twoCellAnchor>
  <xdr:twoCellAnchor>
    <xdr:from>
      <xdr:col>16</xdr:col>
      <xdr:colOff>2778049</xdr:colOff>
      <xdr:row>8</xdr:row>
      <xdr:rowOff>12700</xdr:rowOff>
    </xdr:from>
    <xdr:to>
      <xdr:col>16</xdr:col>
      <xdr:colOff>3957926</xdr:colOff>
      <xdr:row>8</xdr:row>
      <xdr:rowOff>177800</xdr:rowOff>
    </xdr:to>
    <xdr:sp macro="" textlink="">
      <xdr:nvSpPr>
        <xdr:cNvPr id="84" name="Скругленный прямоугольник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/>
      </xdr:nvSpPr>
      <xdr:spPr>
        <a:xfrm>
          <a:off x="18475249" y="1765300"/>
          <a:ext cx="117987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1246</a:t>
          </a:r>
        </a:p>
      </xdr:txBody>
    </xdr:sp>
    <xdr:clientData/>
  </xdr:twoCellAnchor>
  <xdr:twoCellAnchor>
    <xdr:from>
      <xdr:col>16</xdr:col>
      <xdr:colOff>3992956</xdr:colOff>
      <xdr:row>8</xdr:row>
      <xdr:rowOff>12700</xdr:rowOff>
    </xdr:from>
    <xdr:to>
      <xdr:col>16</xdr:col>
      <xdr:colOff>5095447</xdr:colOff>
      <xdr:row>8</xdr:row>
      <xdr:rowOff>177800</xdr:rowOff>
    </xdr:to>
    <xdr:sp macro="" textlink="">
      <xdr:nvSpPr>
        <xdr:cNvPr id="85" name="Скругленный прямоугольник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/>
      </xdr:nvSpPr>
      <xdr:spPr>
        <a:xfrm>
          <a:off x="19690156" y="17653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5130478</xdr:colOff>
      <xdr:row>8</xdr:row>
      <xdr:rowOff>12700</xdr:rowOff>
    </xdr:from>
    <xdr:to>
      <xdr:col>16</xdr:col>
      <xdr:colOff>5758983</xdr:colOff>
      <xdr:row>8</xdr:row>
      <xdr:rowOff>177800</xdr:rowOff>
    </xdr:to>
    <xdr:sp macro="" textlink="">
      <xdr:nvSpPr>
        <xdr:cNvPr id="86" name="Скругленный прямоугольник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/>
      </xdr:nvSpPr>
      <xdr:spPr>
        <a:xfrm>
          <a:off x="20827678" y="1765300"/>
          <a:ext cx="62850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676</a:t>
          </a:r>
        </a:p>
      </xdr:txBody>
    </xdr:sp>
    <xdr:clientData/>
  </xdr:twoCellAnchor>
  <xdr:twoCellAnchor>
    <xdr:from>
      <xdr:col>16</xdr:col>
      <xdr:colOff>0</xdr:colOff>
      <xdr:row>9</xdr:row>
      <xdr:rowOff>12700</xdr:rowOff>
    </xdr:from>
    <xdr:to>
      <xdr:col>16</xdr:col>
      <xdr:colOff>1363667</xdr:colOff>
      <xdr:row>9</xdr:row>
      <xdr:rowOff>177800</xdr:rowOff>
    </xdr:to>
    <xdr:sp macro="" textlink="">
      <xdr:nvSpPr>
        <xdr:cNvPr id="87" name="Скругленный прямоугольник 86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/>
      </xdr:nvSpPr>
      <xdr:spPr>
        <a:xfrm>
          <a:off x="15697200" y="1955800"/>
          <a:ext cx="136366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1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1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1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1436</a:t>
          </a:r>
        </a:p>
      </xdr:txBody>
    </xdr:sp>
    <xdr:clientData/>
  </xdr:twoCellAnchor>
  <xdr:twoCellAnchor>
    <xdr:from>
      <xdr:col>16</xdr:col>
      <xdr:colOff>1398698</xdr:colOff>
      <xdr:row>9</xdr:row>
      <xdr:rowOff>12700</xdr:rowOff>
    </xdr:from>
    <xdr:to>
      <xdr:col>16</xdr:col>
      <xdr:colOff>2762365</xdr:colOff>
      <xdr:row>9</xdr:row>
      <xdr:rowOff>177800</xdr:rowOff>
    </xdr:to>
    <xdr:sp macro="" textlink="">
      <xdr:nvSpPr>
        <xdr:cNvPr id="88" name="Скругленный прямоугольник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/>
      </xdr:nvSpPr>
      <xdr:spPr>
        <a:xfrm>
          <a:off x="17095898" y="1955800"/>
          <a:ext cx="136366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1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1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1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1436</a:t>
          </a:r>
        </a:p>
      </xdr:txBody>
    </xdr:sp>
    <xdr:clientData/>
  </xdr:twoCellAnchor>
  <xdr:twoCellAnchor>
    <xdr:from>
      <xdr:col>16</xdr:col>
      <xdr:colOff>2797395</xdr:colOff>
      <xdr:row>9</xdr:row>
      <xdr:rowOff>12700</xdr:rowOff>
    </xdr:from>
    <xdr:to>
      <xdr:col>16</xdr:col>
      <xdr:colOff>3851520</xdr:colOff>
      <xdr:row>9</xdr:row>
      <xdr:rowOff>177800</xdr:rowOff>
    </xdr:to>
    <xdr:sp macro="" textlink="">
      <xdr:nvSpPr>
        <xdr:cNvPr id="89" name="Скругленный прямоугольник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/>
      </xdr:nvSpPr>
      <xdr:spPr>
        <a:xfrm>
          <a:off x="18494595" y="1955800"/>
          <a:ext cx="10541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A4" mc:Ignorable="a14" a14:legacySpreadsheetColorIndex="3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D8" mc:Ignorable="a14" a14:legacySpreadsheetColorIndex="3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53" mc:Ignorable="a14" a14:legacySpreadsheetColorIndex="3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1116</a:t>
          </a:r>
        </a:p>
      </xdr:txBody>
    </xdr:sp>
    <xdr:clientData/>
  </xdr:twoCellAnchor>
  <xdr:twoCellAnchor>
    <xdr:from>
      <xdr:col>16</xdr:col>
      <xdr:colOff>3886552</xdr:colOff>
      <xdr:row>9</xdr:row>
      <xdr:rowOff>12700</xdr:rowOff>
    </xdr:from>
    <xdr:to>
      <xdr:col>16</xdr:col>
      <xdr:colOff>4805252</xdr:colOff>
      <xdr:row>9</xdr:row>
      <xdr:rowOff>177800</xdr:rowOff>
    </xdr:to>
    <xdr:sp macro="" textlink="">
      <xdr:nvSpPr>
        <xdr:cNvPr id="90" name="Скругленный прямоугольник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/>
      </xdr:nvSpPr>
      <xdr:spPr>
        <a:xfrm>
          <a:off x="19583752" y="1955800"/>
          <a:ext cx="91870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3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3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3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976</a:t>
          </a:r>
        </a:p>
      </xdr:txBody>
    </xdr:sp>
    <xdr:clientData/>
  </xdr:twoCellAnchor>
  <xdr:twoCellAnchor>
    <xdr:from>
      <xdr:col>16</xdr:col>
      <xdr:colOff>4840283</xdr:colOff>
      <xdr:row>9</xdr:row>
      <xdr:rowOff>12700</xdr:rowOff>
    </xdr:from>
    <xdr:to>
      <xdr:col>16</xdr:col>
      <xdr:colOff>5758983</xdr:colOff>
      <xdr:row>9</xdr:row>
      <xdr:rowOff>177800</xdr:rowOff>
    </xdr:to>
    <xdr:sp macro="" textlink="">
      <xdr:nvSpPr>
        <xdr:cNvPr id="91" name="Скругленный прямоугольник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/>
      </xdr:nvSpPr>
      <xdr:spPr>
        <a:xfrm>
          <a:off x="20537483" y="1955800"/>
          <a:ext cx="91870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3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3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3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976</a:t>
          </a:r>
        </a:p>
      </xdr:txBody>
    </xdr:sp>
    <xdr:clientData/>
  </xdr:twoCellAnchor>
  <xdr:twoCellAnchor>
    <xdr:from>
      <xdr:col>16</xdr:col>
      <xdr:colOff>0</xdr:colOff>
      <xdr:row>10</xdr:row>
      <xdr:rowOff>12700</xdr:rowOff>
    </xdr:from>
    <xdr:to>
      <xdr:col>16</xdr:col>
      <xdr:colOff>1383013</xdr:colOff>
      <xdr:row>10</xdr:row>
      <xdr:rowOff>177800</xdr:rowOff>
    </xdr:to>
    <xdr:sp macro="" textlink="">
      <xdr:nvSpPr>
        <xdr:cNvPr id="92" name="Скругленный прямоугольник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SpPr/>
      </xdr:nvSpPr>
      <xdr:spPr>
        <a:xfrm>
          <a:off x="15697200" y="2146300"/>
          <a:ext cx="138301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1456</a:t>
          </a:r>
        </a:p>
      </xdr:txBody>
    </xdr:sp>
    <xdr:clientData/>
  </xdr:twoCellAnchor>
  <xdr:twoCellAnchor>
    <xdr:from>
      <xdr:col>16</xdr:col>
      <xdr:colOff>1418044</xdr:colOff>
      <xdr:row>10</xdr:row>
      <xdr:rowOff>12700</xdr:rowOff>
    </xdr:from>
    <xdr:to>
      <xdr:col>16</xdr:col>
      <xdr:colOff>2733345</xdr:colOff>
      <xdr:row>10</xdr:row>
      <xdr:rowOff>177800</xdr:rowOff>
    </xdr:to>
    <xdr:sp macro="" textlink="">
      <xdr:nvSpPr>
        <xdr:cNvPr id="93" name="Скругленный прямоугольник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/>
      </xdr:nvSpPr>
      <xdr:spPr>
        <a:xfrm>
          <a:off x="17115244" y="2146300"/>
          <a:ext cx="131530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B4FF" mc:Ignorable="a14" a14:legacySpreadsheetColorIndex="2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DEFF" mc:Ignorable="a14" a14:legacySpreadsheetColorIndex="2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64AA" mc:Ignorable="a14" a14:legacySpreadsheetColorIndex="2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1386</a:t>
          </a:r>
        </a:p>
      </xdr:txBody>
    </xdr:sp>
    <xdr:clientData/>
  </xdr:twoCellAnchor>
  <xdr:twoCellAnchor>
    <xdr:from>
      <xdr:col>16</xdr:col>
      <xdr:colOff>2768375</xdr:colOff>
      <xdr:row>10</xdr:row>
      <xdr:rowOff>12700</xdr:rowOff>
    </xdr:from>
    <xdr:to>
      <xdr:col>16</xdr:col>
      <xdr:colOff>3870866</xdr:colOff>
      <xdr:row>10</xdr:row>
      <xdr:rowOff>177800</xdr:rowOff>
    </xdr:to>
    <xdr:sp macro="" textlink="">
      <xdr:nvSpPr>
        <xdr:cNvPr id="94" name="Скругленный прямоугольник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/>
      </xdr:nvSpPr>
      <xdr:spPr>
        <a:xfrm>
          <a:off x="18465575" y="21463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3905898</xdr:colOff>
      <xdr:row>10</xdr:row>
      <xdr:rowOff>12700</xdr:rowOff>
    </xdr:from>
    <xdr:to>
      <xdr:col>16</xdr:col>
      <xdr:colOff>4824599</xdr:colOff>
      <xdr:row>10</xdr:row>
      <xdr:rowOff>177800</xdr:rowOff>
    </xdr:to>
    <xdr:sp macro="" textlink="">
      <xdr:nvSpPr>
        <xdr:cNvPr id="95" name="Скругленный прямоугольник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/>
      </xdr:nvSpPr>
      <xdr:spPr>
        <a:xfrm>
          <a:off x="19603098" y="2146300"/>
          <a:ext cx="91870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3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3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3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976</a:t>
          </a:r>
        </a:p>
      </xdr:txBody>
    </xdr:sp>
    <xdr:clientData/>
  </xdr:twoCellAnchor>
  <xdr:twoCellAnchor>
    <xdr:from>
      <xdr:col>16</xdr:col>
      <xdr:colOff>4859629</xdr:colOff>
      <xdr:row>10</xdr:row>
      <xdr:rowOff>12700</xdr:rowOff>
    </xdr:from>
    <xdr:to>
      <xdr:col>16</xdr:col>
      <xdr:colOff>5758983</xdr:colOff>
      <xdr:row>10</xdr:row>
      <xdr:rowOff>177800</xdr:rowOff>
    </xdr:to>
    <xdr:sp macro="" textlink="">
      <xdr:nvSpPr>
        <xdr:cNvPr id="166098" name="Скругленный прямоугольник 166097">
          <a:extLst>
            <a:ext uri="{FF2B5EF4-FFF2-40B4-BE49-F238E27FC236}">
              <a16:creationId xmlns:a16="http://schemas.microsoft.com/office/drawing/2014/main" id="{00000000-0008-0000-0300-0000D2880200}"/>
            </a:ext>
          </a:extLst>
        </xdr:cNvPr>
        <xdr:cNvSpPr/>
      </xdr:nvSpPr>
      <xdr:spPr>
        <a:xfrm>
          <a:off x="20556829" y="2146300"/>
          <a:ext cx="89935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956</a:t>
          </a:r>
        </a:p>
      </xdr:txBody>
    </xdr:sp>
    <xdr:clientData/>
  </xdr:twoCellAnchor>
  <xdr:twoCellAnchor>
    <xdr:from>
      <xdr:col>16</xdr:col>
      <xdr:colOff>0</xdr:colOff>
      <xdr:row>11</xdr:row>
      <xdr:rowOff>12700</xdr:rowOff>
    </xdr:from>
    <xdr:to>
      <xdr:col>16</xdr:col>
      <xdr:colOff>1402359</xdr:colOff>
      <xdr:row>11</xdr:row>
      <xdr:rowOff>177800</xdr:rowOff>
    </xdr:to>
    <xdr:sp macro="" textlink="">
      <xdr:nvSpPr>
        <xdr:cNvPr id="166099" name="Скругленный прямоугольник 166098">
          <a:extLst>
            <a:ext uri="{FF2B5EF4-FFF2-40B4-BE49-F238E27FC236}">
              <a16:creationId xmlns:a16="http://schemas.microsoft.com/office/drawing/2014/main" id="{00000000-0008-0000-0300-0000D3880200}"/>
            </a:ext>
          </a:extLst>
        </xdr:cNvPr>
        <xdr:cNvSpPr/>
      </xdr:nvSpPr>
      <xdr:spPr>
        <a:xfrm>
          <a:off x="15697200" y="2336800"/>
          <a:ext cx="140235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FF" mc:Ignorable="a14" a14:legacySpreadsheetColorIndex="2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FF" mc:Ignorable="a14" a14:legacySpreadsheetColorIndex="2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AA" mc:Ignorable="a14" a14:legacySpreadsheetColorIndex="2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1476</a:t>
          </a:r>
        </a:p>
      </xdr:txBody>
    </xdr:sp>
    <xdr:clientData/>
  </xdr:twoCellAnchor>
  <xdr:twoCellAnchor>
    <xdr:from>
      <xdr:col>16</xdr:col>
      <xdr:colOff>1437390</xdr:colOff>
      <xdr:row>11</xdr:row>
      <xdr:rowOff>12700</xdr:rowOff>
    </xdr:from>
    <xdr:to>
      <xdr:col>16</xdr:col>
      <xdr:colOff>2684979</xdr:colOff>
      <xdr:row>11</xdr:row>
      <xdr:rowOff>177800</xdr:rowOff>
    </xdr:to>
    <xdr:sp macro="" textlink="">
      <xdr:nvSpPr>
        <xdr:cNvPr id="166100" name="Скругленный прямоугольник 166099">
          <a:extLst>
            <a:ext uri="{FF2B5EF4-FFF2-40B4-BE49-F238E27FC236}">
              <a16:creationId xmlns:a16="http://schemas.microsoft.com/office/drawing/2014/main" id="{00000000-0008-0000-0300-0000D4880200}"/>
            </a:ext>
          </a:extLst>
        </xdr:cNvPr>
        <xdr:cNvSpPr/>
      </xdr:nvSpPr>
      <xdr:spPr>
        <a:xfrm>
          <a:off x="17134590" y="2336800"/>
          <a:ext cx="12475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1316</a:t>
          </a:r>
        </a:p>
      </xdr:txBody>
    </xdr:sp>
    <xdr:clientData/>
  </xdr:twoCellAnchor>
  <xdr:twoCellAnchor>
    <xdr:from>
      <xdr:col>16</xdr:col>
      <xdr:colOff>2720009</xdr:colOff>
      <xdr:row>11</xdr:row>
      <xdr:rowOff>12700</xdr:rowOff>
    </xdr:from>
    <xdr:to>
      <xdr:col>16</xdr:col>
      <xdr:colOff>3832174</xdr:colOff>
      <xdr:row>11</xdr:row>
      <xdr:rowOff>177800</xdr:rowOff>
    </xdr:to>
    <xdr:sp macro="" textlink="">
      <xdr:nvSpPr>
        <xdr:cNvPr id="166101" name="Скругленный прямоугольник 166100">
          <a:extLst>
            <a:ext uri="{FF2B5EF4-FFF2-40B4-BE49-F238E27FC236}">
              <a16:creationId xmlns:a16="http://schemas.microsoft.com/office/drawing/2014/main" id="{00000000-0008-0000-0300-0000D5880200}"/>
            </a:ext>
          </a:extLst>
        </xdr:cNvPr>
        <xdr:cNvSpPr/>
      </xdr:nvSpPr>
      <xdr:spPr>
        <a:xfrm>
          <a:off x="18417209" y="2336800"/>
          <a:ext cx="111216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3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3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3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1176</a:t>
          </a:r>
        </a:p>
      </xdr:txBody>
    </xdr:sp>
    <xdr:clientData/>
  </xdr:twoCellAnchor>
  <xdr:twoCellAnchor>
    <xdr:from>
      <xdr:col>16</xdr:col>
      <xdr:colOff>3867204</xdr:colOff>
      <xdr:row>11</xdr:row>
      <xdr:rowOff>12700</xdr:rowOff>
    </xdr:from>
    <xdr:to>
      <xdr:col>16</xdr:col>
      <xdr:colOff>4979369</xdr:colOff>
      <xdr:row>11</xdr:row>
      <xdr:rowOff>177800</xdr:rowOff>
    </xdr:to>
    <xdr:sp macro="" textlink="">
      <xdr:nvSpPr>
        <xdr:cNvPr id="166102" name="Скругленный прямоугольник 166101">
          <a:extLst>
            <a:ext uri="{FF2B5EF4-FFF2-40B4-BE49-F238E27FC236}">
              <a16:creationId xmlns:a16="http://schemas.microsoft.com/office/drawing/2014/main" id="{00000000-0008-0000-0300-0000D6880200}"/>
            </a:ext>
          </a:extLst>
        </xdr:cNvPr>
        <xdr:cNvSpPr/>
      </xdr:nvSpPr>
      <xdr:spPr>
        <a:xfrm>
          <a:off x="19564404" y="2336800"/>
          <a:ext cx="111216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3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3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3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1176</a:t>
          </a:r>
        </a:p>
      </xdr:txBody>
    </xdr:sp>
    <xdr:clientData/>
  </xdr:twoCellAnchor>
  <xdr:twoCellAnchor>
    <xdr:from>
      <xdr:col>16</xdr:col>
      <xdr:colOff>5014401</xdr:colOff>
      <xdr:row>11</xdr:row>
      <xdr:rowOff>12700</xdr:rowOff>
    </xdr:from>
    <xdr:to>
      <xdr:col>16</xdr:col>
      <xdr:colOff>5758985</xdr:colOff>
      <xdr:row>11</xdr:row>
      <xdr:rowOff>177800</xdr:rowOff>
    </xdr:to>
    <xdr:sp macro="" textlink="">
      <xdr:nvSpPr>
        <xdr:cNvPr id="166103" name="Скругленный прямоугольник 166102">
          <a:extLst>
            <a:ext uri="{FF2B5EF4-FFF2-40B4-BE49-F238E27FC236}">
              <a16:creationId xmlns:a16="http://schemas.microsoft.com/office/drawing/2014/main" id="{00000000-0008-0000-0300-0000D7880200}"/>
            </a:ext>
          </a:extLst>
        </xdr:cNvPr>
        <xdr:cNvSpPr/>
      </xdr:nvSpPr>
      <xdr:spPr>
        <a:xfrm>
          <a:off x="20711601" y="2336800"/>
          <a:ext cx="74458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B4" mc:Ignorable="a14" a14:legacySpreadsheetColorIndex="4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DE" mc:Ignorable="a14" a14:legacySpreadsheetColorIndex="4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64" mc:Ignorable="a14" a14:legacySpreadsheetColorIndex="4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796</a:t>
          </a:r>
        </a:p>
      </xdr:txBody>
    </xdr:sp>
    <xdr:clientData/>
  </xdr:twoCellAnchor>
  <xdr:twoCellAnchor>
    <xdr:from>
      <xdr:col>16</xdr:col>
      <xdr:colOff>0</xdr:colOff>
      <xdr:row>12</xdr:row>
      <xdr:rowOff>12700</xdr:rowOff>
    </xdr:from>
    <xdr:to>
      <xdr:col>16</xdr:col>
      <xdr:colOff>1402359</xdr:colOff>
      <xdr:row>12</xdr:row>
      <xdr:rowOff>177800</xdr:rowOff>
    </xdr:to>
    <xdr:sp macro="" textlink="">
      <xdr:nvSpPr>
        <xdr:cNvPr id="166104" name="Скругленный прямоугольник 166103">
          <a:extLst>
            <a:ext uri="{FF2B5EF4-FFF2-40B4-BE49-F238E27FC236}">
              <a16:creationId xmlns:a16="http://schemas.microsoft.com/office/drawing/2014/main" id="{00000000-0008-0000-0300-0000D8880200}"/>
            </a:ext>
          </a:extLst>
        </xdr:cNvPr>
        <xdr:cNvSpPr/>
      </xdr:nvSpPr>
      <xdr:spPr>
        <a:xfrm>
          <a:off x="15697200" y="2527300"/>
          <a:ext cx="140235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FF" mc:Ignorable="a14" a14:legacySpreadsheetColorIndex="2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FF" mc:Ignorable="a14" a14:legacySpreadsheetColorIndex="2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AA" mc:Ignorable="a14" a14:legacySpreadsheetColorIndex="2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1476</a:t>
          </a:r>
        </a:p>
      </xdr:txBody>
    </xdr:sp>
    <xdr:clientData/>
  </xdr:twoCellAnchor>
  <xdr:twoCellAnchor>
    <xdr:from>
      <xdr:col>16</xdr:col>
      <xdr:colOff>1437390</xdr:colOff>
      <xdr:row>12</xdr:row>
      <xdr:rowOff>12700</xdr:rowOff>
    </xdr:from>
    <xdr:to>
      <xdr:col>16</xdr:col>
      <xdr:colOff>2791383</xdr:colOff>
      <xdr:row>12</xdr:row>
      <xdr:rowOff>177800</xdr:rowOff>
    </xdr:to>
    <xdr:sp macro="" textlink="">
      <xdr:nvSpPr>
        <xdr:cNvPr id="166105" name="Скругленный прямоугольник 166104">
          <a:extLst>
            <a:ext uri="{FF2B5EF4-FFF2-40B4-BE49-F238E27FC236}">
              <a16:creationId xmlns:a16="http://schemas.microsoft.com/office/drawing/2014/main" id="{00000000-0008-0000-0300-0000D9880200}"/>
            </a:ext>
          </a:extLst>
        </xdr:cNvPr>
        <xdr:cNvSpPr/>
      </xdr:nvSpPr>
      <xdr:spPr>
        <a:xfrm>
          <a:off x="17134590" y="2527300"/>
          <a:ext cx="135399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7C96" mc:Ignorable="a14" a14:legacySpreadsheetColorIndex="2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CBD3" mc:Ignorable="a14" a14:legacySpreadsheetColorIndex="2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0041" mc:Ignorable="a14" a14:legacySpreadsheetColorIndex="2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1426</a:t>
          </a:r>
        </a:p>
      </xdr:txBody>
    </xdr:sp>
    <xdr:clientData/>
  </xdr:twoCellAnchor>
  <xdr:twoCellAnchor>
    <xdr:from>
      <xdr:col>16</xdr:col>
      <xdr:colOff>2826415</xdr:colOff>
      <xdr:row>12</xdr:row>
      <xdr:rowOff>12700</xdr:rowOff>
    </xdr:from>
    <xdr:to>
      <xdr:col>16</xdr:col>
      <xdr:colOff>4074004</xdr:colOff>
      <xdr:row>12</xdr:row>
      <xdr:rowOff>177800</xdr:rowOff>
    </xdr:to>
    <xdr:sp macro="" textlink="">
      <xdr:nvSpPr>
        <xdr:cNvPr id="166106" name="Скругленный прямоугольник 166105">
          <a:extLst>
            <a:ext uri="{FF2B5EF4-FFF2-40B4-BE49-F238E27FC236}">
              <a16:creationId xmlns:a16="http://schemas.microsoft.com/office/drawing/2014/main" id="{00000000-0008-0000-0300-0000DA880200}"/>
            </a:ext>
          </a:extLst>
        </xdr:cNvPr>
        <xdr:cNvSpPr/>
      </xdr:nvSpPr>
      <xdr:spPr>
        <a:xfrm>
          <a:off x="18523615" y="2527300"/>
          <a:ext cx="12475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1316</a:t>
          </a:r>
        </a:p>
      </xdr:txBody>
    </xdr:sp>
    <xdr:clientData/>
  </xdr:twoCellAnchor>
  <xdr:twoCellAnchor>
    <xdr:from>
      <xdr:col>16</xdr:col>
      <xdr:colOff>4109034</xdr:colOff>
      <xdr:row>12</xdr:row>
      <xdr:rowOff>12700</xdr:rowOff>
    </xdr:from>
    <xdr:to>
      <xdr:col>16</xdr:col>
      <xdr:colOff>5027735</xdr:colOff>
      <xdr:row>12</xdr:row>
      <xdr:rowOff>177800</xdr:rowOff>
    </xdr:to>
    <xdr:sp macro="" textlink="">
      <xdr:nvSpPr>
        <xdr:cNvPr id="166107" name="Скругленный прямоугольник 166106">
          <a:extLst>
            <a:ext uri="{FF2B5EF4-FFF2-40B4-BE49-F238E27FC236}">
              <a16:creationId xmlns:a16="http://schemas.microsoft.com/office/drawing/2014/main" id="{00000000-0008-0000-0300-0000DB880200}"/>
            </a:ext>
          </a:extLst>
        </xdr:cNvPr>
        <xdr:cNvSpPr/>
      </xdr:nvSpPr>
      <xdr:spPr>
        <a:xfrm>
          <a:off x="19806234" y="2527300"/>
          <a:ext cx="91870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3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3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3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976</a:t>
          </a:r>
        </a:p>
      </xdr:txBody>
    </xdr:sp>
    <xdr:clientData/>
  </xdr:twoCellAnchor>
  <xdr:twoCellAnchor>
    <xdr:from>
      <xdr:col>16</xdr:col>
      <xdr:colOff>5062765</xdr:colOff>
      <xdr:row>12</xdr:row>
      <xdr:rowOff>12700</xdr:rowOff>
    </xdr:from>
    <xdr:to>
      <xdr:col>16</xdr:col>
      <xdr:colOff>5758983</xdr:colOff>
      <xdr:row>12</xdr:row>
      <xdr:rowOff>177800</xdr:rowOff>
    </xdr:to>
    <xdr:sp macro="" textlink="">
      <xdr:nvSpPr>
        <xdr:cNvPr id="166108" name="Скругленный прямоугольник 166107">
          <a:extLst>
            <a:ext uri="{FF2B5EF4-FFF2-40B4-BE49-F238E27FC236}">
              <a16:creationId xmlns:a16="http://schemas.microsoft.com/office/drawing/2014/main" id="{00000000-0008-0000-0300-0000DC880200}"/>
            </a:ext>
          </a:extLst>
        </xdr:cNvPr>
        <xdr:cNvSpPr/>
      </xdr:nvSpPr>
      <xdr:spPr>
        <a:xfrm>
          <a:off x="20759965" y="2527300"/>
          <a:ext cx="69621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B4D7" mc:Ignorable="a14" a14:legacySpreadsheetColorIndex="4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EEC" mc:Ignorable="a14" a14:legacySpreadsheetColorIndex="4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6487" mc:Ignorable="a14" a14:legacySpreadsheetColorIndex="4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746</a:t>
          </a:r>
        </a:p>
      </xdr:txBody>
    </xdr:sp>
    <xdr:clientData/>
  </xdr:twoCellAnchor>
  <xdr:twoCellAnchor>
    <xdr:from>
      <xdr:col>16</xdr:col>
      <xdr:colOff>0</xdr:colOff>
      <xdr:row>13</xdr:row>
      <xdr:rowOff>12700</xdr:rowOff>
    </xdr:from>
    <xdr:to>
      <xdr:col>16</xdr:col>
      <xdr:colOff>1421705</xdr:colOff>
      <xdr:row>13</xdr:row>
      <xdr:rowOff>177800</xdr:rowOff>
    </xdr:to>
    <xdr:sp macro="" textlink="">
      <xdr:nvSpPr>
        <xdr:cNvPr id="166109" name="Скругленный прямоугольник 166108">
          <a:extLst>
            <a:ext uri="{FF2B5EF4-FFF2-40B4-BE49-F238E27FC236}">
              <a16:creationId xmlns:a16="http://schemas.microsoft.com/office/drawing/2014/main" id="{00000000-0008-0000-0300-0000DD880200}"/>
            </a:ext>
          </a:extLst>
        </xdr:cNvPr>
        <xdr:cNvSpPr/>
      </xdr:nvSpPr>
      <xdr:spPr>
        <a:xfrm>
          <a:off x="15697200" y="2717800"/>
          <a:ext cx="142170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1496</a:t>
          </a:r>
        </a:p>
      </xdr:txBody>
    </xdr:sp>
    <xdr:clientData/>
  </xdr:twoCellAnchor>
  <xdr:twoCellAnchor>
    <xdr:from>
      <xdr:col>16</xdr:col>
      <xdr:colOff>1456736</xdr:colOff>
      <xdr:row>13</xdr:row>
      <xdr:rowOff>12700</xdr:rowOff>
    </xdr:from>
    <xdr:to>
      <xdr:col>16</xdr:col>
      <xdr:colOff>2636613</xdr:colOff>
      <xdr:row>13</xdr:row>
      <xdr:rowOff>177800</xdr:rowOff>
    </xdr:to>
    <xdr:sp macro="" textlink="">
      <xdr:nvSpPr>
        <xdr:cNvPr id="166110" name="Скругленный прямоугольник 166109">
          <a:extLst>
            <a:ext uri="{FF2B5EF4-FFF2-40B4-BE49-F238E27FC236}">
              <a16:creationId xmlns:a16="http://schemas.microsoft.com/office/drawing/2014/main" id="{00000000-0008-0000-0300-0000DE880200}"/>
            </a:ext>
          </a:extLst>
        </xdr:cNvPr>
        <xdr:cNvSpPr/>
      </xdr:nvSpPr>
      <xdr:spPr>
        <a:xfrm>
          <a:off x="17153936" y="2717800"/>
          <a:ext cx="117987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1246</a:t>
          </a:r>
        </a:p>
      </xdr:txBody>
    </xdr:sp>
    <xdr:clientData/>
  </xdr:twoCellAnchor>
  <xdr:twoCellAnchor>
    <xdr:from>
      <xdr:col>16</xdr:col>
      <xdr:colOff>2671645</xdr:colOff>
      <xdr:row>13</xdr:row>
      <xdr:rowOff>12700</xdr:rowOff>
    </xdr:from>
    <xdr:to>
      <xdr:col>16</xdr:col>
      <xdr:colOff>3783809</xdr:colOff>
      <xdr:row>13</xdr:row>
      <xdr:rowOff>177800</xdr:rowOff>
    </xdr:to>
    <xdr:sp macro="" textlink="">
      <xdr:nvSpPr>
        <xdr:cNvPr id="166111" name="Скругленный прямоугольник 166110">
          <a:extLst>
            <a:ext uri="{FF2B5EF4-FFF2-40B4-BE49-F238E27FC236}">
              <a16:creationId xmlns:a16="http://schemas.microsoft.com/office/drawing/2014/main" id="{00000000-0008-0000-0300-0000DF880200}"/>
            </a:ext>
          </a:extLst>
        </xdr:cNvPr>
        <xdr:cNvSpPr/>
      </xdr:nvSpPr>
      <xdr:spPr>
        <a:xfrm>
          <a:off x="18368845" y="2717800"/>
          <a:ext cx="111216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3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3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3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1176</a:t>
          </a:r>
        </a:p>
      </xdr:txBody>
    </xdr:sp>
    <xdr:clientData/>
  </xdr:twoCellAnchor>
  <xdr:twoCellAnchor>
    <xdr:from>
      <xdr:col>16</xdr:col>
      <xdr:colOff>3818840</xdr:colOff>
      <xdr:row>13</xdr:row>
      <xdr:rowOff>12700</xdr:rowOff>
    </xdr:from>
    <xdr:to>
      <xdr:col>16</xdr:col>
      <xdr:colOff>4776234</xdr:colOff>
      <xdr:row>13</xdr:row>
      <xdr:rowOff>177800</xdr:rowOff>
    </xdr:to>
    <xdr:sp macro="" textlink="">
      <xdr:nvSpPr>
        <xdr:cNvPr id="165888" name="Скругленный прямоугольник 165887">
          <a:extLst>
            <a:ext uri="{FF2B5EF4-FFF2-40B4-BE49-F238E27FC236}">
              <a16:creationId xmlns:a16="http://schemas.microsoft.com/office/drawing/2014/main" id="{00000000-0008-0000-0300-000000880200}"/>
            </a:ext>
          </a:extLst>
        </xdr:cNvPr>
        <xdr:cNvSpPr/>
      </xdr:nvSpPr>
      <xdr:spPr>
        <a:xfrm>
          <a:off x="19516040" y="2717800"/>
          <a:ext cx="95739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A4" mc:Ignorable="a14" a14:legacySpreadsheetColorIndex="3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D8" mc:Ignorable="a14" a14:legacySpreadsheetColorIndex="3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53" mc:Ignorable="a14" a14:legacySpreadsheetColorIndex="3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1016</a:t>
          </a:r>
        </a:p>
      </xdr:txBody>
    </xdr:sp>
    <xdr:clientData/>
  </xdr:twoCellAnchor>
  <xdr:twoCellAnchor>
    <xdr:from>
      <xdr:col>16</xdr:col>
      <xdr:colOff>4811264</xdr:colOff>
      <xdr:row>13</xdr:row>
      <xdr:rowOff>12700</xdr:rowOff>
    </xdr:from>
    <xdr:to>
      <xdr:col>16</xdr:col>
      <xdr:colOff>5758985</xdr:colOff>
      <xdr:row>13</xdr:row>
      <xdr:rowOff>177800</xdr:rowOff>
    </xdr:to>
    <xdr:sp macro="" textlink="">
      <xdr:nvSpPr>
        <xdr:cNvPr id="165895" name="Скругленный прямоугольник 165894">
          <a:extLst>
            <a:ext uri="{FF2B5EF4-FFF2-40B4-BE49-F238E27FC236}">
              <a16:creationId xmlns:a16="http://schemas.microsoft.com/office/drawing/2014/main" id="{00000000-0008-0000-0300-000007880200}"/>
            </a:ext>
          </a:extLst>
        </xdr:cNvPr>
        <xdr:cNvSpPr/>
      </xdr:nvSpPr>
      <xdr:spPr>
        <a:xfrm>
          <a:off x="20508464" y="2717800"/>
          <a:ext cx="94772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3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3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3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1006</a:t>
          </a:r>
        </a:p>
      </xdr:txBody>
    </xdr:sp>
    <xdr:clientData/>
  </xdr:twoCellAnchor>
  <xdr:twoCellAnchor>
    <xdr:from>
      <xdr:col>16</xdr:col>
      <xdr:colOff>0</xdr:colOff>
      <xdr:row>14</xdr:row>
      <xdr:rowOff>12700</xdr:rowOff>
    </xdr:from>
    <xdr:to>
      <xdr:col>16</xdr:col>
      <xdr:colOff>1421705</xdr:colOff>
      <xdr:row>14</xdr:row>
      <xdr:rowOff>177800</xdr:rowOff>
    </xdr:to>
    <xdr:sp macro="" textlink="">
      <xdr:nvSpPr>
        <xdr:cNvPr id="165896" name="Скругленный прямоугольник 165895">
          <a:extLst>
            <a:ext uri="{FF2B5EF4-FFF2-40B4-BE49-F238E27FC236}">
              <a16:creationId xmlns:a16="http://schemas.microsoft.com/office/drawing/2014/main" id="{00000000-0008-0000-0300-000008880200}"/>
            </a:ext>
          </a:extLst>
        </xdr:cNvPr>
        <xdr:cNvSpPr/>
      </xdr:nvSpPr>
      <xdr:spPr>
        <a:xfrm>
          <a:off x="15697200" y="2908300"/>
          <a:ext cx="142170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1496</a:t>
          </a:r>
        </a:p>
      </xdr:txBody>
    </xdr:sp>
    <xdr:clientData/>
  </xdr:twoCellAnchor>
  <xdr:twoCellAnchor>
    <xdr:from>
      <xdr:col>16</xdr:col>
      <xdr:colOff>1456736</xdr:colOff>
      <xdr:row>14</xdr:row>
      <xdr:rowOff>12700</xdr:rowOff>
    </xdr:from>
    <xdr:to>
      <xdr:col>16</xdr:col>
      <xdr:colOff>2839749</xdr:colOff>
      <xdr:row>14</xdr:row>
      <xdr:rowOff>177800</xdr:rowOff>
    </xdr:to>
    <xdr:sp macro="" textlink="">
      <xdr:nvSpPr>
        <xdr:cNvPr id="165897" name="Скругленный прямоугольник 165896">
          <a:extLst>
            <a:ext uri="{FF2B5EF4-FFF2-40B4-BE49-F238E27FC236}">
              <a16:creationId xmlns:a16="http://schemas.microsoft.com/office/drawing/2014/main" id="{00000000-0008-0000-0300-000009880200}"/>
            </a:ext>
          </a:extLst>
        </xdr:cNvPr>
        <xdr:cNvSpPr/>
      </xdr:nvSpPr>
      <xdr:spPr>
        <a:xfrm>
          <a:off x="17153936" y="2908300"/>
          <a:ext cx="138301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1456</a:t>
          </a:r>
        </a:p>
      </xdr:txBody>
    </xdr:sp>
    <xdr:clientData/>
  </xdr:twoCellAnchor>
  <xdr:twoCellAnchor>
    <xdr:from>
      <xdr:col>16</xdr:col>
      <xdr:colOff>2874781</xdr:colOff>
      <xdr:row>14</xdr:row>
      <xdr:rowOff>12700</xdr:rowOff>
    </xdr:from>
    <xdr:to>
      <xdr:col>16</xdr:col>
      <xdr:colOff>4006292</xdr:colOff>
      <xdr:row>14</xdr:row>
      <xdr:rowOff>177800</xdr:rowOff>
    </xdr:to>
    <xdr:sp macro="" textlink="">
      <xdr:nvSpPr>
        <xdr:cNvPr id="165898" name="Скругленный прямоугольник 165897">
          <a:extLst>
            <a:ext uri="{FF2B5EF4-FFF2-40B4-BE49-F238E27FC236}">
              <a16:creationId xmlns:a16="http://schemas.microsoft.com/office/drawing/2014/main" id="{00000000-0008-0000-0300-00000A880200}"/>
            </a:ext>
          </a:extLst>
        </xdr:cNvPr>
        <xdr:cNvSpPr/>
      </xdr:nvSpPr>
      <xdr:spPr>
        <a:xfrm>
          <a:off x="18571981" y="2908300"/>
          <a:ext cx="113151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D7FF" mc:Ignorable="a14" a14:legacySpreadsheetColorIndex="3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ECFF" mc:Ignorable="a14" a14:legacySpreadsheetColorIndex="3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87AA" mc:Ignorable="a14" a14:legacySpreadsheetColorIndex="3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1196</a:t>
          </a:r>
        </a:p>
      </xdr:txBody>
    </xdr:sp>
    <xdr:clientData/>
  </xdr:twoCellAnchor>
  <xdr:twoCellAnchor>
    <xdr:from>
      <xdr:col>16</xdr:col>
      <xdr:colOff>4041322</xdr:colOff>
      <xdr:row>14</xdr:row>
      <xdr:rowOff>12700</xdr:rowOff>
    </xdr:from>
    <xdr:to>
      <xdr:col>16</xdr:col>
      <xdr:colOff>5163159</xdr:colOff>
      <xdr:row>14</xdr:row>
      <xdr:rowOff>177800</xdr:rowOff>
    </xdr:to>
    <xdr:sp macro="" textlink="">
      <xdr:nvSpPr>
        <xdr:cNvPr id="165899" name="Скругленный прямоугольник 165898">
          <a:extLst>
            <a:ext uri="{FF2B5EF4-FFF2-40B4-BE49-F238E27FC236}">
              <a16:creationId xmlns:a16="http://schemas.microsoft.com/office/drawing/2014/main" id="{00000000-0008-0000-0300-00000B880200}"/>
            </a:ext>
          </a:extLst>
        </xdr:cNvPr>
        <xdr:cNvSpPr/>
      </xdr:nvSpPr>
      <xdr:spPr>
        <a:xfrm>
          <a:off x="19738522" y="2908300"/>
          <a:ext cx="112183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3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3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3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1186</a:t>
          </a:r>
        </a:p>
      </xdr:txBody>
    </xdr:sp>
    <xdr:clientData/>
  </xdr:twoCellAnchor>
  <xdr:twoCellAnchor>
    <xdr:from>
      <xdr:col>16</xdr:col>
      <xdr:colOff>5198190</xdr:colOff>
      <xdr:row>14</xdr:row>
      <xdr:rowOff>12700</xdr:rowOff>
    </xdr:from>
    <xdr:to>
      <xdr:col>16</xdr:col>
      <xdr:colOff>5758983</xdr:colOff>
      <xdr:row>14</xdr:row>
      <xdr:rowOff>177800</xdr:rowOff>
    </xdr:to>
    <xdr:sp macro="" textlink="">
      <xdr:nvSpPr>
        <xdr:cNvPr id="165900" name="Скругленный прямоугольник 165899">
          <a:extLst>
            <a:ext uri="{FF2B5EF4-FFF2-40B4-BE49-F238E27FC236}">
              <a16:creationId xmlns:a16="http://schemas.microsoft.com/office/drawing/2014/main" id="{00000000-0008-0000-0300-00000C880200}"/>
            </a:ext>
          </a:extLst>
        </xdr:cNvPr>
        <xdr:cNvSpPr/>
      </xdr:nvSpPr>
      <xdr:spPr>
        <a:xfrm>
          <a:off x="20895390" y="2908300"/>
          <a:ext cx="56079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D7D7" mc:Ignorable="a14" a14:legacySpreadsheetColorIndex="4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ECEC" mc:Ignorable="a14" a14:legacySpreadsheetColorIndex="4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8787" mc:Ignorable="a14" a14:legacySpreadsheetColorIndex="4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606</a:t>
          </a:r>
        </a:p>
      </xdr:txBody>
    </xdr:sp>
    <xdr:clientData/>
  </xdr:twoCellAnchor>
  <xdr:twoCellAnchor>
    <xdr:from>
      <xdr:col>16</xdr:col>
      <xdr:colOff>0</xdr:colOff>
      <xdr:row>15</xdr:row>
      <xdr:rowOff>12700</xdr:rowOff>
    </xdr:from>
    <xdr:to>
      <xdr:col>16</xdr:col>
      <xdr:colOff>1450725</xdr:colOff>
      <xdr:row>15</xdr:row>
      <xdr:rowOff>177800</xdr:rowOff>
    </xdr:to>
    <xdr:sp macro="" textlink="">
      <xdr:nvSpPr>
        <xdr:cNvPr id="165901" name="Скругленный прямоугольник 165900">
          <a:extLst>
            <a:ext uri="{FF2B5EF4-FFF2-40B4-BE49-F238E27FC236}">
              <a16:creationId xmlns:a16="http://schemas.microsoft.com/office/drawing/2014/main" id="{00000000-0008-0000-0300-00000D880200}"/>
            </a:ext>
          </a:extLst>
        </xdr:cNvPr>
        <xdr:cNvSpPr/>
      </xdr:nvSpPr>
      <xdr:spPr>
        <a:xfrm>
          <a:off x="15697200" y="3098800"/>
          <a:ext cx="14507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7C" mc:Ignorable="a14" a14:legacySpreadsheetColorIndex="1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CB" mc:Ignorable="a14" a14:legacySpreadsheetColorIndex="1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00" mc:Ignorable="a14" a14:legacySpreadsheetColorIndex="1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1485756</xdr:colOff>
      <xdr:row>15</xdr:row>
      <xdr:rowOff>12700</xdr:rowOff>
    </xdr:from>
    <xdr:to>
      <xdr:col>16</xdr:col>
      <xdr:colOff>2801057</xdr:colOff>
      <xdr:row>15</xdr:row>
      <xdr:rowOff>177800</xdr:rowOff>
    </xdr:to>
    <xdr:sp macro="" textlink="">
      <xdr:nvSpPr>
        <xdr:cNvPr id="165902" name="Скругленный прямоугольник 165901">
          <a:extLst>
            <a:ext uri="{FF2B5EF4-FFF2-40B4-BE49-F238E27FC236}">
              <a16:creationId xmlns:a16="http://schemas.microsoft.com/office/drawing/2014/main" id="{00000000-0008-0000-0300-00000E880200}"/>
            </a:ext>
          </a:extLst>
        </xdr:cNvPr>
        <xdr:cNvSpPr/>
      </xdr:nvSpPr>
      <xdr:spPr>
        <a:xfrm>
          <a:off x="17182956" y="3098800"/>
          <a:ext cx="131530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B4FF" mc:Ignorable="a14" a14:legacySpreadsheetColorIndex="2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DEFF" mc:Ignorable="a14" a14:legacySpreadsheetColorIndex="2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64AA" mc:Ignorable="a14" a14:legacySpreadsheetColorIndex="2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1386</a:t>
          </a:r>
        </a:p>
      </xdr:txBody>
    </xdr:sp>
    <xdr:clientData/>
  </xdr:twoCellAnchor>
  <xdr:twoCellAnchor>
    <xdr:from>
      <xdr:col>16</xdr:col>
      <xdr:colOff>2836087</xdr:colOff>
      <xdr:row>15</xdr:row>
      <xdr:rowOff>12700</xdr:rowOff>
    </xdr:from>
    <xdr:to>
      <xdr:col>16</xdr:col>
      <xdr:colOff>3938578</xdr:colOff>
      <xdr:row>15</xdr:row>
      <xdr:rowOff>177800</xdr:rowOff>
    </xdr:to>
    <xdr:sp macro="" textlink="">
      <xdr:nvSpPr>
        <xdr:cNvPr id="165903" name="Скругленный прямоугольник 165902">
          <a:extLst>
            <a:ext uri="{FF2B5EF4-FFF2-40B4-BE49-F238E27FC236}">
              <a16:creationId xmlns:a16="http://schemas.microsoft.com/office/drawing/2014/main" id="{00000000-0008-0000-0300-00000F880200}"/>
            </a:ext>
          </a:extLst>
        </xdr:cNvPr>
        <xdr:cNvSpPr/>
      </xdr:nvSpPr>
      <xdr:spPr>
        <a:xfrm>
          <a:off x="18533287" y="30988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3973610</xdr:colOff>
      <xdr:row>15</xdr:row>
      <xdr:rowOff>12700</xdr:rowOff>
    </xdr:from>
    <xdr:to>
      <xdr:col>16</xdr:col>
      <xdr:colOff>5076101</xdr:colOff>
      <xdr:row>15</xdr:row>
      <xdr:rowOff>177800</xdr:rowOff>
    </xdr:to>
    <xdr:sp macro="" textlink="">
      <xdr:nvSpPr>
        <xdr:cNvPr id="165904" name="Скругленный прямоугольник 165903">
          <a:extLst>
            <a:ext uri="{FF2B5EF4-FFF2-40B4-BE49-F238E27FC236}">
              <a16:creationId xmlns:a16="http://schemas.microsoft.com/office/drawing/2014/main" id="{00000000-0008-0000-0300-000010880200}"/>
            </a:ext>
          </a:extLst>
        </xdr:cNvPr>
        <xdr:cNvSpPr/>
      </xdr:nvSpPr>
      <xdr:spPr>
        <a:xfrm>
          <a:off x="19670810" y="30988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5111131</xdr:colOff>
      <xdr:row>15</xdr:row>
      <xdr:rowOff>12700</xdr:rowOff>
    </xdr:from>
    <xdr:to>
      <xdr:col>16</xdr:col>
      <xdr:colOff>5758983</xdr:colOff>
      <xdr:row>15</xdr:row>
      <xdr:rowOff>177800</xdr:rowOff>
    </xdr:to>
    <xdr:sp macro="" textlink="">
      <xdr:nvSpPr>
        <xdr:cNvPr id="165905" name="Скругленный прямоугольник 165904">
          <a:extLst>
            <a:ext uri="{FF2B5EF4-FFF2-40B4-BE49-F238E27FC236}">
              <a16:creationId xmlns:a16="http://schemas.microsoft.com/office/drawing/2014/main" id="{00000000-0008-0000-0300-000011880200}"/>
            </a:ext>
          </a:extLst>
        </xdr:cNvPr>
        <xdr:cNvSpPr/>
      </xdr:nvSpPr>
      <xdr:spPr>
        <a:xfrm>
          <a:off x="20808331" y="3098800"/>
          <a:ext cx="64785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696</a:t>
          </a:r>
        </a:p>
      </xdr:txBody>
    </xdr:sp>
    <xdr:clientData/>
  </xdr:twoCellAnchor>
  <xdr:twoCellAnchor>
    <xdr:from>
      <xdr:col>16</xdr:col>
      <xdr:colOff>0</xdr:colOff>
      <xdr:row>16</xdr:row>
      <xdr:rowOff>12700</xdr:rowOff>
    </xdr:from>
    <xdr:to>
      <xdr:col>16</xdr:col>
      <xdr:colOff>1450725</xdr:colOff>
      <xdr:row>16</xdr:row>
      <xdr:rowOff>177800</xdr:rowOff>
    </xdr:to>
    <xdr:sp macro="" textlink="">
      <xdr:nvSpPr>
        <xdr:cNvPr id="165906" name="Скругленный прямоугольник 165905">
          <a:extLst>
            <a:ext uri="{FF2B5EF4-FFF2-40B4-BE49-F238E27FC236}">
              <a16:creationId xmlns:a16="http://schemas.microsoft.com/office/drawing/2014/main" id="{00000000-0008-0000-0300-000012880200}"/>
            </a:ext>
          </a:extLst>
        </xdr:cNvPr>
        <xdr:cNvSpPr/>
      </xdr:nvSpPr>
      <xdr:spPr>
        <a:xfrm>
          <a:off x="15697200" y="3289300"/>
          <a:ext cx="14507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7C" mc:Ignorable="a14" a14:legacySpreadsheetColorIndex="1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CB" mc:Ignorable="a14" a14:legacySpreadsheetColorIndex="1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00" mc:Ignorable="a14" a14:legacySpreadsheetColorIndex="1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1485756</xdr:colOff>
      <xdr:row>16</xdr:row>
      <xdr:rowOff>12700</xdr:rowOff>
    </xdr:from>
    <xdr:to>
      <xdr:col>16</xdr:col>
      <xdr:colOff>2801057</xdr:colOff>
      <xdr:row>16</xdr:row>
      <xdr:rowOff>177800</xdr:rowOff>
    </xdr:to>
    <xdr:sp macro="" textlink="">
      <xdr:nvSpPr>
        <xdr:cNvPr id="165907" name="Скругленный прямоугольник 165906">
          <a:extLst>
            <a:ext uri="{FF2B5EF4-FFF2-40B4-BE49-F238E27FC236}">
              <a16:creationId xmlns:a16="http://schemas.microsoft.com/office/drawing/2014/main" id="{00000000-0008-0000-0300-000013880200}"/>
            </a:ext>
          </a:extLst>
        </xdr:cNvPr>
        <xdr:cNvSpPr/>
      </xdr:nvSpPr>
      <xdr:spPr>
        <a:xfrm>
          <a:off x="17182956" y="3289300"/>
          <a:ext cx="131530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B4FF" mc:Ignorable="a14" a14:legacySpreadsheetColorIndex="2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DEFF" mc:Ignorable="a14" a14:legacySpreadsheetColorIndex="2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64AA" mc:Ignorable="a14" a14:legacySpreadsheetColorIndex="2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1386</a:t>
          </a:r>
        </a:p>
      </xdr:txBody>
    </xdr:sp>
    <xdr:clientData/>
  </xdr:twoCellAnchor>
  <xdr:twoCellAnchor>
    <xdr:from>
      <xdr:col>16</xdr:col>
      <xdr:colOff>2836087</xdr:colOff>
      <xdr:row>16</xdr:row>
      <xdr:rowOff>12700</xdr:rowOff>
    </xdr:from>
    <xdr:to>
      <xdr:col>16</xdr:col>
      <xdr:colOff>3957924</xdr:colOff>
      <xdr:row>16</xdr:row>
      <xdr:rowOff>177800</xdr:rowOff>
    </xdr:to>
    <xdr:sp macro="" textlink="">
      <xdr:nvSpPr>
        <xdr:cNvPr id="165908" name="Скругленный прямоугольник 165907">
          <a:extLst>
            <a:ext uri="{FF2B5EF4-FFF2-40B4-BE49-F238E27FC236}">
              <a16:creationId xmlns:a16="http://schemas.microsoft.com/office/drawing/2014/main" id="{00000000-0008-0000-0300-000014880200}"/>
            </a:ext>
          </a:extLst>
        </xdr:cNvPr>
        <xdr:cNvSpPr/>
      </xdr:nvSpPr>
      <xdr:spPr>
        <a:xfrm>
          <a:off x="18533287" y="3289300"/>
          <a:ext cx="112183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3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3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3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1186</a:t>
          </a:r>
        </a:p>
      </xdr:txBody>
    </xdr:sp>
    <xdr:clientData/>
  </xdr:twoCellAnchor>
  <xdr:twoCellAnchor>
    <xdr:from>
      <xdr:col>16</xdr:col>
      <xdr:colOff>3992956</xdr:colOff>
      <xdr:row>16</xdr:row>
      <xdr:rowOff>12700</xdr:rowOff>
    </xdr:from>
    <xdr:to>
      <xdr:col>16</xdr:col>
      <xdr:colOff>4940677</xdr:colOff>
      <xdr:row>16</xdr:row>
      <xdr:rowOff>177800</xdr:rowOff>
    </xdr:to>
    <xdr:sp macro="" textlink="">
      <xdr:nvSpPr>
        <xdr:cNvPr id="165909" name="Скругленный прямоугольник 165908">
          <a:extLst>
            <a:ext uri="{FF2B5EF4-FFF2-40B4-BE49-F238E27FC236}">
              <a16:creationId xmlns:a16="http://schemas.microsoft.com/office/drawing/2014/main" id="{00000000-0008-0000-0300-000015880200}"/>
            </a:ext>
          </a:extLst>
        </xdr:cNvPr>
        <xdr:cNvSpPr/>
      </xdr:nvSpPr>
      <xdr:spPr>
        <a:xfrm>
          <a:off x="19690156" y="3289300"/>
          <a:ext cx="94772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3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3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3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1006</a:t>
          </a:r>
        </a:p>
      </xdr:txBody>
    </xdr:sp>
    <xdr:clientData/>
  </xdr:twoCellAnchor>
  <xdr:twoCellAnchor>
    <xdr:from>
      <xdr:col>16</xdr:col>
      <xdr:colOff>4975707</xdr:colOff>
      <xdr:row>16</xdr:row>
      <xdr:rowOff>12700</xdr:rowOff>
    </xdr:from>
    <xdr:to>
      <xdr:col>16</xdr:col>
      <xdr:colOff>5758983</xdr:colOff>
      <xdr:row>16</xdr:row>
      <xdr:rowOff>177800</xdr:rowOff>
    </xdr:to>
    <xdr:sp macro="" textlink="">
      <xdr:nvSpPr>
        <xdr:cNvPr id="165910" name="Скругленный прямоугольник 165909">
          <a:extLst>
            <a:ext uri="{FF2B5EF4-FFF2-40B4-BE49-F238E27FC236}">
              <a16:creationId xmlns:a16="http://schemas.microsoft.com/office/drawing/2014/main" id="{00000000-0008-0000-0300-000016880200}"/>
            </a:ext>
          </a:extLst>
        </xdr:cNvPr>
        <xdr:cNvSpPr/>
      </xdr:nvSpPr>
      <xdr:spPr>
        <a:xfrm>
          <a:off x="20672907" y="3289300"/>
          <a:ext cx="78327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D7FF" mc:Ignorable="a14" a14:legacySpreadsheetColorIndex="4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ECFF" mc:Ignorable="a14" a14:legacySpreadsheetColorIndex="4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87AA" mc:Ignorable="a14" a14:legacySpreadsheetColorIndex="4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836</a:t>
          </a:r>
        </a:p>
      </xdr:txBody>
    </xdr:sp>
    <xdr:clientData/>
  </xdr:twoCellAnchor>
  <xdr:twoCellAnchor>
    <xdr:from>
      <xdr:col>16</xdr:col>
      <xdr:colOff>0</xdr:colOff>
      <xdr:row>17</xdr:row>
      <xdr:rowOff>12700</xdr:rowOff>
    </xdr:from>
    <xdr:to>
      <xdr:col>16</xdr:col>
      <xdr:colOff>1499091</xdr:colOff>
      <xdr:row>17</xdr:row>
      <xdr:rowOff>177800</xdr:rowOff>
    </xdr:to>
    <xdr:sp macro="" textlink="">
      <xdr:nvSpPr>
        <xdr:cNvPr id="165911" name="Скругленный прямоугольник 165910">
          <a:extLst>
            <a:ext uri="{FF2B5EF4-FFF2-40B4-BE49-F238E27FC236}">
              <a16:creationId xmlns:a16="http://schemas.microsoft.com/office/drawing/2014/main" id="{00000000-0008-0000-0300-000017880200}"/>
            </a:ext>
          </a:extLst>
        </xdr:cNvPr>
        <xdr:cNvSpPr/>
      </xdr:nvSpPr>
      <xdr:spPr>
        <a:xfrm>
          <a:off x="15697200" y="3479800"/>
          <a:ext cx="14990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A4" mc:Ignorable="a14" a14:legacySpreadsheetColorIndex="2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D8" mc:Ignorable="a14" a14:legacySpreadsheetColorIndex="2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53" mc:Ignorable="a14" a14:legacySpreadsheetColorIndex="2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1576</a:t>
          </a:r>
        </a:p>
      </xdr:txBody>
    </xdr:sp>
    <xdr:clientData/>
  </xdr:twoCellAnchor>
  <xdr:twoCellAnchor>
    <xdr:from>
      <xdr:col>16</xdr:col>
      <xdr:colOff>1534122</xdr:colOff>
      <xdr:row>17</xdr:row>
      <xdr:rowOff>12700</xdr:rowOff>
    </xdr:from>
    <xdr:to>
      <xdr:col>16</xdr:col>
      <xdr:colOff>2849423</xdr:colOff>
      <xdr:row>17</xdr:row>
      <xdr:rowOff>177800</xdr:rowOff>
    </xdr:to>
    <xdr:sp macro="" textlink="">
      <xdr:nvSpPr>
        <xdr:cNvPr id="165912" name="Скругленный прямоугольник 165911">
          <a:extLst>
            <a:ext uri="{FF2B5EF4-FFF2-40B4-BE49-F238E27FC236}">
              <a16:creationId xmlns:a16="http://schemas.microsoft.com/office/drawing/2014/main" id="{00000000-0008-0000-0300-000018880200}"/>
            </a:ext>
          </a:extLst>
        </xdr:cNvPr>
        <xdr:cNvSpPr/>
      </xdr:nvSpPr>
      <xdr:spPr>
        <a:xfrm>
          <a:off x="17231322" y="3479800"/>
          <a:ext cx="131530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B4FF" mc:Ignorable="a14" a14:legacySpreadsheetColorIndex="2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DEFF" mc:Ignorable="a14" a14:legacySpreadsheetColorIndex="2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64AA" mc:Ignorable="a14" a14:legacySpreadsheetColorIndex="2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1386</a:t>
          </a:r>
        </a:p>
      </xdr:txBody>
    </xdr:sp>
    <xdr:clientData/>
  </xdr:twoCellAnchor>
  <xdr:twoCellAnchor>
    <xdr:from>
      <xdr:col>16</xdr:col>
      <xdr:colOff>2884453</xdr:colOff>
      <xdr:row>17</xdr:row>
      <xdr:rowOff>12700</xdr:rowOff>
    </xdr:from>
    <xdr:to>
      <xdr:col>16</xdr:col>
      <xdr:colOff>4015964</xdr:colOff>
      <xdr:row>17</xdr:row>
      <xdr:rowOff>177800</xdr:rowOff>
    </xdr:to>
    <xdr:sp macro="" textlink="">
      <xdr:nvSpPr>
        <xdr:cNvPr id="165913" name="Скругленный прямоугольник 165912">
          <a:extLst>
            <a:ext uri="{FF2B5EF4-FFF2-40B4-BE49-F238E27FC236}">
              <a16:creationId xmlns:a16="http://schemas.microsoft.com/office/drawing/2014/main" id="{00000000-0008-0000-0300-000019880200}"/>
            </a:ext>
          </a:extLst>
        </xdr:cNvPr>
        <xdr:cNvSpPr/>
      </xdr:nvSpPr>
      <xdr:spPr>
        <a:xfrm>
          <a:off x="18581653" y="3479800"/>
          <a:ext cx="113151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D7FF" mc:Ignorable="a14" a14:legacySpreadsheetColorIndex="3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ECFF" mc:Ignorable="a14" a14:legacySpreadsheetColorIndex="3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87AA" mc:Ignorable="a14" a14:legacySpreadsheetColorIndex="3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1196</a:t>
          </a:r>
        </a:p>
      </xdr:txBody>
    </xdr:sp>
    <xdr:clientData/>
  </xdr:twoCellAnchor>
  <xdr:twoCellAnchor>
    <xdr:from>
      <xdr:col>16</xdr:col>
      <xdr:colOff>4050995</xdr:colOff>
      <xdr:row>17</xdr:row>
      <xdr:rowOff>12700</xdr:rowOff>
    </xdr:from>
    <xdr:to>
      <xdr:col>16</xdr:col>
      <xdr:colOff>4969695</xdr:colOff>
      <xdr:row>17</xdr:row>
      <xdr:rowOff>177800</xdr:rowOff>
    </xdr:to>
    <xdr:sp macro="" textlink="">
      <xdr:nvSpPr>
        <xdr:cNvPr id="165914" name="Скругленный прямоугольник 165913">
          <a:extLst>
            <a:ext uri="{FF2B5EF4-FFF2-40B4-BE49-F238E27FC236}">
              <a16:creationId xmlns:a16="http://schemas.microsoft.com/office/drawing/2014/main" id="{00000000-0008-0000-0300-00001A880200}"/>
            </a:ext>
          </a:extLst>
        </xdr:cNvPr>
        <xdr:cNvSpPr/>
      </xdr:nvSpPr>
      <xdr:spPr>
        <a:xfrm>
          <a:off x="19748195" y="3479800"/>
          <a:ext cx="91870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3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3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3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976</a:t>
          </a:r>
        </a:p>
      </xdr:txBody>
    </xdr:sp>
    <xdr:clientData/>
  </xdr:twoCellAnchor>
  <xdr:twoCellAnchor>
    <xdr:from>
      <xdr:col>16</xdr:col>
      <xdr:colOff>5004727</xdr:colOff>
      <xdr:row>17</xdr:row>
      <xdr:rowOff>12700</xdr:rowOff>
    </xdr:from>
    <xdr:to>
      <xdr:col>16</xdr:col>
      <xdr:colOff>5758985</xdr:colOff>
      <xdr:row>17</xdr:row>
      <xdr:rowOff>177800</xdr:rowOff>
    </xdr:to>
    <xdr:sp macro="" textlink="">
      <xdr:nvSpPr>
        <xdr:cNvPr id="165915" name="Скругленный прямоугольник 165914">
          <a:extLst>
            <a:ext uri="{FF2B5EF4-FFF2-40B4-BE49-F238E27FC236}">
              <a16:creationId xmlns:a16="http://schemas.microsoft.com/office/drawing/2014/main" id="{00000000-0008-0000-0300-00001B880200}"/>
            </a:ext>
          </a:extLst>
        </xdr:cNvPr>
        <xdr:cNvSpPr/>
      </xdr:nvSpPr>
      <xdr:spPr>
        <a:xfrm>
          <a:off x="20701927" y="3479800"/>
          <a:ext cx="75425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D7FF" mc:Ignorable="a14" a14:legacySpreadsheetColorIndex="4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ECFF" mc:Ignorable="a14" a14:legacySpreadsheetColorIndex="4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87AA" mc:Ignorable="a14" a14:legacySpreadsheetColorIndex="4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806</a:t>
          </a:r>
        </a:p>
      </xdr:txBody>
    </xdr:sp>
    <xdr:clientData/>
  </xdr:twoCellAnchor>
  <xdr:twoCellAnchor>
    <xdr:from>
      <xdr:col>16</xdr:col>
      <xdr:colOff>0</xdr:colOff>
      <xdr:row>18</xdr:row>
      <xdr:rowOff>12700</xdr:rowOff>
    </xdr:from>
    <xdr:to>
      <xdr:col>16</xdr:col>
      <xdr:colOff>1499091</xdr:colOff>
      <xdr:row>18</xdr:row>
      <xdr:rowOff>177800</xdr:rowOff>
    </xdr:to>
    <xdr:sp macro="" textlink="">
      <xdr:nvSpPr>
        <xdr:cNvPr id="165916" name="Скругленный прямоугольник 165915">
          <a:extLst>
            <a:ext uri="{FF2B5EF4-FFF2-40B4-BE49-F238E27FC236}">
              <a16:creationId xmlns:a16="http://schemas.microsoft.com/office/drawing/2014/main" id="{00000000-0008-0000-0300-00001C880200}"/>
            </a:ext>
          </a:extLst>
        </xdr:cNvPr>
        <xdr:cNvSpPr/>
      </xdr:nvSpPr>
      <xdr:spPr>
        <a:xfrm>
          <a:off x="15697200" y="3670300"/>
          <a:ext cx="14990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A4" mc:Ignorable="a14" a14:legacySpreadsheetColorIndex="2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D8" mc:Ignorable="a14" a14:legacySpreadsheetColorIndex="2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53" mc:Ignorable="a14" a14:legacySpreadsheetColorIndex="2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1576</a:t>
          </a:r>
        </a:p>
      </xdr:txBody>
    </xdr:sp>
    <xdr:clientData/>
  </xdr:twoCellAnchor>
  <xdr:twoCellAnchor>
    <xdr:from>
      <xdr:col>16</xdr:col>
      <xdr:colOff>1534122</xdr:colOff>
      <xdr:row>18</xdr:row>
      <xdr:rowOff>12700</xdr:rowOff>
    </xdr:from>
    <xdr:to>
      <xdr:col>16</xdr:col>
      <xdr:colOff>2888115</xdr:colOff>
      <xdr:row>18</xdr:row>
      <xdr:rowOff>177800</xdr:rowOff>
    </xdr:to>
    <xdr:sp macro="" textlink="">
      <xdr:nvSpPr>
        <xdr:cNvPr id="165917" name="Скругленный прямоугольник 165916">
          <a:extLst>
            <a:ext uri="{FF2B5EF4-FFF2-40B4-BE49-F238E27FC236}">
              <a16:creationId xmlns:a16="http://schemas.microsoft.com/office/drawing/2014/main" id="{00000000-0008-0000-0300-00001D880200}"/>
            </a:ext>
          </a:extLst>
        </xdr:cNvPr>
        <xdr:cNvSpPr/>
      </xdr:nvSpPr>
      <xdr:spPr>
        <a:xfrm>
          <a:off x="17231322" y="3670300"/>
          <a:ext cx="135399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7C96" mc:Ignorable="a14" a14:legacySpreadsheetColorIndex="2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CBD3" mc:Ignorable="a14" a14:legacySpreadsheetColorIndex="2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0041" mc:Ignorable="a14" a14:legacySpreadsheetColorIndex="2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1426</a:t>
          </a:r>
        </a:p>
      </xdr:txBody>
    </xdr:sp>
    <xdr:clientData/>
  </xdr:twoCellAnchor>
  <xdr:twoCellAnchor>
    <xdr:from>
      <xdr:col>16</xdr:col>
      <xdr:colOff>2923146</xdr:colOff>
      <xdr:row>18</xdr:row>
      <xdr:rowOff>12700</xdr:rowOff>
    </xdr:from>
    <xdr:to>
      <xdr:col>16</xdr:col>
      <xdr:colOff>3977270</xdr:colOff>
      <xdr:row>18</xdr:row>
      <xdr:rowOff>177800</xdr:rowOff>
    </xdr:to>
    <xdr:sp macro="" textlink="">
      <xdr:nvSpPr>
        <xdr:cNvPr id="165918" name="Скругленный прямоугольник 165917">
          <a:extLst>
            <a:ext uri="{FF2B5EF4-FFF2-40B4-BE49-F238E27FC236}">
              <a16:creationId xmlns:a16="http://schemas.microsoft.com/office/drawing/2014/main" id="{00000000-0008-0000-0300-00001E880200}"/>
            </a:ext>
          </a:extLst>
        </xdr:cNvPr>
        <xdr:cNvSpPr/>
      </xdr:nvSpPr>
      <xdr:spPr>
        <a:xfrm>
          <a:off x="18620346" y="3670300"/>
          <a:ext cx="105412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A4" mc:Ignorable="a14" a14:legacySpreadsheetColorIndex="3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D8" mc:Ignorable="a14" a14:legacySpreadsheetColorIndex="3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53" mc:Ignorable="a14" a14:legacySpreadsheetColorIndex="3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1116</a:t>
          </a:r>
        </a:p>
      </xdr:txBody>
    </xdr:sp>
    <xdr:clientData/>
  </xdr:twoCellAnchor>
  <xdr:twoCellAnchor>
    <xdr:from>
      <xdr:col>16</xdr:col>
      <xdr:colOff>4012302</xdr:colOff>
      <xdr:row>18</xdr:row>
      <xdr:rowOff>12700</xdr:rowOff>
    </xdr:from>
    <xdr:to>
      <xdr:col>16</xdr:col>
      <xdr:colOff>5018063</xdr:colOff>
      <xdr:row>18</xdr:row>
      <xdr:rowOff>177800</xdr:rowOff>
    </xdr:to>
    <xdr:sp macro="" textlink="">
      <xdr:nvSpPr>
        <xdr:cNvPr id="165919" name="Скругленный прямоугольник 165918">
          <a:extLst>
            <a:ext uri="{FF2B5EF4-FFF2-40B4-BE49-F238E27FC236}">
              <a16:creationId xmlns:a16="http://schemas.microsoft.com/office/drawing/2014/main" id="{00000000-0008-0000-0300-00001F880200}"/>
            </a:ext>
          </a:extLst>
        </xdr:cNvPr>
        <xdr:cNvSpPr/>
      </xdr:nvSpPr>
      <xdr:spPr>
        <a:xfrm>
          <a:off x="19709502" y="3670300"/>
          <a:ext cx="10057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1066</a:t>
          </a:r>
        </a:p>
      </xdr:txBody>
    </xdr:sp>
    <xdr:clientData/>
  </xdr:twoCellAnchor>
  <xdr:twoCellAnchor>
    <xdr:from>
      <xdr:col>16</xdr:col>
      <xdr:colOff>5053093</xdr:colOff>
      <xdr:row>18</xdr:row>
      <xdr:rowOff>12700</xdr:rowOff>
    </xdr:from>
    <xdr:to>
      <xdr:col>16</xdr:col>
      <xdr:colOff>5758985</xdr:colOff>
      <xdr:row>18</xdr:row>
      <xdr:rowOff>177800</xdr:rowOff>
    </xdr:to>
    <xdr:sp macro="" textlink="">
      <xdr:nvSpPr>
        <xdr:cNvPr id="166112" name="Скругленный прямоугольник 166111">
          <a:extLst>
            <a:ext uri="{FF2B5EF4-FFF2-40B4-BE49-F238E27FC236}">
              <a16:creationId xmlns:a16="http://schemas.microsoft.com/office/drawing/2014/main" id="{00000000-0008-0000-0300-0000E0880200}"/>
            </a:ext>
          </a:extLst>
        </xdr:cNvPr>
        <xdr:cNvSpPr/>
      </xdr:nvSpPr>
      <xdr:spPr>
        <a:xfrm>
          <a:off x="20750293" y="3670300"/>
          <a:ext cx="70589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B4FF" mc:Ignorable="a14" a14:legacySpreadsheetColorIndex="4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DEFF" mc:Ignorable="a14" a14:legacySpreadsheetColorIndex="4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64AA" mc:Ignorable="a14" a14:legacySpreadsheetColorIndex="4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756</a:t>
          </a:r>
        </a:p>
      </xdr:txBody>
    </xdr:sp>
    <xdr:clientData/>
  </xdr:twoCellAnchor>
  <xdr:twoCellAnchor>
    <xdr:from>
      <xdr:col>16</xdr:col>
      <xdr:colOff>0</xdr:colOff>
      <xdr:row>19</xdr:row>
      <xdr:rowOff>12700</xdr:rowOff>
    </xdr:from>
    <xdr:to>
      <xdr:col>16</xdr:col>
      <xdr:colOff>1847324</xdr:colOff>
      <xdr:row>19</xdr:row>
      <xdr:rowOff>177800</xdr:rowOff>
    </xdr:to>
    <xdr:sp macro="" textlink="">
      <xdr:nvSpPr>
        <xdr:cNvPr id="166113" name="Скругленный прямоугольник 166112">
          <a:extLst>
            <a:ext uri="{FF2B5EF4-FFF2-40B4-BE49-F238E27FC236}">
              <a16:creationId xmlns:a16="http://schemas.microsoft.com/office/drawing/2014/main" id="{00000000-0008-0000-0300-0000E1880200}"/>
            </a:ext>
          </a:extLst>
        </xdr:cNvPr>
        <xdr:cNvSpPr/>
      </xdr:nvSpPr>
      <xdr:spPr>
        <a:xfrm>
          <a:off x="15697200" y="3860800"/>
          <a:ext cx="184732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1936</a:t>
          </a:r>
        </a:p>
      </xdr:txBody>
    </xdr:sp>
    <xdr:clientData/>
  </xdr:twoCellAnchor>
  <xdr:twoCellAnchor>
    <xdr:from>
      <xdr:col>16</xdr:col>
      <xdr:colOff>1882356</xdr:colOff>
      <xdr:row>19</xdr:row>
      <xdr:rowOff>12700</xdr:rowOff>
    </xdr:from>
    <xdr:to>
      <xdr:col>16</xdr:col>
      <xdr:colOff>2984847</xdr:colOff>
      <xdr:row>19</xdr:row>
      <xdr:rowOff>177800</xdr:rowOff>
    </xdr:to>
    <xdr:sp macro="" textlink="">
      <xdr:nvSpPr>
        <xdr:cNvPr id="166114" name="Скругленный прямоугольник 166113">
          <a:extLst>
            <a:ext uri="{FF2B5EF4-FFF2-40B4-BE49-F238E27FC236}">
              <a16:creationId xmlns:a16="http://schemas.microsoft.com/office/drawing/2014/main" id="{00000000-0008-0000-0300-0000E2880200}"/>
            </a:ext>
          </a:extLst>
        </xdr:cNvPr>
        <xdr:cNvSpPr/>
      </xdr:nvSpPr>
      <xdr:spPr>
        <a:xfrm>
          <a:off x="17579556" y="38608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3019878</xdr:colOff>
      <xdr:row>19</xdr:row>
      <xdr:rowOff>12700</xdr:rowOff>
    </xdr:from>
    <xdr:to>
      <xdr:col>16</xdr:col>
      <xdr:colOff>4122369</xdr:colOff>
      <xdr:row>19</xdr:row>
      <xdr:rowOff>177800</xdr:rowOff>
    </xdr:to>
    <xdr:sp macro="" textlink="">
      <xdr:nvSpPr>
        <xdr:cNvPr id="166115" name="Скругленный прямоугольник 166114">
          <a:extLst>
            <a:ext uri="{FF2B5EF4-FFF2-40B4-BE49-F238E27FC236}">
              <a16:creationId xmlns:a16="http://schemas.microsoft.com/office/drawing/2014/main" id="{00000000-0008-0000-0300-0000E3880200}"/>
            </a:ext>
          </a:extLst>
        </xdr:cNvPr>
        <xdr:cNvSpPr/>
      </xdr:nvSpPr>
      <xdr:spPr>
        <a:xfrm>
          <a:off x="18717078" y="38608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4157401</xdr:colOff>
      <xdr:row>19</xdr:row>
      <xdr:rowOff>12700</xdr:rowOff>
    </xdr:from>
    <xdr:to>
      <xdr:col>16</xdr:col>
      <xdr:colOff>4940677</xdr:colOff>
      <xdr:row>19</xdr:row>
      <xdr:rowOff>177800</xdr:rowOff>
    </xdr:to>
    <xdr:sp macro="" textlink="">
      <xdr:nvSpPr>
        <xdr:cNvPr id="166116" name="Скругленный прямоугольник 166115">
          <a:extLst>
            <a:ext uri="{FF2B5EF4-FFF2-40B4-BE49-F238E27FC236}">
              <a16:creationId xmlns:a16="http://schemas.microsoft.com/office/drawing/2014/main" id="{00000000-0008-0000-0300-0000E4880200}"/>
            </a:ext>
          </a:extLst>
        </xdr:cNvPr>
        <xdr:cNvSpPr/>
      </xdr:nvSpPr>
      <xdr:spPr>
        <a:xfrm>
          <a:off x="19854601" y="3860800"/>
          <a:ext cx="78327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D7FF" mc:Ignorable="a14" a14:legacySpreadsheetColorIndex="4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ECFF" mc:Ignorable="a14" a14:legacySpreadsheetColorIndex="4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87AA" mc:Ignorable="a14" a14:legacySpreadsheetColorIndex="4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836</a:t>
          </a:r>
        </a:p>
      </xdr:txBody>
    </xdr:sp>
    <xdr:clientData/>
  </xdr:twoCellAnchor>
  <xdr:twoCellAnchor>
    <xdr:from>
      <xdr:col>16</xdr:col>
      <xdr:colOff>4975707</xdr:colOff>
      <xdr:row>19</xdr:row>
      <xdr:rowOff>12700</xdr:rowOff>
    </xdr:from>
    <xdr:to>
      <xdr:col>16</xdr:col>
      <xdr:colOff>5758983</xdr:colOff>
      <xdr:row>19</xdr:row>
      <xdr:rowOff>177800</xdr:rowOff>
    </xdr:to>
    <xdr:sp macro="" textlink="">
      <xdr:nvSpPr>
        <xdr:cNvPr id="166117" name="Скругленный прямоугольник 166116">
          <a:extLst>
            <a:ext uri="{FF2B5EF4-FFF2-40B4-BE49-F238E27FC236}">
              <a16:creationId xmlns:a16="http://schemas.microsoft.com/office/drawing/2014/main" id="{00000000-0008-0000-0300-0000E5880200}"/>
            </a:ext>
          </a:extLst>
        </xdr:cNvPr>
        <xdr:cNvSpPr/>
      </xdr:nvSpPr>
      <xdr:spPr>
        <a:xfrm>
          <a:off x="20672907" y="3860800"/>
          <a:ext cx="78327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D7FF" mc:Ignorable="a14" a14:legacySpreadsheetColorIndex="4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ECFF" mc:Ignorable="a14" a14:legacySpreadsheetColorIndex="4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87AA" mc:Ignorable="a14" a14:legacySpreadsheetColorIndex="4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836</a:t>
          </a:r>
        </a:p>
      </xdr:txBody>
    </xdr:sp>
    <xdr:clientData/>
  </xdr:twoCellAnchor>
  <xdr:twoCellAnchor>
    <xdr:from>
      <xdr:col>16</xdr:col>
      <xdr:colOff>0</xdr:colOff>
      <xdr:row>20</xdr:row>
      <xdr:rowOff>12700</xdr:rowOff>
    </xdr:from>
    <xdr:to>
      <xdr:col>16</xdr:col>
      <xdr:colOff>1847324</xdr:colOff>
      <xdr:row>20</xdr:row>
      <xdr:rowOff>177800</xdr:rowOff>
    </xdr:to>
    <xdr:sp macro="" textlink="">
      <xdr:nvSpPr>
        <xdr:cNvPr id="166118" name="Скругленный прямоугольник 166117">
          <a:extLst>
            <a:ext uri="{FF2B5EF4-FFF2-40B4-BE49-F238E27FC236}">
              <a16:creationId xmlns:a16="http://schemas.microsoft.com/office/drawing/2014/main" id="{00000000-0008-0000-0300-0000E6880200}"/>
            </a:ext>
          </a:extLst>
        </xdr:cNvPr>
        <xdr:cNvSpPr/>
      </xdr:nvSpPr>
      <xdr:spPr>
        <a:xfrm>
          <a:off x="15697200" y="4051300"/>
          <a:ext cx="184732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1936</a:t>
          </a:r>
        </a:p>
      </xdr:txBody>
    </xdr:sp>
    <xdr:clientData/>
  </xdr:twoCellAnchor>
  <xdr:twoCellAnchor>
    <xdr:from>
      <xdr:col>16</xdr:col>
      <xdr:colOff>1882356</xdr:colOff>
      <xdr:row>20</xdr:row>
      <xdr:rowOff>12700</xdr:rowOff>
    </xdr:from>
    <xdr:to>
      <xdr:col>16</xdr:col>
      <xdr:colOff>3062233</xdr:colOff>
      <xdr:row>20</xdr:row>
      <xdr:rowOff>177800</xdr:rowOff>
    </xdr:to>
    <xdr:sp macro="" textlink="">
      <xdr:nvSpPr>
        <xdr:cNvPr id="166119" name="Скругленный прямоугольник 166118">
          <a:extLst>
            <a:ext uri="{FF2B5EF4-FFF2-40B4-BE49-F238E27FC236}">
              <a16:creationId xmlns:a16="http://schemas.microsoft.com/office/drawing/2014/main" id="{00000000-0008-0000-0300-0000E7880200}"/>
            </a:ext>
          </a:extLst>
        </xdr:cNvPr>
        <xdr:cNvSpPr/>
      </xdr:nvSpPr>
      <xdr:spPr>
        <a:xfrm>
          <a:off x="17579556" y="4051300"/>
          <a:ext cx="117987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1246</a:t>
          </a:r>
        </a:p>
      </xdr:txBody>
    </xdr:sp>
    <xdr:clientData/>
  </xdr:twoCellAnchor>
  <xdr:twoCellAnchor>
    <xdr:from>
      <xdr:col>16</xdr:col>
      <xdr:colOff>3097264</xdr:colOff>
      <xdr:row>20</xdr:row>
      <xdr:rowOff>12700</xdr:rowOff>
    </xdr:from>
    <xdr:to>
      <xdr:col>16</xdr:col>
      <xdr:colOff>4170735</xdr:colOff>
      <xdr:row>20</xdr:row>
      <xdr:rowOff>177800</xdr:rowOff>
    </xdr:to>
    <xdr:sp macro="" textlink="">
      <xdr:nvSpPr>
        <xdr:cNvPr id="166120" name="Скругленный прямоугольник 166119">
          <a:extLst>
            <a:ext uri="{FF2B5EF4-FFF2-40B4-BE49-F238E27FC236}">
              <a16:creationId xmlns:a16="http://schemas.microsoft.com/office/drawing/2014/main" id="{00000000-0008-0000-0300-0000E8880200}"/>
            </a:ext>
          </a:extLst>
        </xdr:cNvPr>
        <xdr:cNvSpPr/>
      </xdr:nvSpPr>
      <xdr:spPr>
        <a:xfrm>
          <a:off x="18794464" y="4051300"/>
          <a:ext cx="107347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1136</a:t>
          </a:r>
        </a:p>
      </xdr:txBody>
    </xdr:sp>
    <xdr:clientData/>
  </xdr:twoCellAnchor>
  <xdr:twoCellAnchor>
    <xdr:from>
      <xdr:col>16</xdr:col>
      <xdr:colOff>4205767</xdr:colOff>
      <xdr:row>20</xdr:row>
      <xdr:rowOff>12700</xdr:rowOff>
    </xdr:from>
    <xdr:to>
      <xdr:col>16</xdr:col>
      <xdr:colOff>4998717</xdr:colOff>
      <xdr:row>20</xdr:row>
      <xdr:rowOff>177800</xdr:rowOff>
    </xdr:to>
    <xdr:sp macro="" textlink="">
      <xdr:nvSpPr>
        <xdr:cNvPr id="166121" name="Скругленный прямоугольник 166120">
          <a:extLst>
            <a:ext uri="{FF2B5EF4-FFF2-40B4-BE49-F238E27FC236}">
              <a16:creationId xmlns:a16="http://schemas.microsoft.com/office/drawing/2014/main" id="{00000000-0008-0000-0300-0000E9880200}"/>
            </a:ext>
          </a:extLst>
        </xdr:cNvPr>
        <xdr:cNvSpPr/>
      </xdr:nvSpPr>
      <xdr:spPr>
        <a:xfrm>
          <a:off x="19902967" y="4051300"/>
          <a:ext cx="79295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FF" mc:Ignorable="a14" a14:legacySpreadsheetColorIndex="4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FF" mc:Ignorable="a14" a14:legacySpreadsheetColorIndex="4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AA" mc:Ignorable="a14" a14:legacySpreadsheetColorIndex="4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846</a:t>
          </a:r>
        </a:p>
      </xdr:txBody>
    </xdr:sp>
    <xdr:clientData/>
  </xdr:twoCellAnchor>
  <xdr:twoCellAnchor>
    <xdr:from>
      <xdr:col>16</xdr:col>
      <xdr:colOff>5033747</xdr:colOff>
      <xdr:row>20</xdr:row>
      <xdr:rowOff>12700</xdr:rowOff>
    </xdr:from>
    <xdr:to>
      <xdr:col>16</xdr:col>
      <xdr:colOff>5758985</xdr:colOff>
      <xdr:row>20</xdr:row>
      <xdr:rowOff>177800</xdr:rowOff>
    </xdr:to>
    <xdr:sp macro="" textlink="">
      <xdr:nvSpPr>
        <xdr:cNvPr id="166122" name="Скругленный прямоугольник 166121">
          <a:extLst>
            <a:ext uri="{FF2B5EF4-FFF2-40B4-BE49-F238E27FC236}">
              <a16:creationId xmlns:a16="http://schemas.microsoft.com/office/drawing/2014/main" id="{00000000-0008-0000-0300-0000EA880200}"/>
            </a:ext>
          </a:extLst>
        </xdr:cNvPr>
        <xdr:cNvSpPr/>
      </xdr:nvSpPr>
      <xdr:spPr>
        <a:xfrm>
          <a:off x="20730947" y="4051300"/>
          <a:ext cx="72523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D7" mc:Ignorable="a14" a14:legacySpreadsheetColorIndex="4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EC" mc:Ignorable="a14" a14:legacySpreadsheetColorIndex="4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87" mc:Ignorable="a14" a14:legacySpreadsheetColorIndex="4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776</a:t>
          </a:r>
        </a:p>
      </xdr:txBody>
    </xdr:sp>
    <xdr:clientData/>
  </xdr:twoCellAnchor>
  <xdr:twoCellAnchor>
    <xdr:from>
      <xdr:col>16</xdr:col>
      <xdr:colOff>0</xdr:colOff>
      <xdr:row>21</xdr:row>
      <xdr:rowOff>12700</xdr:rowOff>
    </xdr:from>
    <xdr:to>
      <xdr:col>16</xdr:col>
      <xdr:colOff>1944057</xdr:colOff>
      <xdr:row>21</xdr:row>
      <xdr:rowOff>177800</xdr:rowOff>
    </xdr:to>
    <xdr:sp macro="" textlink="">
      <xdr:nvSpPr>
        <xdr:cNvPr id="166123" name="Скругленный прямоугольник 166122">
          <a:extLst>
            <a:ext uri="{FF2B5EF4-FFF2-40B4-BE49-F238E27FC236}">
              <a16:creationId xmlns:a16="http://schemas.microsoft.com/office/drawing/2014/main" id="{00000000-0008-0000-0300-0000EB880200}"/>
            </a:ext>
          </a:extLst>
        </xdr:cNvPr>
        <xdr:cNvSpPr/>
      </xdr:nvSpPr>
      <xdr:spPr>
        <a:xfrm>
          <a:off x="15697200" y="4241800"/>
          <a:ext cx="194405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A4" mc:Ignorable="a14" a14:legacySpreadsheetColorIndex="2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D8" mc:Ignorable="a14" a14:legacySpreadsheetColorIndex="2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53" mc:Ignorable="a14" a14:legacySpreadsheetColorIndex="2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2036</a:t>
          </a:r>
        </a:p>
      </xdr:txBody>
    </xdr:sp>
    <xdr:clientData/>
  </xdr:twoCellAnchor>
  <xdr:twoCellAnchor>
    <xdr:from>
      <xdr:col>16</xdr:col>
      <xdr:colOff>1979087</xdr:colOff>
      <xdr:row>21</xdr:row>
      <xdr:rowOff>12700</xdr:rowOff>
    </xdr:from>
    <xdr:to>
      <xdr:col>16</xdr:col>
      <xdr:colOff>3110598</xdr:colOff>
      <xdr:row>21</xdr:row>
      <xdr:rowOff>177800</xdr:rowOff>
    </xdr:to>
    <xdr:sp macro="" textlink="">
      <xdr:nvSpPr>
        <xdr:cNvPr id="166124" name="Скругленный прямоугольник 166123">
          <a:extLst>
            <a:ext uri="{FF2B5EF4-FFF2-40B4-BE49-F238E27FC236}">
              <a16:creationId xmlns:a16="http://schemas.microsoft.com/office/drawing/2014/main" id="{00000000-0008-0000-0300-0000EC880200}"/>
            </a:ext>
          </a:extLst>
        </xdr:cNvPr>
        <xdr:cNvSpPr/>
      </xdr:nvSpPr>
      <xdr:spPr>
        <a:xfrm>
          <a:off x="17676287" y="4241800"/>
          <a:ext cx="113151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D7FF" mc:Ignorable="a14" a14:legacySpreadsheetColorIndex="3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ECFF" mc:Ignorable="a14" a14:legacySpreadsheetColorIndex="3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87AA" mc:Ignorable="a14" a14:legacySpreadsheetColorIndex="3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1196</a:t>
          </a:r>
        </a:p>
      </xdr:txBody>
    </xdr:sp>
    <xdr:clientData/>
  </xdr:twoCellAnchor>
  <xdr:twoCellAnchor>
    <xdr:from>
      <xdr:col>16</xdr:col>
      <xdr:colOff>3145630</xdr:colOff>
      <xdr:row>21</xdr:row>
      <xdr:rowOff>12700</xdr:rowOff>
    </xdr:from>
    <xdr:to>
      <xdr:col>16</xdr:col>
      <xdr:colOff>4151390</xdr:colOff>
      <xdr:row>21</xdr:row>
      <xdr:rowOff>177800</xdr:rowOff>
    </xdr:to>
    <xdr:sp macro="" textlink="">
      <xdr:nvSpPr>
        <xdr:cNvPr id="166125" name="Скругленный прямоугольник 166124">
          <a:extLst>
            <a:ext uri="{FF2B5EF4-FFF2-40B4-BE49-F238E27FC236}">
              <a16:creationId xmlns:a16="http://schemas.microsoft.com/office/drawing/2014/main" id="{00000000-0008-0000-0300-0000ED880200}"/>
            </a:ext>
          </a:extLst>
        </xdr:cNvPr>
        <xdr:cNvSpPr/>
      </xdr:nvSpPr>
      <xdr:spPr>
        <a:xfrm>
          <a:off x="18842830" y="4241800"/>
          <a:ext cx="100576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1066</a:t>
          </a:r>
        </a:p>
      </xdr:txBody>
    </xdr:sp>
    <xdr:clientData/>
  </xdr:twoCellAnchor>
  <xdr:twoCellAnchor>
    <xdr:from>
      <xdr:col>16</xdr:col>
      <xdr:colOff>4186419</xdr:colOff>
      <xdr:row>21</xdr:row>
      <xdr:rowOff>12700</xdr:rowOff>
    </xdr:from>
    <xdr:to>
      <xdr:col>16</xdr:col>
      <xdr:colOff>4969695</xdr:colOff>
      <xdr:row>21</xdr:row>
      <xdr:rowOff>177800</xdr:rowOff>
    </xdr:to>
    <xdr:sp macro="" textlink="">
      <xdr:nvSpPr>
        <xdr:cNvPr id="166126" name="Скругленный прямоугольник 166125">
          <a:extLst>
            <a:ext uri="{FF2B5EF4-FFF2-40B4-BE49-F238E27FC236}">
              <a16:creationId xmlns:a16="http://schemas.microsoft.com/office/drawing/2014/main" id="{00000000-0008-0000-0300-0000EE880200}"/>
            </a:ext>
          </a:extLst>
        </xdr:cNvPr>
        <xdr:cNvSpPr/>
      </xdr:nvSpPr>
      <xdr:spPr>
        <a:xfrm>
          <a:off x="19883619" y="4241800"/>
          <a:ext cx="78327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D7FF" mc:Ignorable="a14" a14:legacySpreadsheetColorIndex="4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ECFF" mc:Ignorable="a14" a14:legacySpreadsheetColorIndex="4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87AA" mc:Ignorable="a14" a14:legacySpreadsheetColorIndex="4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836</a:t>
          </a:r>
        </a:p>
      </xdr:txBody>
    </xdr:sp>
    <xdr:clientData/>
  </xdr:twoCellAnchor>
  <xdr:twoCellAnchor>
    <xdr:from>
      <xdr:col>16</xdr:col>
      <xdr:colOff>5004727</xdr:colOff>
      <xdr:row>21</xdr:row>
      <xdr:rowOff>12700</xdr:rowOff>
    </xdr:from>
    <xdr:to>
      <xdr:col>16</xdr:col>
      <xdr:colOff>5758985</xdr:colOff>
      <xdr:row>21</xdr:row>
      <xdr:rowOff>177800</xdr:rowOff>
    </xdr:to>
    <xdr:sp macro="" textlink="">
      <xdr:nvSpPr>
        <xdr:cNvPr id="166127" name="Скругленный прямоугольник 166126">
          <a:extLst>
            <a:ext uri="{FF2B5EF4-FFF2-40B4-BE49-F238E27FC236}">
              <a16:creationId xmlns:a16="http://schemas.microsoft.com/office/drawing/2014/main" id="{00000000-0008-0000-0300-0000EF880200}"/>
            </a:ext>
          </a:extLst>
        </xdr:cNvPr>
        <xdr:cNvSpPr/>
      </xdr:nvSpPr>
      <xdr:spPr>
        <a:xfrm>
          <a:off x="20701927" y="4241800"/>
          <a:ext cx="75425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D7FF" mc:Ignorable="a14" a14:legacySpreadsheetColorIndex="4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ECFF" mc:Ignorable="a14" a14:legacySpreadsheetColorIndex="4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87AA" mc:Ignorable="a14" a14:legacySpreadsheetColorIndex="4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806</a:t>
          </a:r>
        </a:p>
      </xdr:txBody>
    </xdr:sp>
    <xdr:clientData/>
  </xdr:twoCellAnchor>
  <xdr:twoCellAnchor>
    <xdr:from>
      <xdr:col>16</xdr:col>
      <xdr:colOff>0</xdr:colOff>
      <xdr:row>22</xdr:row>
      <xdr:rowOff>12700</xdr:rowOff>
    </xdr:from>
    <xdr:to>
      <xdr:col>16</xdr:col>
      <xdr:colOff>1944057</xdr:colOff>
      <xdr:row>22</xdr:row>
      <xdr:rowOff>177800</xdr:rowOff>
    </xdr:to>
    <xdr:sp macro="" textlink="">
      <xdr:nvSpPr>
        <xdr:cNvPr id="166128" name="Скругленный прямоугольник 166127">
          <a:extLst>
            <a:ext uri="{FF2B5EF4-FFF2-40B4-BE49-F238E27FC236}">
              <a16:creationId xmlns:a16="http://schemas.microsoft.com/office/drawing/2014/main" id="{00000000-0008-0000-0300-0000F0880200}"/>
            </a:ext>
          </a:extLst>
        </xdr:cNvPr>
        <xdr:cNvSpPr/>
      </xdr:nvSpPr>
      <xdr:spPr>
        <a:xfrm>
          <a:off x="15697200" y="4432300"/>
          <a:ext cx="194405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A4" mc:Ignorable="a14" a14:legacySpreadsheetColorIndex="2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D8" mc:Ignorable="a14" a14:legacySpreadsheetColorIndex="2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53" mc:Ignorable="a14" a14:legacySpreadsheetColorIndex="2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2036</a:t>
          </a:r>
        </a:p>
      </xdr:txBody>
    </xdr:sp>
    <xdr:clientData/>
  </xdr:twoCellAnchor>
  <xdr:twoCellAnchor>
    <xdr:from>
      <xdr:col>16</xdr:col>
      <xdr:colOff>1979087</xdr:colOff>
      <xdr:row>22</xdr:row>
      <xdr:rowOff>12700</xdr:rowOff>
    </xdr:from>
    <xdr:to>
      <xdr:col>16</xdr:col>
      <xdr:colOff>3110598</xdr:colOff>
      <xdr:row>22</xdr:row>
      <xdr:rowOff>177800</xdr:rowOff>
    </xdr:to>
    <xdr:sp macro="" textlink="">
      <xdr:nvSpPr>
        <xdr:cNvPr id="166129" name="Скругленный прямоугольник 166128">
          <a:extLst>
            <a:ext uri="{FF2B5EF4-FFF2-40B4-BE49-F238E27FC236}">
              <a16:creationId xmlns:a16="http://schemas.microsoft.com/office/drawing/2014/main" id="{00000000-0008-0000-0300-0000F1880200}"/>
            </a:ext>
          </a:extLst>
        </xdr:cNvPr>
        <xdr:cNvSpPr/>
      </xdr:nvSpPr>
      <xdr:spPr>
        <a:xfrm>
          <a:off x="17676287" y="4432300"/>
          <a:ext cx="113151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D7FF" mc:Ignorable="a14" a14:legacySpreadsheetColorIndex="3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ECFF" mc:Ignorable="a14" a14:legacySpreadsheetColorIndex="3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87AA" mc:Ignorable="a14" a14:legacySpreadsheetColorIndex="3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1196</a:t>
          </a:r>
        </a:p>
      </xdr:txBody>
    </xdr:sp>
    <xdr:clientData/>
  </xdr:twoCellAnchor>
  <xdr:twoCellAnchor>
    <xdr:from>
      <xdr:col>16</xdr:col>
      <xdr:colOff>3145630</xdr:colOff>
      <xdr:row>22</xdr:row>
      <xdr:rowOff>12700</xdr:rowOff>
    </xdr:from>
    <xdr:to>
      <xdr:col>16</xdr:col>
      <xdr:colOff>4064330</xdr:colOff>
      <xdr:row>22</xdr:row>
      <xdr:rowOff>177800</xdr:rowOff>
    </xdr:to>
    <xdr:sp macro="" textlink="">
      <xdr:nvSpPr>
        <xdr:cNvPr id="166130" name="Скругленный прямоугольник 166129">
          <a:extLst>
            <a:ext uri="{FF2B5EF4-FFF2-40B4-BE49-F238E27FC236}">
              <a16:creationId xmlns:a16="http://schemas.microsoft.com/office/drawing/2014/main" id="{00000000-0008-0000-0300-0000F2880200}"/>
            </a:ext>
          </a:extLst>
        </xdr:cNvPr>
        <xdr:cNvSpPr/>
      </xdr:nvSpPr>
      <xdr:spPr>
        <a:xfrm>
          <a:off x="18842830" y="4432300"/>
          <a:ext cx="91870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3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3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3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976</a:t>
          </a:r>
        </a:p>
      </xdr:txBody>
    </xdr:sp>
    <xdr:clientData/>
  </xdr:twoCellAnchor>
  <xdr:twoCellAnchor>
    <xdr:from>
      <xdr:col>16</xdr:col>
      <xdr:colOff>4099361</xdr:colOff>
      <xdr:row>22</xdr:row>
      <xdr:rowOff>12700</xdr:rowOff>
    </xdr:from>
    <xdr:to>
      <xdr:col>16</xdr:col>
      <xdr:colOff>5018061</xdr:colOff>
      <xdr:row>22</xdr:row>
      <xdr:rowOff>177800</xdr:rowOff>
    </xdr:to>
    <xdr:sp macro="" textlink="">
      <xdr:nvSpPr>
        <xdr:cNvPr id="166131" name="Скругленный прямоугольник 166130">
          <a:extLst>
            <a:ext uri="{FF2B5EF4-FFF2-40B4-BE49-F238E27FC236}">
              <a16:creationId xmlns:a16="http://schemas.microsoft.com/office/drawing/2014/main" id="{00000000-0008-0000-0300-0000F3880200}"/>
            </a:ext>
          </a:extLst>
        </xdr:cNvPr>
        <xdr:cNvSpPr/>
      </xdr:nvSpPr>
      <xdr:spPr>
        <a:xfrm>
          <a:off x="19796561" y="4432300"/>
          <a:ext cx="91870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3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3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3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976</a:t>
          </a:r>
        </a:p>
      </xdr:txBody>
    </xdr:sp>
    <xdr:clientData/>
  </xdr:twoCellAnchor>
  <xdr:twoCellAnchor>
    <xdr:from>
      <xdr:col>16</xdr:col>
      <xdr:colOff>5053093</xdr:colOff>
      <xdr:row>22</xdr:row>
      <xdr:rowOff>12700</xdr:rowOff>
    </xdr:from>
    <xdr:to>
      <xdr:col>16</xdr:col>
      <xdr:colOff>5758985</xdr:colOff>
      <xdr:row>22</xdr:row>
      <xdr:rowOff>177800</xdr:rowOff>
    </xdr:to>
    <xdr:sp macro="" textlink="">
      <xdr:nvSpPr>
        <xdr:cNvPr id="166132" name="Скругленный прямоугольник 166131">
          <a:extLst>
            <a:ext uri="{FF2B5EF4-FFF2-40B4-BE49-F238E27FC236}">
              <a16:creationId xmlns:a16="http://schemas.microsoft.com/office/drawing/2014/main" id="{00000000-0008-0000-0300-0000F4880200}"/>
            </a:ext>
          </a:extLst>
        </xdr:cNvPr>
        <xdr:cNvSpPr/>
      </xdr:nvSpPr>
      <xdr:spPr>
        <a:xfrm>
          <a:off x="20750293" y="4432300"/>
          <a:ext cx="70589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B4FF" mc:Ignorable="a14" a14:legacySpreadsheetColorIndex="4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DEFF" mc:Ignorable="a14" a14:legacySpreadsheetColorIndex="4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64AA" mc:Ignorable="a14" a14:legacySpreadsheetColorIndex="4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756</a:t>
          </a:r>
        </a:p>
      </xdr:txBody>
    </xdr:sp>
    <xdr:clientData/>
  </xdr:twoCellAnchor>
  <xdr:twoCellAnchor>
    <xdr:from>
      <xdr:col>16</xdr:col>
      <xdr:colOff>0</xdr:colOff>
      <xdr:row>23</xdr:row>
      <xdr:rowOff>12700</xdr:rowOff>
    </xdr:from>
    <xdr:to>
      <xdr:col>16</xdr:col>
      <xdr:colOff>744584</xdr:colOff>
      <xdr:row>23</xdr:row>
      <xdr:rowOff>177800</xdr:rowOff>
    </xdr:to>
    <xdr:sp macro="" textlink="">
      <xdr:nvSpPr>
        <xdr:cNvPr id="166133" name="Скругленный прямоугольник 166132">
          <a:extLst>
            <a:ext uri="{FF2B5EF4-FFF2-40B4-BE49-F238E27FC236}">
              <a16:creationId xmlns:a16="http://schemas.microsoft.com/office/drawing/2014/main" id="{00000000-0008-0000-0300-0000F5880200}"/>
            </a:ext>
          </a:extLst>
        </xdr:cNvPr>
        <xdr:cNvSpPr/>
      </xdr:nvSpPr>
      <xdr:spPr>
        <a:xfrm>
          <a:off x="15697200" y="4622800"/>
          <a:ext cx="74458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B4" mc:Ignorable="a14" a14:legacySpreadsheetColorIndex="4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DE" mc:Ignorable="a14" a14:legacySpreadsheetColorIndex="4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64" mc:Ignorable="a14" a14:legacySpreadsheetColorIndex="4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796</a:t>
          </a:r>
        </a:p>
      </xdr:txBody>
    </xdr:sp>
    <xdr:clientData/>
  </xdr:twoCellAnchor>
  <xdr:twoCellAnchor>
    <xdr:from>
      <xdr:col>16</xdr:col>
      <xdr:colOff>779614</xdr:colOff>
      <xdr:row>23</xdr:row>
      <xdr:rowOff>12700</xdr:rowOff>
    </xdr:from>
    <xdr:to>
      <xdr:col>16</xdr:col>
      <xdr:colOff>1437140</xdr:colOff>
      <xdr:row>23</xdr:row>
      <xdr:rowOff>177800</xdr:rowOff>
    </xdr:to>
    <xdr:sp macro="" textlink="">
      <xdr:nvSpPr>
        <xdr:cNvPr id="166134" name="Скругленный прямоугольник 166133">
          <a:extLst>
            <a:ext uri="{FF2B5EF4-FFF2-40B4-BE49-F238E27FC236}">
              <a16:creationId xmlns:a16="http://schemas.microsoft.com/office/drawing/2014/main" id="{00000000-0008-0000-0300-0000F6880200}"/>
            </a:ext>
          </a:extLst>
        </xdr:cNvPr>
        <xdr:cNvSpPr/>
      </xdr:nvSpPr>
      <xdr:spPr>
        <a:xfrm>
          <a:off x="16476814" y="4622800"/>
          <a:ext cx="65752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706</a:t>
          </a:r>
        </a:p>
      </xdr:txBody>
    </xdr:sp>
    <xdr:clientData/>
  </xdr:twoCellAnchor>
  <xdr:twoCellAnchor>
    <xdr:from>
      <xdr:col>16</xdr:col>
      <xdr:colOff>1472171</xdr:colOff>
      <xdr:row>23</xdr:row>
      <xdr:rowOff>12700</xdr:rowOff>
    </xdr:from>
    <xdr:to>
      <xdr:col>16</xdr:col>
      <xdr:colOff>2110350</xdr:colOff>
      <xdr:row>23</xdr:row>
      <xdr:rowOff>177800</xdr:rowOff>
    </xdr:to>
    <xdr:sp macro="" textlink="">
      <xdr:nvSpPr>
        <xdr:cNvPr id="166135" name="Скругленный прямоугольник 166134">
          <a:extLst>
            <a:ext uri="{FF2B5EF4-FFF2-40B4-BE49-F238E27FC236}">
              <a16:creationId xmlns:a16="http://schemas.microsoft.com/office/drawing/2014/main" id="{00000000-0008-0000-0300-0000F7880200}"/>
            </a:ext>
          </a:extLst>
        </xdr:cNvPr>
        <xdr:cNvSpPr/>
      </xdr:nvSpPr>
      <xdr:spPr>
        <a:xfrm>
          <a:off x="17169371" y="4622800"/>
          <a:ext cx="6381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686</a:t>
          </a:r>
        </a:p>
      </xdr:txBody>
    </xdr:sp>
    <xdr:clientData/>
  </xdr:twoCellAnchor>
  <xdr:twoCellAnchor>
    <xdr:from>
      <xdr:col>16</xdr:col>
      <xdr:colOff>2145381</xdr:colOff>
      <xdr:row>23</xdr:row>
      <xdr:rowOff>12700</xdr:rowOff>
    </xdr:from>
    <xdr:to>
      <xdr:col>16</xdr:col>
      <xdr:colOff>2735194</xdr:colOff>
      <xdr:row>23</xdr:row>
      <xdr:rowOff>177800</xdr:rowOff>
    </xdr:to>
    <xdr:sp macro="" textlink="">
      <xdr:nvSpPr>
        <xdr:cNvPr id="166136" name="Скругленный прямоугольник 166135">
          <a:extLst>
            <a:ext uri="{FF2B5EF4-FFF2-40B4-BE49-F238E27FC236}">
              <a16:creationId xmlns:a16="http://schemas.microsoft.com/office/drawing/2014/main" id="{00000000-0008-0000-0300-0000F8880200}"/>
            </a:ext>
          </a:extLst>
        </xdr:cNvPr>
        <xdr:cNvSpPr/>
      </xdr:nvSpPr>
      <xdr:spPr>
        <a:xfrm>
          <a:off x="17842581" y="4622800"/>
          <a:ext cx="58981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636</a:t>
          </a:r>
        </a:p>
      </xdr:txBody>
    </xdr:sp>
    <xdr:clientData/>
  </xdr:twoCellAnchor>
  <xdr:twoCellAnchor>
    <xdr:from>
      <xdr:col>16</xdr:col>
      <xdr:colOff>2770226</xdr:colOff>
      <xdr:row>23</xdr:row>
      <xdr:rowOff>12700</xdr:rowOff>
    </xdr:from>
    <xdr:to>
      <xdr:col>16</xdr:col>
      <xdr:colOff>3331020</xdr:colOff>
      <xdr:row>23</xdr:row>
      <xdr:rowOff>177800</xdr:rowOff>
    </xdr:to>
    <xdr:sp macro="" textlink="">
      <xdr:nvSpPr>
        <xdr:cNvPr id="166137" name="Скругленный прямоугольник 166136">
          <a:extLst>
            <a:ext uri="{FF2B5EF4-FFF2-40B4-BE49-F238E27FC236}">
              <a16:creationId xmlns:a16="http://schemas.microsoft.com/office/drawing/2014/main" id="{00000000-0008-0000-0300-0000F9880200}"/>
            </a:ext>
          </a:extLst>
        </xdr:cNvPr>
        <xdr:cNvSpPr/>
      </xdr:nvSpPr>
      <xdr:spPr>
        <a:xfrm>
          <a:off x="18467426" y="4622800"/>
          <a:ext cx="56079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D7D7" mc:Ignorable="a14" a14:legacySpreadsheetColorIndex="4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ECEC" mc:Ignorable="a14" a14:legacySpreadsheetColorIndex="4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8787" mc:Ignorable="a14" a14:legacySpreadsheetColorIndex="4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606</a:t>
          </a:r>
        </a:p>
      </xdr:txBody>
    </xdr:sp>
    <xdr:clientData/>
  </xdr:twoCellAnchor>
  <xdr:twoCellAnchor>
    <xdr:from>
      <xdr:col>16</xdr:col>
      <xdr:colOff>3366050</xdr:colOff>
      <xdr:row>23</xdr:row>
      <xdr:rowOff>12700</xdr:rowOff>
    </xdr:from>
    <xdr:to>
      <xdr:col>16</xdr:col>
      <xdr:colOff>3878478</xdr:colOff>
      <xdr:row>23</xdr:row>
      <xdr:rowOff>177800</xdr:rowOff>
    </xdr:to>
    <xdr:sp macro="" textlink="">
      <xdr:nvSpPr>
        <xdr:cNvPr id="166138" name="Скругленный прямоугольник 166137">
          <a:extLst>
            <a:ext uri="{FF2B5EF4-FFF2-40B4-BE49-F238E27FC236}">
              <a16:creationId xmlns:a16="http://schemas.microsoft.com/office/drawing/2014/main" id="{00000000-0008-0000-0300-0000FA880200}"/>
            </a:ext>
          </a:extLst>
        </xdr:cNvPr>
        <xdr:cNvSpPr/>
      </xdr:nvSpPr>
      <xdr:spPr>
        <a:xfrm>
          <a:off x="19063250" y="4622800"/>
          <a:ext cx="51242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96FF" mc:Ignorable="a14" a14:legacySpreadsheetColorIndex="4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D3FF" mc:Ignorable="a14" a14:legacySpreadsheetColorIndex="4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41AA" mc:Ignorable="a14" a14:legacySpreadsheetColorIndex="4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556</a:t>
          </a:r>
        </a:p>
      </xdr:txBody>
    </xdr:sp>
    <xdr:clientData/>
  </xdr:twoCellAnchor>
  <xdr:twoCellAnchor>
    <xdr:from>
      <xdr:col>16</xdr:col>
      <xdr:colOff>3913510</xdr:colOff>
      <xdr:row>23</xdr:row>
      <xdr:rowOff>12700</xdr:rowOff>
    </xdr:from>
    <xdr:to>
      <xdr:col>16</xdr:col>
      <xdr:colOff>4367899</xdr:colOff>
      <xdr:row>23</xdr:row>
      <xdr:rowOff>177800</xdr:rowOff>
    </xdr:to>
    <xdr:sp macro="" textlink="">
      <xdr:nvSpPr>
        <xdr:cNvPr id="166139" name="Скругленный прямоугольник 166138">
          <a:extLst>
            <a:ext uri="{FF2B5EF4-FFF2-40B4-BE49-F238E27FC236}">
              <a16:creationId xmlns:a16="http://schemas.microsoft.com/office/drawing/2014/main" id="{00000000-0008-0000-0300-0000FB880200}"/>
            </a:ext>
          </a:extLst>
        </xdr:cNvPr>
        <xdr:cNvSpPr/>
      </xdr:nvSpPr>
      <xdr:spPr>
        <a:xfrm>
          <a:off x="19610710" y="4622800"/>
          <a:ext cx="4543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CFCFCF" mc:Ignorable="a14" a14:legacySpreadsheetColorIndex="2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8E8E8" mc:Ignorable="a14" a14:legacySpreadsheetColorIndex="2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7F7F7F" mc:Ignorable="a14" a14:legacySpreadsheetColorIndex="2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496</a:t>
          </a:r>
        </a:p>
      </xdr:txBody>
    </xdr:sp>
    <xdr:clientData/>
  </xdr:twoCellAnchor>
  <xdr:twoCellAnchor>
    <xdr:from>
      <xdr:col>16</xdr:col>
      <xdr:colOff>4402930</xdr:colOff>
      <xdr:row>23</xdr:row>
      <xdr:rowOff>12700</xdr:rowOff>
    </xdr:from>
    <xdr:to>
      <xdr:col>16</xdr:col>
      <xdr:colOff>4857319</xdr:colOff>
      <xdr:row>23</xdr:row>
      <xdr:rowOff>177800</xdr:rowOff>
    </xdr:to>
    <xdr:sp macro="" textlink="">
      <xdr:nvSpPr>
        <xdr:cNvPr id="166140" name="Скругленный прямоугольник 166139">
          <a:extLst>
            <a:ext uri="{FF2B5EF4-FFF2-40B4-BE49-F238E27FC236}">
              <a16:creationId xmlns:a16="http://schemas.microsoft.com/office/drawing/2014/main" id="{00000000-0008-0000-0300-0000FC880200}"/>
            </a:ext>
          </a:extLst>
        </xdr:cNvPr>
        <xdr:cNvSpPr/>
      </xdr:nvSpPr>
      <xdr:spPr>
        <a:xfrm>
          <a:off x="20100130" y="4622800"/>
          <a:ext cx="4543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CFCFCF" mc:Ignorable="a14" a14:legacySpreadsheetColorIndex="2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8E8E8" mc:Ignorable="a14" a14:legacySpreadsheetColorIndex="2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7F7F7F" mc:Ignorable="a14" a14:legacySpreadsheetColorIndex="2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496</a:t>
          </a:r>
        </a:p>
      </xdr:txBody>
    </xdr:sp>
    <xdr:clientData/>
  </xdr:twoCellAnchor>
  <xdr:twoCellAnchor>
    <xdr:from>
      <xdr:col>16</xdr:col>
      <xdr:colOff>4892349</xdr:colOff>
      <xdr:row>23</xdr:row>
      <xdr:rowOff>12700</xdr:rowOff>
    </xdr:from>
    <xdr:to>
      <xdr:col>16</xdr:col>
      <xdr:colOff>5308047</xdr:colOff>
      <xdr:row>23</xdr:row>
      <xdr:rowOff>177800</xdr:rowOff>
    </xdr:to>
    <xdr:sp macro="" textlink="">
      <xdr:nvSpPr>
        <xdr:cNvPr id="166141" name="Скругленный прямоугольник 166140">
          <a:extLst>
            <a:ext uri="{FF2B5EF4-FFF2-40B4-BE49-F238E27FC236}">
              <a16:creationId xmlns:a16="http://schemas.microsoft.com/office/drawing/2014/main" id="{00000000-0008-0000-0300-0000FD880200}"/>
            </a:ext>
          </a:extLst>
        </xdr:cNvPr>
        <xdr:cNvSpPr/>
      </xdr:nvSpPr>
      <xdr:spPr>
        <a:xfrm>
          <a:off x="20589549" y="4622800"/>
          <a:ext cx="41569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D7B4" mc:Ignorable="a14" a14:legacySpreadsheetColorIndex="4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ECDE" mc:Ignorable="a14" a14:legacySpreadsheetColorIndex="4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8764" mc:Ignorable="a14" a14:legacySpreadsheetColorIndex="4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456</a:t>
          </a:r>
        </a:p>
      </xdr:txBody>
    </xdr:sp>
    <xdr:clientData/>
  </xdr:twoCellAnchor>
  <xdr:twoCellAnchor>
    <xdr:from>
      <xdr:col>16</xdr:col>
      <xdr:colOff>5343077</xdr:colOff>
      <xdr:row>23</xdr:row>
      <xdr:rowOff>12700</xdr:rowOff>
    </xdr:from>
    <xdr:to>
      <xdr:col>16</xdr:col>
      <xdr:colOff>5758774</xdr:colOff>
      <xdr:row>23</xdr:row>
      <xdr:rowOff>177800</xdr:rowOff>
    </xdr:to>
    <xdr:sp macro="" textlink="">
      <xdr:nvSpPr>
        <xdr:cNvPr id="166142" name="Скругленный прямоугольник 166141">
          <a:extLst>
            <a:ext uri="{FF2B5EF4-FFF2-40B4-BE49-F238E27FC236}">
              <a16:creationId xmlns:a16="http://schemas.microsoft.com/office/drawing/2014/main" id="{00000000-0008-0000-0300-0000FE880200}"/>
            </a:ext>
          </a:extLst>
        </xdr:cNvPr>
        <xdr:cNvSpPr/>
      </xdr:nvSpPr>
      <xdr:spPr>
        <a:xfrm>
          <a:off x="21040277" y="4622800"/>
          <a:ext cx="41569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D7B4" mc:Ignorable="a14" a14:legacySpreadsheetColorIndex="4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ECDE" mc:Ignorable="a14" a14:legacySpreadsheetColorIndex="4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8764" mc:Ignorable="a14" a14:legacySpreadsheetColorIndex="4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456</a:t>
          </a:r>
        </a:p>
      </xdr:txBody>
    </xdr:sp>
    <xdr:clientData/>
  </xdr:twoCellAnchor>
  <xdr:twoCellAnchor>
    <xdr:from>
      <xdr:col>16</xdr:col>
      <xdr:colOff>0</xdr:colOff>
      <xdr:row>24</xdr:row>
      <xdr:rowOff>12700</xdr:rowOff>
    </xdr:from>
    <xdr:to>
      <xdr:col>16</xdr:col>
      <xdr:colOff>792950</xdr:colOff>
      <xdr:row>24</xdr:row>
      <xdr:rowOff>177800</xdr:rowOff>
    </xdr:to>
    <xdr:sp macro="" textlink="">
      <xdr:nvSpPr>
        <xdr:cNvPr id="166143" name="Скругленный прямоугольник 166142">
          <a:extLst>
            <a:ext uri="{FF2B5EF4-FFF2-40B4-BE49-F238E27FC236}">
              <a16:creationId xmlns:a16="http://schemas.microsoft.com/office/drawing/2014/main" id="{00000000-0008-0000-0300-0000FF880200}"/>
            </a:ext>
          </a:extLst>
        </xdr:cNvPr>
        <xdr:cNvSpPr/>
      </xdr:nvSpPr>
      <xdr:spPr>
        <a:xfrm>
          <a:off x="15697200" y="4813300"/>
          <a:ext cx="79295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FF" mc:Ignorable="a14" a14:legacySpreadsheetColorIndex="4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FF" mc:Ignorable="a14" a14:legacySpreadsheetColorIndex="4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AA" mc:Ignorable="a14" a14:legacySpreadsheetColorIndex="4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846</a:t>
          </a:r>
        </a:p>
      </xdr:txBody>
    </xdr:sp>
    <xdr:clientData/>
  </xdr:twoCellAnchor>
  <xdr:twoCellAnchor>
    <xdr:from>
      <xdr:col>16</xdr:col>
      <xdr:colOff>827980</xdr:colOff>
      <xdr:row>24</xdr:row>
      <xdr:rowOff>12700</xdr:rowOff>
    </xdr:from>
    <xdr:to>
      <xdr:col>16</xdr:col>
      <xdr:colOff>1533872</xdr:colOff>
      <xdr:row>24</xdr:row>
      <xdr:rowOff>177800</xdr:rowOff>
    </xdr:to>
    <xdr:sp macro="" textlink="">
      <xdr:nvSpPr>
        <xdr:cNvPr id="166144" name="Скругленный прямоугольник 166143">
          <a:extLst>
            <a:ext uri="{FF2B5EF4-FFF2-40B4-BE49-F238E27FC236}">
              <a16:creationId xmlns:a16="http://schemas.microsoft.com/office/drawing/2014/main" id="{00000000-0008-0000-0300-000000890200}"/>
            </a:ext>
          </a:extLst>
        </xdr:cNvPr>
        <xdr:cNvSpPr/>
      </xdr:nvSpPr>
      <xdr:spPr>
        <a:xfrm>
          <a:off x="16525180" y="4813300"/>
          <a:ext cx="70589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B4FF" mc:Ignorable="a14" a14:legacySpreadsheetColorIndex="4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DEFF" mc:Ignorable="a14" a14:legacySpreadsheetColorIndex="4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64AA" mc:Ignorable="a14" a14:legacySpreadsheetColorIndex="4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756</a:t>
          </a:r>
        </a:p>
      </xdr:txBody>
    </xdr:sp>
    <xdr:clientData/>
  </xdr:twoCellAnchor>
  <xdr:twoCellAnchor>
    <xdr:from>
      <xdr:col>16</xdr:col>
      <xdr:colOff>1568903</xdr:colOff>
      <xdr:row>24</xdr:row>
      <xdr:rowOff>12700</xdr:rowOff>
    </xdr:from>
    <xdr:to>
      <xdr:col>16</xdr:col>
      <xdr:colOff>2274794</xdr:colOff>
      <xdr:row>24</xdr:row>
      <xdr:rowOff>177800</xdr:rowOff>
    </xdr:to>
    <xdr:sp macro="" textlink="">
      <xdr:nvSpPr>
        <xdr:cNvPr id="166145" name="Скругленный прямоугольник 166144">
          <a:extLst>
            <a:ext uri="{FF2B5EF4-FFF2-40B4-BE49-F238E27FC236}">
              <a16:creationId xmlns:a16="http://schemas.microsoft.com/office/drawing/2014/main" id="{00000000-0008-0000-0300-000001890200}"/>
            </a:ext>
          </a:extLst>
        </xdr:cNvPr>
        <xdr:cNvSpPr/>
      </xdr:nvSpPr>
      <xdr:spPr>
        <a:xfrm>
          <a:off x="17266103" y="4813300"/>
          <a:ext cx="7058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B4FF" mc:Ignorable="a14" a14:legacySpreadsheetColorIndex="4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DEFF" mc:Ignorable="a14" a14:legacySpreadsheetColorIndex="4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64AA" mc:Ignorable="a14" a14:legacySpreadsheetColorIndex="4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756</a:t>
          </a:r>
        </a:p>
      </xdr:txBody>
    </xdr:sp>
    <xdr:clientData/>
  </xdr:twoCellAnchor>
  <xdr:twoCellAnchor>
    <xdr:from>
      <xdr:col>16</xdr:col>
      <xdr:colOff>2309825</xdr:colOff>
      <xdr:row>24</xdr:row>
      <xdr:rowOff>12700</xdr:rowOff>
    </xdr:from>
    <xdr:to>
      <xdr:col>16</xdr:col>
      <xdr:colOff>3006043</xdr:colOff>
      <xdr:row>24</xdr:row>
      <xdr:rowOff>177800</xdr:rowOff>
    </xdr:to>
    <xdr:sp macro="" textlink="">
      <xdr:nvSpPr>
        <xdr:cNvPr id="166146" name="Скругленный прямоугольник 166145">
          <a:extLst>
            <a:ext uri="{FF2B5EF4-FFF2-40B4-BE49-F238E27FC236}">
              <a16:creationId xmlns:a16="http://schemas.microsoft.com/office/drawing/2014/main" id="{00000000-0008-0000-0300-000002890200}"/>
            </a:ext>
          </a:extLst>
        </xdr:cNvPr>
        <xdr:cNvSpPr/>
      </xdr:nvSpPr>
      <xdr:spPr>
        <a:xfrm>
          <a:off x="18007025" y="4813300"/>
          <a:ext cx="69621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B4D7" mc:Ignorable="a14" a14:legacySpreadsheetColorIndex="4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EEC" mc:Ignorable="a14" a14:legacySpreadsheetColorIndex="4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6487" mc:Ignorable="a14" a14:legacySpreadsheetColorIndex="4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746</a:t>
          </a:r>
        </a:p>
      </xdr:txBody>
    </xdr:sp>
    <xdr:clientData/>
  </xdr:twoCellAnchor>
  <xdr:twoCellAnchor>
    <xdr:from>
      <xdr:col>16</xdr:col>
      <xdr:colOff>3041075</xdr:colOff>
      <xdr:row>24</xdr:row>
      <xdr:rowOff>12700</xdr:rowOff>
    </xdr:from>
    <xdr:to>
      <xdr:col>16</xdr:col>
      <xdr:colOff>3698601</xdr:colOff>
      <xdr:row>24</xdr:row>
      <xdr:rowOff>177800</xdr:rowOff>
    </xdr:to>
    <xdr:sp macro="" textlink="">
      <xdr:nvSpPr>
        <xdr:cNvPr id="166147" name="Скругленный прямоугольник 166146">
          <a:extLst>
            <a:ext uri="{FF2B5EF4-FFF2-40B4-BE49-F238E27FC236}">
              <a16:creationId xmlns:a16="http://schemas.microsoft.com/office/drawing/2014/main" id="{00000000-0008-0000-0300-000003890200}"/>
            </a:ext>
          </a:extLst>
        </xdr:cNvPr>
        <xdr:cNvSpPr/>
      </xdr:nvSpPr>
      <xdr:spPr>
        <a:xfrm>
          <a:off x="18738275" y="4813300"/>
          <a:ext cx="65752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706</a:t>
          </a:r>
        </a:p>
      </xdr:txBody>
    </xdr:sp>
    <xdr:clientData/>
  </xdr:twoCellAnchor>
  <xdr:twoCellAnchor>
    <xdr:from>
      <xdr:col>16</xdr:col>
      <xdr:colOff>3733631</xdr:colOff>
      <xdr:row>24</xdr:row>
      <xdr:rowOff>12700</xdr:rowOff>
    </xdr:from>
    <xdr:to>
      <xdr:col>16</xdr:col>
      <xdr:colOff>4391157</xdr:colOff>
      <xdr:row>24</xdr:row>
      <xdr:rowOff>177800</xdr:rowOff>
    </xdr:to>
    <xdr:sp macro="" textlink="">
      <xdr:nvSpPr>
        <xdr:cNvPr id="166148" name="Скругленный прямоугольник 166147">
          <a:extLst>
            <a:ext uri="{FF2B5EF4-FFF2-40B4-BE49-F238E27FC236}">
              <a16:creationId xmlns:a16="http://schemas.microsoft.com/office/drawing/2014/main" id="{00000000-0008-0000-0300-000004890200}"/>
            </a:ext>
          </a:extLst>
        </xdr:cNvPr>
        <xdr:cNvSpPr/>
      </xdr:nvSpPr>
      <xdr:spPr>
        <a:xfrm>
          <a:off x="19430831" y="4813300"/>
          <a:ext cx="65752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706</a:t>
          </a:r>
        </a:p>
      </xdr:txBody>
    </xdr:sp>
    <xdr:clientData/>
  </xdr:twoCellAnchor>
  <xdr:twoCellAnchor>
    <xdr:from>
      <xdr:col>16</xdr:col>
      <xdr:colOff>4426187</xdr:colOff>
      <xdr:row>24</xdr:row>
      <xdr:rowOff>12700</xdr:rowOff>
    </xdr:from>
    <xdr:to>
      <xdr:col>16</xdr:col>
      <xdr:colOff>5083713</xdr:colOff>
      <xdr:row>24</xdr:row>
      <xdr:rowOff>177800</xdr:rowOff>
    </xdr:to>
    <xdr:sp macro="" textlink="">
      <xdr:nvSpPr>
        <xdr:cNvPr id="166149" name="Скругленный прямоугольник 166148">
          <a:extLst>
            <a:ext uri="{FF2B5EF4-FFF2-40B4-BE49-F238E27FC236}">
              <a16:creationId xmlns:a16="http://schemas.microsoft.com/office/drawing/2014/main" id="{00000000-0008-0000-0300-000005890200}"/>
            </a:ext>
          </a:extLst>
        </xdr:cNvPr>
        <xdr:cNvSpPr/>
      </xdr:nvSpPr>
      <xdr:spPr>
        <a:xfrm>
          <a:off x="20123387" y="4813300"/>
          <a:ext cx="65752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706</a:t>
          </a:r>
        </a:p>
      </xdr:txBody>
    </xdr:sp>
    <xdr:clientData/>
  </xdr:twoCellAnchor>
  <xdr:twoCellAnchor>
    <xdr:from>
      <xdr:col>16</xdr:col>
      <xdr:colOff>5118743</xdr:colOff>
      <xdr:row>24</xdr:row>
      <xdr:rowOff>12700</xdr:rowOff>
    </xdr:from>
    <xdr:to>
      <xdr:col>16</xdr:col>
      <xdr:colOff>5756923</xdr:colOff>
      <xdr:row>24</xdr:row>
      <xdr:rowOff>177800</xdr:rowOff>
    </xdr:to>
    <xdr:sp macro="" textlink="">
      <xdr:nvSpPr>
        <xdr:cNvPr id="166150" name="Скругленный прямоугольник 166149">
          <a:extLst>
            <a:ext uri="{FF2B5EF4-FFF2-40B4-BE49-F238E27FC236}">
              <a16:creationId xmlns:a16="http://schemas.microsoft.com/office/drawing/2014/main" id="{00000000-0008-0000-0300-000006890200}"/>
            </a:ext>
          </a:extLst>
        </xdr:cNvPr>
        <xdr:cNvSpPr/>
      </xdr:nvSpPr>
      <xdr:spPr>
        <a:xfrm>
          <a:off x="20815943" y="4813300"/>
          <a:ext cx="63818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686</a:t>
          </a:r>
        </a:p>
      </xdr:txBody>
    </xdr:sp>
    <xdr:clientData/>
  </xdr:twoCellAnchor>
  <xdr:twoCellAnchor>
    <xdr:from>
      <xdr:col>16</xdr:col>
      <xdr:colOff>0</xdr:colOff>
      <xdr:row>25</xdr:row>
      <xdr:rowOff>12700</xdr:rowOff>
    </xdr:from>
    <xdr:to>
      <xdr:col>16</xdr:col>
      <xdr:colOff>899354</xdr:colOff>
      <xdr:row>25</xdr:row>
      <xdr:rowOff>177800</xdr:rowOff>
    </xdr:to>
    <xdr:sp macro="" textlink="">
      <xdr:nvSpPr>
        <xdr:cNvPr id="166151" name="Скругленный прямоугольник 166150">
          <a:extLst>
            <a:ext uri="{FF2B5EF4-FFF2-40B4-BE49-F238E27FC236}">
              <a16:creationId xmlns:a16="http://schemas.microsoft.com/office/drawing/2014/main" id="{00000000-0008-0000-0300-000007890200}"/>
            </a:ext>
          </a:extLst>
        </xdr:cNvPr>
        <xdr:cNvSpPr/>
      </xdr:nvSpPr>
      <xdr:spPr>
        <a:xfrm>
          <a:off x="15697200" y="5003800"/>
          <a:ext cx="89935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956</a:t>
          </a:r>
        </a:p>
      </xdr:txBody>
    </xdr:sp>
    <xdr:clientData/>
  </xdr:twoCellAnchor>
  <xdr:twoCellAnchor>
    <xdr:from>
      <xdr:col>16</xdr:col>
      <xdr:colOff>934385</xdr:colOff>
      <xdr:row>25</xdr:row>
      <xdr:rowOff>12700</xdr:rowOff>
    </xdr:from>
    <xdr:to>
      <xdr:col>16</xdr:col>
      <xdr:colOff>1717661</xdr:colOff>
      <xdr:row>25</xdr:row>
      <xdr:rowOff>177800</xdr:rowOff>
    </xdr:to>
    <xdr:sp macro="" textlink="">
      <xdr:nvSpPr>
        <xdr:cNvPr id="166152" name="Скругленный прямоугольник 166151">
          <a:extLst>
            <a:ext uri="{FF2B5EF4-FFF2-40B4-BE49-F238E27FC236}">
              <a16:creationId xmlns:a16="http://schemas.microsoft.com/office/drawing/2014/main" id="{00000000-0008-0000-0300-000008890200}"/>
            </a:ext>
          </a:extLst>
        </xdr:cNvPr>
        <xdr:cNvSpPr/>
      </xdr:nvSpPr>
      <xdr:spPr>
        <a:xfrm>
          <a:off x="16631585" y="5003800"/>
          <a:ext cx="78327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D7FF" mc:Ignorable="a14" a14:legacySpreadsheetColorIndex="4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ECFF" mc:Ignorable="a14" a14:legacySpreadsheetColorIndex="4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87AA" mc:Ignorable="a14" a14:legacySpreadsheetColorIndex="4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836</a:t>
          </a:r>
        </a:p>
      </xdr:txBody>
    </xdr:sp>
    <xdr:clientData/>
  </xdr:twoCellAnchor>
  <xdr:twoCellAnchor>
    <xdr:from>
      <xdr:col>16</xdr:col>
      <xdr:colOff>1752693</xdr:colOff>
      <xdr:row>25</xdr:row>
      <xdr:rowOff>12700</xdr:rowOff>
    </xdr:from>
    <xdr:to>
      <xdr:col>16</xdr:col>
      <xdr:colOff>2535969</xdr:colOff>
      <xdr:row>25</xdr:row>
      <xdr:rowOff>177800</xdr:rowOff>
    </xdr:to>
    <xdr:sp macro="" textlink="">
      <xdr:nvSpPr>
        <xdr:cNvPr id="166153" name="Скругленный прямоугольник 166152">
          <a:extLst>
            <a:ext uri="{FF2B5EF4-FFF2-40B4-BE49-F238E27FC236}">
              <a16:creationId xmlns:a16="http://schemas.microsoft.com/office/drawing/2014/main" id="{00000000-0008-0000-0300-000009890200}"/>
            </a:ext>
          </a:extLst>
        </xdr:cNvPr>
        <xdr:cNvSpPr/>
      </xdr:nvSpPr>
      <xdr:spPr>
        <a:xfrm>
          <a:off x="17449893" y="5003800"/>
          <a:ext cx="78327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D7FF" mc:Ignorable="a14" a14:legacySpreadsheetColorIndex="4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ECFF" mc:Ignorable="a14" a14:legacySpreadsheetColorIndex="4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87AA" mc:Ignorable="a14" a14:legacySpreadsheetColorIndex="4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836</a:t>
          </a:r>
        </a:p>
      </xdr:txBody>
    </xdr:sp>
    <xdr:clientData/>
  </xdr:twoCellAnchor>
  <xdr:twoCellAnchor>
    <xdr:from>
      <xdr:col>16</xdr:col>
      <xdr:colOff>2571001</xdr:colOff>
      <xdr:row>25</xdr:row>
      <xdr:rowOff>12700</xdr:rowOff>
    </xdr:from>
    <xdr:to>
      <xdr:col>16</xdr:col>
      <xdr:colOff>3228527</xdr:colOff>
      <xdr:row>25</xdr:row>
      <xdr:rowOff>177800</xdr:rowOff>
    </xdr:to>
    <xdr:sp macro="" textlink="">
      <xdr:nvSpPr>
        <xdr:cNvPr id="166154" name="Скругленный прямоугольник 166153">
          <a:extLst>
            <a:ext uri="{FF2B5EF4-FFF2-40B4-BE49-F238E27FC236}">
              <a16:creationId xmlns:a16="http://schemas.microsoft.com/office/drawing/2014/main" id="{00000000-0008-0000-0300-00000A890200}"/>
            </a:ext>
          </a:extLst>
        </xdr:cNvPr>
        <xdr:cNvSpPr/>
      </xdr:nvSpPr>
      <xdr:spPr>
        <a:xfrm>
          <a:off x="18268201" y="5003800"/>
          <a:ext cx="65752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706</a:t>
          </a:r>
        </a:p>
      </xdr:txBody>
    </xdr:sp>
    <xdr:clientData/>
  </xdr:twoCellAnchor>
  <xdr:twoCellAnchor>
    <xdr:from>
      <xdr:col>16</xdr:col>
      <xdr:colOff>3263557</xdr:colOff>
      <xdr:row>25</xdr:row>
      <xdr:rowOff>12700</xdr:rowOff>
    </xdr:from>
    <xdr:to>
      <xdr:col>16</xdr:col>
      <xdr:colOff>3921083</xdr:colOff>
      <xdr:row>25</xdr:row>
      <xdr:rowOff>177800</xdr:rowOff>
    </xdr:to>
    <xdr:sp macro="" textlink="">
      <xdr:nvSpPr>
        <xdr:cNvPr id="166155" name="Скругленный прямоугольник 166154">
          <a:extLst>
            <a:ext uri="{FF2B5EF4-FFF2-40B4-BE49-F238E27FC236}">
              <a16:creationId xmlns:a16="http://schemas.microsoft.com/office/drawing/2014/main" id="{00000000-0008-0000-0300-00000B890200}"/>
            </a:ext>
          </a:extLst>
        </xdr:cNvPr>
        <xdr:cNvSpPr/>
      </xdr:nvSpPr>
      <xdr:spPr>
        <a:xfrm>
          <a:off x="18960757" y="5003800"/>
          <a:ext cx="65752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706</a:t>
          </a:r>
        </a:p>
      </xdr:txBody>
    </xdr:sp>
    <xdr:clientData/>
  </xdr:twoCellAnchor>
  <xdr:twoCellAnchor>
    <xdr:from>
      <xdr:col>16</xdr:col>
      <xdr:colOff>3956114</xdr:colOff>
      <xdr:row>25</xdr:row>
      <xdr:rowOff>12700</xdr:rowOff>
    </xdr:from>
    <xdr:to>
      <xdr:col>16</xdr:col>
      <xdr:colOff>4584619</xdr:colOff>
      <xdr:row>25</xdr:row>
      <xdr:rowOff>177800</xdr:rowOff>
    </xdr:to>
    <xdr:sp macro="" textlink="">
      <xdr:nvSpPr>
        <xdr:cNvPr id="166156" name="Скругленный прямоугольник 166155">
          <a:extLst>
            <a:ext uri="{FF2B5EF4-FFF2-40B4-BE49-F238E27FC236}">
              <a16:creationId xmlns:a16="http://schemas.microsoft.com/office/drawing/2014/main" id="{00000000-0008-0000-0300-00000C890200}"/>
            </a:ext>
          </a:extLst>
        </xdr:cNvPr>
        <xdr:cNvSpPr/>
      </xdr:nvSpPr>
      <xdr:spPr>
        <a:xfrm>
          <a:off x="19653314" y="5003800"/>
          <a:ext cx="62850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676</a:t>
          </a:r>
        </a:p>
      </xdr:txBody>
    </xdr:sp>
    <xdr:clientData/>
  </xdr:twoCellAnchor>
  <xdr:twoCellAnchor>
    <xdr:from>
      <xdr:col>16</xdr:col>
      <xdr:colOff>4619650</xdr:colOff>
      <xdr:row>25</xdr:row>
      <xdr:rowOff>12700</xdr:rowOff>
    </xdr:from>
    <xdr:to>
      <xdr:col>16</xdr:col>
      <xdr:colOff>5209463</xdr:colOff>
      <xdr:row>25</xdr:row>
      <xdr:rowOff>177800</xdr:rowOff>
    </xdr:to>
    <xdr:sp macro="" textlink="">
      <xdr:nvSpPr>
        <xdr:cNvPr id="166157" name="Скругленный прямоугольник 166156">
          <a:extLst>
            <a:ext uri="{FF2B5EF4-FFF2-40B4-BE49-F238E27FC236}">
              <a16:creationId xmlns:a16="http://schemas.microsoft.com/office/drawing/2014/main" id="{00000000-0008-0000-0300-00000D890200}"/>
            </a:ext>
          </a:extLst>
        </xdr:cNvPr>
        <xdr:cNvSpPr/>
      </xdr:nvSpPr>
      <xdr:spPr>
        <a:xfrm>
          <a:off x="20316850" y="5003800"/>
          <a:ext cx="58981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636</a:t>
          </a:r>
        </a:p>
      </xdr:txBody>
    </xdr:sp>
    <xdr:clientData/>
  </xdr:twoCellAnchor>
  <xdr:twoCellAnchor>
    <xdr:from>
      <xdr:col>16</xdr:col>
      <xdr:colOff>5244495</xdr:colOff>
      <xdr:row>25</xdr:row>
      <xdr:rowOff>12700</xdr:rowOff>
    </xdr:from>
    <xdr:to>
      <xdr:col>16</xdr:col>
      <xdr:colOff>5756923</xdr:colOff>
      <xdr:row>25</xdr:row>
      <xdr:rowOff>177800</xdr:rowOff>
    </xdr:to>
    <xdr:sp macro="" textlink="">
      <xdr:nvSpPr>
        <xdr:cNvPr id="166158" name="Скругленный прямоугольник 166157">
          <a:extLst>
            <a:ext uri="{FF2B5EF4-FFF2-40B4-BE49-F238E27FC236}">
              <a16:creationId xmlns:a16="http://schemas.microsoft.com/office/drawing/2014/main" id="{00000000-0008-0000-0300-00000E890200}"/>
            </a:ext>
          </a:extLst>
        </xdr:cNvPr>
        <xdr:cNvSpPr/>
      </xdr:nvSpPr>
      <xdr:spPr>
        <a:xfrm>
          <a:off x="20941695" y="5003800"/>
          <a:ext cx="51242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96FF" mc:Ignorable="a14" a14:legacySpreadsheetColorIndex="4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D3FF" mc:Ignorable="a14" a14:legacySpreadsheetColorIndex="4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41AA" mc:Ignorable="a14" a14:legacySpreadsheetColorIndex="4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556</a:t>
          </a:r>
        </a:p>
      </xdr:txBody>
    </xdr:sp>
    <xdr:clientData/>
  </xdr:twoCellAnchor>
  <xdr:twoCellAnchor>
    <xdr:from>
      <xdr:col>16</xdr:col>
      <xdr:colOff>0</xdr:colOff>
      <xdr:row>26</xdr:row>
      <xdr:rowOff>12700</xdr:rowOff>
    </xdr:from>
    <xdr:to>
      <xdr:col>16</xdr:col>
      <xdr:colOff>1315301</xdr:colOff>
      <xdr:row>26</xdr:row>
      <xdr:rowOff>177800</xdr:rowOff>
    </xdr:to>
    <xdr:sp macro="" textlink="">
      <xdr:nvSpPr>
        <xdr:cNvPr id="166159" name="Скругленный прямоугольник 166158">
          <a:extLst>
            <a:ext uri="{FF2B5EF4-FFF2-40B4-BE49-F238E27FC236}">
              <a16:creationId xmlns:a16="http://schemas.microsoft.com/office/drawing/2014/main" id="{00000000-0008-0000-0300-00000F890200}"/>
            </a:ext>
          </a:extLst>
        </xdr:cNvPr>
        <xdr:cNvSpPr/>
      </xdr:nvSpPr>
      <xdr:spPr>
        <a:xfrm>
          <a:off x="15697200" y="5194300"/>
          <a:ext cx="131530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B4FF" mc:Ignorable="a14" a14:legacySpreadsheetColorIndex="2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DEFF" mc:Ignorable="a14" a14:legacySpreadsheetColorIndex="2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64AA" mc:Ignorable="a14" a14:legacySpreadsheetColorIndex="2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1386</a:t>
          </a:r>
        </a:p>
      </xdr:txBody>
    </xdr:sp>
    <xdr:clientData/>
  </xdr:twoCellAnchor>
  <xdr:twoCellAnchor>
    <xdr:from>
      <xdr:col>16</xdr:col>
      <xdr:colOff>1350332</xdr:colOff>
      <xdr:row>26</xdr:row>
      <xdr:rowOff>12700</xdr:rowOff>
    </xdr:from>
    <xdr:to>
      <xdr:col>16</xdr:col>
      <xdr:colOff>2075569</xdr:colOff>
      <xdr:row>26</xdr:row>
      <xdr:rowOff>177800</xdr:rowOff>
    </xdr:to>
    <xdr:sp macro="" textlink="">
      <xdr:nvSpPr>
        <xdr:cNvPr id="166160" name="Скругленный прямоугольник 166159">
          <a:extLst>
            <a:ext uri="{FF2B5EF4-FFF2-40B4-BE49-F238E27FC236}">
              <a16:creationId xmlns:a16="http://schemas.microsoft.com/office/drawing/2014/main" id="{00000000-0008-0000-0300-000010890200}"/>
            </a:ext>
          </a:extLst>
        </xdr:cNvPr>
        <xdr:cNvSpPr/>
      </xdr:nvSpPr>
      <xdr:spPr>
        <a:xfrm>
          <a:off x="17047532" y="5194300"/>
          <a:ext cx="72523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D7" mc:Ignorable="a14" a14:legacySpreadsheetColorIndex="4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EC" mc:Ignorable="a14" a14:legacySpreadsheetColorIndex="4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87" mc:Ignorable="a14" a14:legacySpreadsheetColorIndex="4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776</a:t>
          </a:r>
        </a:p>
      </xdr:txBody>
    </xdr:sp>
    <xdr:clientData/>
  </xdr:twoCellAnchor>
  <xdr:twoCellAnchor>
    <xdr:from>
      <xdr:col>16</xdr:col>
      <xdr:colOff>2110600</xdr:colOff>
      <xdr:row>26</xdr:row>
      <xdr:rowOff>12700</xdr:rowOff>
    </xdr:from>
    <xdr:to>
      <xdr:col>16</xdr:col>
      <xdr:colOff>5768742</xdr:colOff>
      <xdr:row>26</xdr:row>
      <xdr:rowOff>177800</xdr:rowOff>
    </xdr:to>
    <xdr:sp macro="" textlink="">
      <xdr:nvSpPr>
        <xdr:cNvPr id="166161" name="Скругленный прямоугольник 166160">
          <a:extLst>
            <a:ext uri="{FF2B5EF4-FFF2-40B4-BE49-F238E27FC236}">
              <a16:creationId xmlns:a16="http://schemas.microsoft.com/office/drawing/2014/main" id="{00000000-0008-0000-0300-000011890200}"/>
            </a:ext>
          </a:extLst>
        </xdr:cNvPr>
        <xdr:cNvSpPr/>
      </xdr:nvSpPr>
      <xdr:spPr>
        <a:xfrm>
          <a:off x="17807800" y="5194300"/>
          <a:ext cx="365814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Остаток: 3808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44825</xdr:colOff>
      <xdr:row>17</xdr:row>
      <xdr:rowOff>150420</xdr:rowOff>
    </xdr:from>
    <xdr:to>
      <xdr:col>3</xdr:col>
      <xdr:colOff>307043</xdr:colOff>
      <xdr:row>19</xdr:row>
      <xdr:rowOff>76200</xdr:rowOff>
    </xdr:to>
    <xdr:sp macro="[0]!Raskroy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25800" y="3617520"/>
          <a:ext cx="1214718" cy="30678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Расчет</a:t>
          </a:r>
          <a:r>
            <a:rPr lang="en-US" sz="1100"/>
            <a:t> DP</a:t>
          </a:r>
          <a:endParaRPr lang="ru-RU" sz="1100"/>
        </a:p>
      </xdr:txBody>
    </xdr:sp>
    <xdr:clientData fPrintsWithSheet="0"/>
  </xdr:twoCellAnchor>
  <xdr:twoCellAnchor>
    <xdr:from>
      <xdr:col>3</xdr:col>
      <xdr:colOff>472817</xdr:colOff>
      <xdr:row>17</xdr:row>
      <xdr:rowOff>150420</xdr:rowOff>
    </xdr:from>
    <xdr:to>
      <xdr:col>4</xdr:col>
      <xdr:colOff>735035</xdr:colOff>
      <xdr:row>19</xdr:row>
      <xdr:rowOff>76200</xdr:rowOff>
    </xdr:to>
    <xdr:sp macro="[0]!ClearData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606292" y="3617520"/>
          <a:ext cx="1214718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Очистить все</a:t>
          </a:r>
        </a:p>
      </xdr:txBody>
    </xdr:sp>
    <xdr:clientData fPrintsWithSheet="0"/>
  </xdr:twoCellAnchor>
  <xdr:twoCellAnchor>
    <xdr:from>
      <xdr:col>4</xdr:col>
      <xdr:colOff>924205</xdr:colOff>
      <xdr:row>17</xdr:row>
      <xdr:rowOff>150420</xdr:rowOff>
    </xdr:from>
    <xdr:to>
      <xdr:col>7</xdr:col>
      <xdr:colOff>21011</xdr:colOff>
      <xdr:row>19</xdr:row>
      <xdr:rowOff>76200</xdr:rowOff>
    </xdr:to>
    <xdr:sp macro="[0]!OutGraph" textlink="">
      <xdr:nvSpPr>
        <xdr:cNvPr id="4" name="Скругленный прямоугольник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010180" y="3617520"/>
          <a:ext cx="1220881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Отобразить</a:t>
          </a:r>
        </a:p>
      </xdr:txBody>
    </xdr:sp>
    <xdr:clientData fPrintsWithSheet="0"/>
  </xdr:twoCellAnchor>
  <xdr:twoCellAnchor>
    <xdr:from>
      <xdr:col>7</xdr:col>
      <xdr:colOff>197224</xdr:colOff>
      <xdr:row>17</xdr:row>
      <xdr:rowOff>150420</xdr:rowOff>
    </xdr:from>
    <xdr:to>
      <xdr:col>8</xdr:col>
      <xdr:colOff>806824</xdr:colOff>
      <xdr:row>19</xdr:row>
      <xdr:rowOff>76200</xdr:rowOff>
    </xdr:to>
    <xdr:sp macro="[0]!Export2PDF" textlink="">
      <xdr:nvSpPr>
        <xdr:cNvPr id="5" name="Скругленный прямоугольник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4407274" y="3617520"/>
          <a:ext cx="1209675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Экспорт в </a:t>
          </a:r>
          <a:r>
            <a:rPr lang="en-US" sz="1100"/>
            <a:t>PDF</a:t>
          </a:r>
          <a:endParaRPr lang="ru-RU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13</xdr:row>
          <xdr:rowOff>180975</xdr:rowOff>
        </xdr:from>
        <xdr:to>
          <xdr:col>9</xdr:col>
          <xdr:colOff>9525</xdr:colOff>
          <xdr:row>15</xdr:row>
          <xdr:rowOff>0</xdr:rowOff>
        </xdr:to>
        <xdr:sp macro="" textlink="">
          <xdr:nvSpPr>
            <xdr:cNvPr id="166913" name="Drop Down 1" hidden="1">
              <a:extLst>
                <a:ext uri="{63B3BB69-23CF-44E3-9099-C40C66FF867C}">
                  <a14:compatExt spid="_x0000_s166913"/>
                </a:ext>
                <a:ext uri="{FF2B5EF4-FFF2-40B4-BE49-F238E27FC236}">
                  <a16:creationId xmlns:a16="http://schemas.microsoft.com/office/drawing/2014/main" id="{00000000-0008-0000-0400-000001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13</xdr:row>
          <xdr:rowOff>161925</xdr:rowOff>
        </xdr:from>
        <xdr:to>
          <xdr:col>5</xdr:col>
          <xdr:colOff>981075</xdr:colOff>
          <xdr:row>15</xdr:row>
          <xdr:rowOff>0</xdr:rowOff>
        </xdr:to>
        <xdr:sp macro="" textlink="">
          <xdr:nvSpPr>
            <xdr:cNvPr id="166914" name="Check Box 2" hidden="1">
              <a:extLst>
                <a:ext uri="{63B3BB69-23CF-44E3-9099-C40C66FF867C}">
                  <a14:compatExt spid="_x0000_s166914"/>
                </a:ext>
                <a:ext uri="{FF2B5EF4-FFF2-40B4-BE49-F238E27FC236}">
                  <a16:creationId xmlns:a16="http://schemas.microsoft.com/office/drawing/2014/main" id="{00000000-0008-0000-0400-000002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Группировать решение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14</xdr:row>
          <xdr:rowOff>161925</xdr:rowOff>
        </xdr:from>
        <xdr:to>
          <xdr:col>5</xdr:col>
          <xdr:colOff>981075</xdr:colOff>
          <xdr:row>16</xdr:row>
          <xdr:rowOff>0</xdr:rowOff>
        </xdr:to>
        <xdr:sp macro="" textlink="">
          <xdr:nvSpPr>
            <xdr:cNvPr id="166915" name="Check Box 3" hidden="1">
              <a:extLst>
                <a:ext uri="{63B3BB69-23CF-44E3-9099-C40C66FF867C}">
                  <a14:compatExt spid="_x0000_s166915"/>
                </a:ext>
                <a:ext uri="{FF2B5EF4-FFF2-40B4-BE49-F238E27FC236}">
                  <a16:creationId xmlns:a16="http://schemas.microsoft.com/office/drawing/2014/main" id="{00000000-0008-0000-0400-000003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Отображать графику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15</xdr:row>
          <xdr:rowOff>0</xdr:rowOff>
        </xdr:from>
        <xdr:to>
          <xdr:col>9</xdr:col>
          <xdr:colOff>9525</xdr:colOff>
          <xdr:row>16</xdr:row>
          <xdr:rowOff>9525</xdr:rowOff>
        </xdr:to>
        <xdr:sp macro="" textlink="">
          <xdr:nvSpPr>
            <xdr:cNvPr id="166916" name="Drop Down 4" hidden="1">
              <a:extLst>
                <a:ext uri="{63B3BB69-23CF-44E3-9099-C40C66FF867C}">
                  <a14:compatExt spid="_x0000_s166916"/>
                </a:ext>
                <a:ext uri="{FF2B5EF4-FFF2-40B4-BE49-F238E27FC236}">
                  <a16:creationId xmlns:a16="http://schemas.microsoft.com/office/drawing/2014/main" id="{00000000-0008-0000-0400-000004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15</xdr:row>
          <xdr:rowOff>161925</xdr:rowOff>
        </xdr:from>
        <xdr:to>
          <xdr:col>5</xdr:col>
          <xdr:colOff>981075</xdr:colOff>
          <xdr:row>17</xdr:row>
          <xdr:rowOff>0</xdr:rowOff>
        </xdr:to>
        <xdr:sp macro="" textlink="">
          <xdr:nvSpPr>
            <xdr:cNvPr id="166917" name="Check Box 5" hidden="1">
              <a:extLst>
                <a:ext uri="{63B3BB69-23CF-44E3-9099-C40C66FF867C}">
                  <a14:compatExt spid="_x0000_s166917"/>
                </a:ext>
                <a:ext uri="{FF2B5EF4-FFF2-40B4-BE49-F238E27FC236}">
                  <a16:creationId xmlns:a16="http://schemas.microsoft.com/office/drawing/2014/main" id="{00000000-0008-0000-0400-000005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Рез под 45 градусов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16</xdr:row>
          <xdr:rowOff>0</xdr:rowOff>
        </xdr:from>
        <xdr:to>
          <xdr:col>9</xdr:col>
          <xdr:colOff>0</xdr:colOff>
          <xdr:row>17</xdr:row>
          <xdr:rowOff>28575</xdr:rowOff>
        </xdr:to>
        <xdr:sp macro="" textlink="">
          <xdr:nvSpPr>
            <xdr:cNvPr id="166918" name="Check Box 6" hidden="1">
              <a:extLst>
                <a:ext uri="{63B3BB69-23CF-44E3-9099-C40C66FF867C}">
                  <a14:compatExt spid="_x0000_s166918"/>
                </a:ext>
                <a:ext uri="{FF2B5EF4-FFF2-40B4-BE49-F238E27FC236}">
                  <a16:creationId xmlns:a16="http://schemas.microsoft.com/office/drawing/2014/main" id="{00000000-0008-0000-0400-000006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Раскрой в два профиля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44825</xdr:colOff>
      <xdr:row>20</xdr:row>
      <xdr:rowOff>0</xdr:rowOff>
    </xdr:from>
    <xdr:to>
      <xdr:col>3</xdr:col>
      <xdr:colOff>307043</xdr:colOff>
      <xdr:row>21</xdr:row>
      <xdr:rowOff>116280</xdr:rowOff>
    </xdr:to>
    <xdr:sp macro="[0]!lpCSP" textlink="">
      <xdr:nvSpPr>
        <xdr:cNvPr id="12" name="Скругленный прямоугольник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225800" y="4038600"/>
          <a:ext cx="1214718" cy="30678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Расчет</a:t>
          </a:r>
          <a:r>
            <a:rPr lang="en-US" sz="1100"/>
            <a:t> LP</a:t>
          </a:r>
          <a:endParaRPr lang="ru-RU" sz="1100"/>
        </a:p>
      </xdr:txBody>
    </xdr:sp>
    <xdr:clientData fPrintsWithSheet="0"/>
  </xdr:twoCellAnchor>
  <xdr:twoCellAnchor>
    <xdr:from>
      <xdr:col>3</xdr:col>
      <xdr:colOff>472817</xdr:colOff>
      <xdr:row>20</xdr:row>
      <xdr:rowOff>0</xdr:rowOff>
    </xdr:from>
    <xdr:to>
      <xdr:col>4</xdr:col>
      <xdr:colOff>735035</xdr:colOff>
      <xdr:row>21</xdr:row>
      <xdr:rowOff>116280</xdr:rowOff>
    </xdr:to>
    <xdr:sp macro="[0]!ClearSolve" textlink="">
      <xdr:nvSpPr>
        <xdr:cNvPr id="13" name="Скругленный прямоугольник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1606292" y="4038600"/>
          <a:ext cx="1214718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Убрать</a:t>
          </a:r>
          <a:r>
            <a:rPr lang="ru-RU" sz="1100" baseline="0"/>
            <a:t> решение</a:t>
          </a:r>
          <a:endParaRPr lang="ru-RU" sz="1100"/>
        </a:p>
      </xdr:txBody>
    </xdr:sp>
    <xdr:clientData fPrintsWithSheet="0"/>
  </xdr:twoCellAnchor>
  <xdr:twoCellAnchor>
    <xdr:from>
      <xdr:col>4</xdr:col>
      <xdr:colOff>924205</xdr:colOff>
      <xdr:row>20</xdr:row>
      <xdr:rowOff>0</xdr:rowOff>
    </xdr:from>
    <xdr:to>
      <xdr:col>7</xdr:col>
      <xdr:colOff>21011</xdr:colOff>
      <xdr:row>21</xdr:row>
      <xdr:rowOff>116280</xdr:rowOff>
    </xdr:to>
    <xdr:sp macro="[0]!OffGraph" textlink="">
      <xdr:nvSpPr>
        <xdr:cNvPr id="14" name="Скругленный прямоугольник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3010180" y="4038600"/>
          <a:ext cx="1220881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Убрать</a:t>
          </a:r>
          <a:r>
            <a:rPr lang="ru-RU" sz="1100" baseline="0"/>
            <a:t> графику</a:t>
          </a:r>
          <a:endParaRPr lang="ru-RU" sz="1100"/>
        </a:p>
      </xdr:txBody>
    </xdr:sp>
    <xdr:clientData fPrintsWithSheet="0"/>
  </xdr:twoCellAnchor>
  <xdr:twoCellAnchor>
    <xdr:from>
      <xdr:col>7</xdr:col>
      <xdr:colOff>197224</xdr:colOff>
      <xdr:row>20</xdr:row>
      <xdr:rowOff>0</xdr:rowOff>
    </xdr:from>
    <xdr:to>
      <xdr:col>8</xdr:col>
      <xdr:colOff>806824</xdr:colOff>
      <xdr:row>21</xdr:row>
      <xdr:rowOff>116280</xdr:rowOff>
    </xdr:to>
    <xdr:sp macro="" textlink="">
      <xdr:nvSpPr>
        <xdr:cNvPr id="15" name="Скругленный прямоугольник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4407274" y="4038600"/>
          <a:ext cx="1209675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Создать отчет</a:t>
          </a:r>
        </a:p>
      </xdr:txBody>
    </xdr:sp>
    <xdr:clientData fPrintsWithSheet="0"/>
  </xdr:twoCellAnchor>
  <xdr:twoCellAnchor>
    <xdr:from>
      <xdr:col>16</xdr:col>
      <xdr:colOff>0</xdr:colOff>
      <xdr:row>3</xdr:row>
      <xdr:rowOff>12700</xdr:rowOff>
    </xdr:from>
    <xdr:to>
      <xdr:col>16</xdr:col>
      <xdr:colOff>1315301</xdr:colOff>
      <xdr:row>3</xdr:row>
      <xdr:rowOff>177800</xdr:rowOff>
    </xdr:to>
    <xdr:sp macro="" textlink="">
      <xdr:nvSpPr>
        <xdr:cNvPr id="167025" name="Скругленный прямоугольник 167024">
          <a:extLst>
            <a:ext uri="{FF2B5EF4-FFF2-40B4-BE49-F238E27FC236}">
              <a16:creationId xmlns:a16="http://schemas.microsoft.com/office/drawing/2014/main" id="{00000000-0008-0000-0400-0000718C0200}"/>
            </a:ext>
          </a:extLst>
        </xdr:cNvPr>
        <xdr:cNvSpPr/>
      </xdr:nvSpPr>
      <xdr:spPr>
        <a:xfrm>
          <a:off x="14373225" y="812800"/>
          <a:ext cx="131530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B4FF" mc:Ignorable="a14" a14:legacySpreadsheetColorIndex="2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DEFF" mc:Ignorable="a14" a14:legacySpreadsheetColorIndex="2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64AA" mc:Ignorable="a14" a14:legacySpreadsheetColorIndex="2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1386</a:t>
          </a:r>
        </a:p>
      </xdr:txBody>
    </xdr:sp>
    <xdr:clientData/>
  </xdr:twoCellAnchor>
  <xdr:twoCellAnchor>
    <xdr:from>
      <xdr:col>16</xdr:col>
      <xdr:colOff>1350332</xdr:colOff>
      <xdr:row>3</xdr:row>
      <xdr:rowOff>12700</xdr:rowOff>
    </xdr:from>
    <xdr:to>
      <xdr:col>16</xdr:col>
      <xdr:colOff>2530208</xdr:colOff>
      <xdr:row>3</xdr:row>
      <xdr:rowOff>177800</xdr:rowOff>
    </xdr:to>
    <xdr:sp macro="" textlink="">
      <xdr:nvSpPr>
        <xdr:cNvPr id="167026" name="Скругленный прямоугольник 167025">
          <a:extLst>
            <a:ext uri="{FF2B5EF4-FFF2-40B4-BE49-F238E27FC236}">
              <a16:creationId xmlns:a16="http://schemas.microsoft.com/office/drawing/2014/main" id="{00000000-0008-0000-0400-0000728C0200}"/>
            </a:ext>
          </a:extLst>
        </xdr:cNvPr>
        <xdr:cNvSpPr/>
      </xdr:nvSpPr>
      <xdr:spPr>
        <a:xfrm>
          <a:off x="15723557" y="812800"/>
          <a:ext cx="117987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1246</a:t>
          </a:r>
        </a:p>
      </xdr:txBody>
    </xdr:sp>
    <xdr:clientData/>
  </xdr:twoCellAnchor>
  <xdr:twoCellAnchor>
    <xdr:from>
      <xdr:col>16</xdr:col>
      <xdr:colOff>2565239</xdr:colOff>
      <xdr:row>3</xdr:row>
      <xdr:rowOff>12700</xdr:rowOff>
    </xdr:from>
    <xdr:to>
      <xdr:col>16</xdr:col>
      <xdr:colOff>3687076</xdr:colOff>
      <xdr:row>3</xdr:row>
      <xdr:rowOff>177800</xdr:rowOff>
    </xdr:to>
    <xdr:sp macro="" textlink="">
      <xdr:nvSpPr>
        <xdr:cNvPr id="167027" name="Скругленный прямоугольник 167026">
          <a:extLst>
            <a:ext uri="{FF2B5EF4-FFF2-40B4-BE49-F238E27FC236}">
              <a16:creationId xmlns:a16="http://schemas.microsoft.com/office/drawing/2014/main" id="{00000000-0008-0000-0400-0000738C0200}"/>
            </a:ext>
          </a:extLst>
        </xdr:cNvPr>
        <xdr:cNvSpPr/>
      </xdr:nvSpPr>
      <xdr:spPr>
        <a:xfrm>
          <a:off x="16938464" y="812800"/>
          <a:ext cx="112183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3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3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3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1186</a:t>
          </a:r>
        </a:p>
      </xdr:txBody>
    </xdr:sp>
    <xdr:clientData/>
  </xdr:twoCellAnchor>
  <xdr:twoCellAnchor>
    <xdr:from>
      <xdr:col>16</xdr:col>
      <xdr:colOff>3722108</xdr:colOff>
      <xdr:row>3</xdr:row>
      <xdr:rowOff>12700</xdr:rowOff>
    </xdr:from>
    <xdr:to>
      <xdr:col>16</xdr:col>
      <xdr:colOff>4776232</xdr:colOff>
      <xdr:row>3</xdr:row>
      <xdr:rowOff>177800</xdr:rowOff>
    </xdr:to>
    <xdr:sp macro="" textlink="">
      <xdr:nvSpPr>
        <xdr:cNvPr id="167028" name="Скругленный прямоугольник 167027">
          <a:extLst>
            <a:ext uri="{FF2B5EF4-FFF2-40B4-BE49-F238E27FC236}">
              <a16:creationId xmlns:a16="http://schemas.microsoft.com/office/drawing/2014/main" id="{00000000-0008-0000-0400-0000748C0200}"/>
            </a:ext>
          </a:extLst>
        </xdr:cNvPr>
        <xdr:cNvSpPr/>
      </xdr:nvSpPr>
      <xdr:spPr>
        <a:xfrm>
          <a:off x="18095333" y="812800"/>
          <a:ext cx="105412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A4" mc:Ignorable="a14" a14:legacySpreadsheetColorIndex="3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D8" mc:Ignorable="a14" a14:legacySpreadsheetColorIndex="3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53" mc:Ignorable="a14" a14:legacySpreadsheetColorIndex="3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1116</a:t>
          </a:r>
        </a:p>
      </xdr:txBody>
    </xdr:sp>
    <xdr:clientData/>
  </xdr:twoCellAnchor>
  <xdr:twoCellAnchor>
    <xdr:from>
      <xdr:col>16</xdr:col>
      <xdr:colOff>4811264</xdr:colOff>
      <xdr:row>3</xdr:row>
      <xdr:rowOff>12700</xdr:rowOff>
    </xdr:from>
    <xdr:to>
      <xdr:col>16</xdr:col>
      <xdr:colOff>5758985</xdr:colOff>
      <xdr:row>3</xdr:row>
      <xdr:rowOff>177800</xdr:rowOff>
    </xdr:to>
    <xdr:sp macro="" textlink="">
      <xdr:nvSpPr>
        <xdr:cNvPr id="167029" name="Скругленный прямоугольник 167028">
          <a:extLst>
            <a:ext uri="{FF2B5EF4-FFF2-40B4-BE49-F238E27FC236}">
              <a16:creationId xmlns:a16="http://schemas.microsoft.com/office/drawing/2014/main" id="{00000000-0008-0000-0400-0000758C0200}"/>
            </a:ext>
          </a:extLst>
        </xdr:cNvPr>
        <xdr:cNvSpPr/>
      </xdr:nvSpPr>
      <xdr:spPr>
        <a:xfrm>
          <a:off x="19184489" y="812800"/>
          <a:ext cx="94772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3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3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3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1006</a:t>
          </a:r>
        </a:p>
      </xdr:txBody>
    </xdr:sp>
    <xdr:clientData/>
  </xdr:twoCellAnchor>
  <xdr:twoCellAnchor>
    <xdr:from>
      <xdr:col>16</xdr:col>
      <xdr:colOff>0</xdr:colOff>
      <xdr:row>4</xdr:row>
      <xdr:rowOff>12700</xdr:rowOff>
    </xdr:from>
    <xdr:to>
      <xdr:col>16</xdr:col>
      <xdr:colOff>1315301</xdr:colOff>
      <xdr:row>4</xdr:row>
      <xdr:rowOff>177800</xdr:rowOff>
    </xdr:to>
    <xdr:sp macro="" textlink="">
      <xdr:nvSpPr>
        <xdr:cNvPr id="167030" name="Скругленный прямоугольник 167029">
          <a:extLst>
            <a:ext uri="{FF2B5EF4-FFF2-40B4-BE49-F238E27FC236}">
              <a16:creationId xmlns:a16="http://schemas.microsoft.com/office/drawing/2014/main" id="{00000000-0008-0000-0400-0000768C0200}"/>
            </a:ext>
          </a:extLst>
        </xdr:cNvPr>
        <xdr:cNvSpPr/>
      </xdr:nvSpPr>
      <xdr:spPr>
        <a:xfrm>
          <a:off x="14373225" y="1003300"/>
          <a:ext cx="131530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B4FF" mc:Ignorable="a14" a14:legacySpreadsheetColorIndex="2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DEFF" mc:Ignorable="a14" a14:legacySpreadsheetColorIndex="2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64AA" mc:Ignorable="a14" a14:legacySpreadsheetColorIndex="2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1386</a:t>
          </a:r>
        </a:p>
      </xdr:txBody>
    </xdr:sp>
    <xdr:clientData/>
  </xdr:twoCellAnchor>
  <xdr:twoCellAnchor>
    <xdr:from>
      <xdr:col>16</xdr:col>
      <xdr:colOff>1350332</xdr:colOff>
      <xdr:row>4</xdr:row>
      <xdr:rowOff>12700</xdr:rowOff>
    </xdr:from>
    <xdr:to>
      <xdr:col>16</xdr:col>
      <xdr:colOff>2665633</xdr:colOff>
      <xdr:row>4</xdr:row>
      <xdr:rowOff>177800</xdr:rowOff>
    </xdr:to>
    <xdr:sp macro="" textlink="">
      <xdr:nvSpPr>
        <xdr:cNvPr id="167031" name="Скругленный прямоугольник 167030">
          <a:extLst>
            <a:ext uri="{FF2B5EF4-FFF2-40B4-BE49-F238E27FC236}">
              <a16:creationId xmlns:a16="http://schemas.microsoft.com/office/drawing/2014/main" id="{00000000-0008-0000-0400-0000778C0200}"/>
            </a:ext>
          </a:extLst>
        </xdr:cNvPr>
        <xdr:cNvSpPr/>
      </xdr:nvSpPr>
      <xdr:spPr>
        <a:xfrm>
          <a:off x="15723557" y="1003300"/>
          <a:ext cx="131530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B4FF" mc:Ignorable="a14" a14:legacySpreadsheetColorIndex="2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DEFF" mc:Ignorable="a14" a14:legacySpreadsheetColorIndex="2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64AA" mc:Ignorable="a14" a14:legacySpreadsheetColorIndex="2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1386</a:t>
          </a:r>
        </a:p>
      </xdr:txBody>
    </xdr:sp>
    <xdr:clientData/>
  </xdr:twoCellAnchor>
  <xdr:twoCellAnchor>
    <xdr:from>
      <xdr:col>16</xdr:col>
      <xdr:colOff>2700663</xdr:colOff>
      <xdr:row>4</xdr:row>
      <xdr:rowOff>12700</xdr:rowOff>
    </xdr:from>
    <xdr:to>
      <xdr:col>16</xdr:col>
      <xdr:colOff>3948252</xdr:colOff>
      <xdr:row>4</xdr:row>
      <xdr:rowOff>177800</xdr:rowOff>
    </xdr:to>
    <xdr:sp macro="" textlink="">
      <xdr:nvSpPr>
        <xdr:cNvPr id="167032" name="Скругленный прямоугольник 167031">
          <a:extLst>
            <a:ext uri="{FF2B5EF4-FFF2-40B4-BE49-F238E27FC236}">
              <a16:creationId xmlns:a16="http://schemas.microsoft.com/office/drawing/2014/main" id="{00000000-0008-0000-0400-0000788C0200}"/>
            </a:ext>
          </a:extLst>
        </xdr:cNvPr>
        <xdr:cNvSpPr/>
      </xdr:nvSpPr>
      <xdr:spPr>
        <a:xfrm>
          <a:off x="17073888" y="1003300"/>
          <a:ext cx="12475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1316</a:t>
          </a:r>
        </a:p>
      </xdr:txBody>
    </xdr:sp>
    <xdr:clientData/>
  </xdr:twoCellAnchor>
  <xdr:twoCellAnchor>
    <xdr:from>
      <xdr:col>16</xdr:col>
      <xdr:colOff>3983282</xdr:colOff>
      <xdr:row>4</xdr:row>
      <xdr:rowOff>12700</xdr:rowOff>
    </xdr:from>
    <xdr:to>
      <xdr:col>16</xdr:col>
      <xdr:colOff>4940677</xdr:colOff>
      <xdr:row>4</xdr:row>
      <xdr:rowOff>177800</xdr:rowOff>
    </xdr:to>
    <xdr:sp macro="" textlink="">
      <xdr:nvSpPr>
        <xdr:cNvPr id="167033" name="Скругленный прямоугольник 167032">
          <a:extLst>
            <a:ext uri="{FF2B5EF4-FFF2-40B4-BE49-F238E27FC236}">
              <a16:creationId xmlns:a16="http://schemas.microsoft.com/office/drawing/2014/main" id="{00000000-0008-0000-0400-0000798C0200}"/>
            </a:ext>
          </a:extLst>
        </xdr:cNvPr>
        <xdr:cNvSpPr/>
      </xdr:nvSpPr>
      <xdr:spPr>
        <a:xfrm>
          <a:off x="18356507" y="1003300"/>
          <a:ext cx="95739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A4" mc:Ignorable="a14" a14:legacySpreadsheetColorIndex="3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D8" mc:Ignorable="a14" a14:legacySpreadsheetColorIndex="3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53" mc:Ignorable="a14" a14:legacySpreadsheetColorIndex="3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1016</a:t>
          </a:r>
        </a:p>
      </xdr:txBody>
    </xdr:sp>
    <xdr:clientData/>
  </xdr:twoCellAnchor>
  <xdr:twoCellAnchor>
    <xdr:from>
      <xdr:col>16</xdr:col>
      <xdr:colOff>4975707</xdr:colOff>
      <xdr:row>4</xdr:row>
      <xdr:rowOff>12700</xdr:rowOff>
    </xdr:from>
    <xdr:to>
      <xdr:col>16</xdr:col>
      <xdr:colOff>5758983</xdr:colOff>
      <xdr:row>4</xdr:row>
      <xdr:rowOff>177800</xdr:rowOff>
    </xdr:to>
    <xdr:sp macro="" textlink="">
      <xdr:nvSpPr>
        <xdr:cNvPr id="167034" name="Скругленный прямоугольник 167033">
          <a:extLst>
            <a:ext uri="{FF2B5EF4-FFF2-40B4-BE49-F238E27FC236}">
              <a16:creationId xmlns:a16="http://schemas.microsoft.com/office/drawing/2014/main" id="{00000000-0008-0000-0400-00007A8C0200}"/>
            </a:ext>
          </a:extLst>
        </xdr:cNvPr>
        <xdr:cNvSpPr/>
      </xdr:nvSpPr>
      <xdr:spPr>
        <a:xfrm>
          <a:off x="19348932" y="1003300"/>
          <a:ext cx="78327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D7FF" mc:Ignorable="a14" a14:legacySpreadsheetColorIndex="4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ECFF" mc:Ignorable="a14" a14:legacySpreadsheetColorIndex="4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87AA" mc:Ignorable="a14" a14:legacySpreadsheetColorIndex="4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836</a:t>
          </a:r>
        </a:p>
      </xdr:txBody>
    </xdr:sp>
    <xdr:clientData/>
  </xdr:twoCellAnchor>
  <xdr:twoCellAnchor>
    <xdr:from>
      <xdr:col>16</xdr:col>
      <xdr:colOff>0</xdr:colOff>
      <xdr:row>5</xdr:row>
      <xdr:rowOff>12700</xdr:rowOff>
    </xdr:from>
    <xdr:to>
      <xdr:col>16</xdr:col>
      <xdr:colOff>1353993</xdr:colOff>
      <xdr:row>5</xdr:row>
      <xdr:rowOff>177800</xdr:rowOff>
    </xdr:to>
    <xdr:sp macro="" textlink="">
      <xdr:nvSpPr>
        <xdr:cNvPr id="167035" name="Скругленный прямоугольник 167034">
          <a:extLst>
            <a:ext uri="{FF2B5EF4-FFF2-40B4-BE49-F238E27FC236}">
              <a16:creationId xmlns:a16="http://schemas.microsoft.com/office/drawing/2014/main" id="{00000000-0008-0000-0400-00007B8C0200}"/>
            </a:ext>
          </a:extLst>
        </xdr:cNvPr>
        <xdr:cNvSpPr/>
      </xdr:nvSpPr>
      <xdr:spPr>
        <a:xfrm>
          <a:off x="14373225" y="1193800"/>
          <a:ext cx="135399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7C96" mc:Ignorable="a14" a14:legacySpreadsheetColorIndex="2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CBD3" mc:Ignorable="a14" a14:legacySpreadsheetColorIndex="2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0041" mc:Ignorable="a14" a14:legacySpreadsheetColorIndex="2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1426</a:t>
          </a:r>
        </a:p>
      </xdr:txBody>
    </xdr:sp>
    <xdr:clientData/>
  </xdr:twoCellAnchor>
  <xdr:twoCellAnchor>
    <xdr:from>
      <xdr:col>16</xdr:col>
      <xdr:colOff>1389024</xdr:colOff>
      <xdr:row>5</xdr:row>
      <xdr:rowOff>12700</xdr:rowOff>
    </xdr:from>
    <xdr:to>
      <xdr:col>16</xdr:col>
      <xdr:colOff>2520535</xdr:colOff>
      <xdr:row>5</xdr:row>
      <xdr:rowOff>177800</xdr:rowOff>
    </xdr:to>
    <xdr:sp macro="" textlink="">
      <xdr:nvSpPr>
        <xdr:cNvPr id="167036" name="Скругленный прямоугольник 167035">
          <a:extLst>
            <a:ext uri="{FF2B5EF4-FFF2-40B4-BE49-F238E27FC236}">
              <a16:creationId xmlns:a16="http://schemas.microsoft.com/office/drawing/2014/main" id="{00000000-0008-0000-0400-00007C8C0200}"/>
            </a:ext>
          </a:extLst>
        </xdr:cNvPr>
        <xdr:cNvSpPr/>
      </xdr:nvSpPr>
      <xdr:spPr>
        <a:xfrm>
          <a:off x="15762249" y="1193800"/>
          <a:ext cx="113151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D7FF" mc:Ignorable="a14" a14:legacySpreadsheetColorIndex="3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ECFF" mc:Ignorable="a14" a14:legacySpreadsheetColorIndex="3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87AA" mc:Ignorable="a14" a14:legacySpreadsheetColorIndex="3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1196</a:t>
          </a:r>
        </a:p>
      </xdr:txBody>
    </xdr:sp>
    <xdr:clientData/>
  </xdr:twoCellAnchor>
  <xdr:twoCellAnchor>
    <xdr:from>
      <xdr:col>16</xdr:col>
      <xdr:colOff>2555566</xdr:colOff>
      <xdr:row>5</xdr:row>
      <xdr:rowOff>12700</xdr:rowOff>
    </xdr:from>
    <xdr:to>
      <xdr:col>16</xdr:col>
      <xdr:colOff>3667731</xdr:colOff>
      <xdr:row>5</xdr:row>
      <xdr:rowOff>177800</xdr:rowOff>
    </xdr:to>
    <xdr:sp macro="" textlink="">
      <xdr:nvSpPr>
        <xdr:cNvPr id="167037" name="Скругленный прямоугольник 167036">
          <a:extLst>
            <a:ext uri="{FF2B5EF4-FFF2-40B4-BE49-F238E27FC236}">
              <a16:creationId xmlns:a16="http://schemas.microsoft.com/office/drawing/2014/main" id="{00000000-0008-0000-0400-00007D8C0200}"/>
            </a:ext>
          </a:extLst>
        </xdr:cNvPr>
        <xdr:cNvSpPr/>
      </xdr:nvSpPr>
      <xdr:spPr>
        <a:xfrm>
          <a:off x="16928791" y="1193800"/>
          <a:ext cx="111216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3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3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3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1176</a:t>
          </a:r>
        </a:p>
      </xdr:txBody>
    </xdr:sp>
    <xdr:clientData/>
  </xdr:twoCellAnchor>
  <xdr:twoCellAnchor>
    <xdr:from>
      <xdr:col>16</xdr:col>
      <xdr:colOff>3702762</xdr:colOff>
      <xdr:row>5</xdr:row>
      <xdr:rowOff>12700</xdr:rowOff>
    </xdr:from>
    <xdr:to>
      <xdr:col>16</xdr:col>
      <xdr:colOff>4805252</xdr:colOff>
      <xdr:row>5</xdr:row>
      <xdr:rowOff>177800</xdr:rowOff>
    </xdr:to>
    <xdr:sp macro="" textlink="">
      <xdr:nvSpPr>
        <xdr:cNvPr id="167038" name="Скругленный прямоугольник 167037">
          <a:extLst>
            <a:ext uri="{FF2B5EF4-FFF2-40B4-BE49-F238E27FC236}">
              <a16:creationId xmlns:a16="http://schemas.microsoft.com/office/drawing/2014/main" id="{00000000-0008-0000-0400-00007E8C0200}"/>
            </a:ext>
          </a:extLst>
        </xdr:cNvPr>
        <xdr:cNvSpPr/>
      </xdr:nvSpPr>
      <xdr:spPr>
        <a:xfrm>
          <a:off x="18075987" y="1193800"/>
          <a:ext cx="110249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4840283</xdr:colOff>
      <xdr:row>5</xdr:row>
      <xdr:rowOff>12700</xdr:rowOff>
    </xdr:from>
    <xdr:to>
      <xdr:col>16</xdr:col>
      <xdr:colOff>5758983</xdr:colOff>
      <xdr:row>5</xdr:row>
      <xdr:rowOff>177800</xdr:rowOff>
    </xdr:to>
    <xdr:sp macro="" textlink="">
      <xdr:nvSpPr>
        <xdr:cNvPr id="167039" name="Скругленный прямоугольник 167038">
          <a:extLst>
            <a:ext uri="{FF2B5EF4-FFF2-40B4-BE49-F238E27FC236}">
              <a16:creationId xmlns:a16="http://schemas.microsoft.com/office/drawing/2014/main" id="{00000000-0008-0000-0400-00007F8C0200}"/>
            </a:ext>
          </a:extLst>
        </xdr:cNvPr>
        <xdr:cNvSpPr/>
      </xdr:nvSpPr>
      <xdr:spPr>
        <a:xfrm>
          <a:off x="19213508" y="1193800"/>
          <a:ext cx="91870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3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3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3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976</a:t>
          </a:r>
        </a:p>
      </xdr:txBody>
    </xdr:sp>
    <xdr:clientData/>
  </xdr:twoCellAnchor>
  <xdr:twoCellAnchor>
    <xdr:from>
      <xdr:col>16</xdr:col>
      <xdr:colOff>0</xdr:colOff>
      <xdr:row>6</xdr:row>
      <xdr:rowOff>12700</xdr:rowOff>
    </xdr:from>
    <xdr:to>
      <xdr:col>16</xdr:col>
      <xdr:colOff>1353993</xdr:colOff>
      <xdr:row>6</xdr:row>
      <xdr:rowOff>177800</xdr:rowOff>
    </xdr:to>
    <xdr:sp macro="" textlink="">
      <xdr:nvSpPr>
        <xdr:cNvPr id="167040" name="Скругленный прямоугольник 167039">
          <a:extLst>
            <a:ext uri="{FF2B5EF4-FFF2-40B4-BE49-F238E27FC236}">
              <a16:creationId xmlns:a16="http://schemas.microsoft.com/office/drawing/2014/main" id="{00000000-0008-0000-0400-0000808C0200}"/>
            </a:ext>
          </a:extLst>
        </xdr:cNvPr>
        <xdr:cNvSpPr/>
      </xdr:nvSpPr>
      <xdr:spPr>
        <a:xfrm>
          <a:off x="14373225" y="1384300"/>
          <a:ext cx="135399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7C96" mc:Ignorable="a14" a14:legacySpreadsheetColorIndex="2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CBD3" mc:Ignorable="a14" a14:legacySpreadsheetColorIndex="2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0041" mc:Ignorable="a14" a14:legacySpreadsheetColorIndex="2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1426</a:t>
          </a:r>
        </a:p>
      </xdr:txBody>
    </xdr:sp>
    <xdr:clientData/>
  </xdr:twoCellAnchor>
  <xdr:twoCellAnchor>
    <xdr:from>
      <xdr:col>16</xdr:col>
      <xdr:colOff>1389024</xdr:colOff>
      <xdr:row>6</xdr:row>
      <xdr:rowOff>12700</xdr:rowOff>
    </xdr:from>
    <xdr:to>
      <xdr:col>16</xdr:col>
      <xdr:colOff>2520535</xdr:colOff>
      <xdr:row>6</xdr:row>
      <xdr:rowOff>177800</xdr:rowOff>
    </xdr:to>
    <xdr:sp macro="" textlink="">
      <xdr:nvSpPr>
        <xdr:cNvPr id="167041" name="Скругленный прямоугольник 167040">
          <a:extLst>
            <a:ext uri="{FF2B5EF4-FFF2-40B4-BE49-F238E27FC236}">
              <a16:creationId xmlns:a16="http://schemas.microsoft.com/office/drawing/2014/main" id="{00000000-0008-0000-0400-0000818C0200}"/>
            </a:ext>
          </a:extLst>
        </xdr:cNvPr>
        <xdr:cNvSpPr/>
      </xdr:nvSpPr>
      <xdr:spPr>
        <a:xfrm>
          <a:off x="15762249" y="1384300"/>
          <a:ext cx="113151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D7FF" mc:Ignorable="a14" a14:legacySpreadsheetColorIndex="3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ECFF" mc:Ignorable="a14" a14:legacySpreadsheetColorIndex="3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87AA" mc:Ignorable="a14" a14:legacySpreadsheetColorIndex="3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1196</a:t>
          </a:r>
        </a:p>
      </xdr:txBody>
    </xdr:sp>
    <xdr:clientData/>
  </xdr:twoCellAnchor>
  <xdr:twoCellAnchor>
    <xdr:from>
      <xdr:col>16</xdr:col>
      <xdr:colOff>2555566</xdr:colOff>
      <xdr:row>6</xdr:row>
      <xdr:rowOff>12700</xdr:rowOff>
    </xdr:from>
    <xdr:to>
      <xdr:col>16</xdr:col>
      <xdr:colOff>3687077</xdr:colOff>
      <xdr:row>6</xdr:row>
      <xdr:rowOff>177800</xdr:rowOff>
    </xdr:to>
    <xdr:sp macro="" textlink="">
      <xdr:nvSpPr>
        <xdr:cNvPr id="167042" name="Скругленный прямоугольник 167041">
          <a:extLst>
            <a:ext uri="{FF2B5EF4-FFF2-40B4-BE49-F238E27FC236}">
              <a16:creationId xmlns:a16="http://schemas.microsoft.com/office/drawing/2014/main" id="{00000000-0008-0000-0400-0000828C0200}"/>
            </a:ext>
          </a:extLst>
        </xdr:cNvPr>
        <xdr:cNvSpPr/>
      </xdr:nvSpPr>
      <xdr:spPr>
        <a:xfrm>
          <a:off x="16928791" y="1384300"/>
          <a:ext cx="113151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D7FF" mc:Ignorable="a14" a14:legacySpreadsheetColorIndex="3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ECFF" mc:Ignorable="a14" a14:legacySpreadsheetColorIndex="3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87AA" mc:Ignorable="a14" a14:legacySpreadsheetColorIndex="3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1196</a:t>
          </a:r>
        </a:p>
      </xdr:txBody>
    </xdr:sp>
    <xdr:clientData/>
  </xdr:twoCellAnchor>
  <xdr:twoCellAnchor>
    <xdr:from>
      <xdr:col>16</xdr:col>
      <xdr:colOff>3722108</xdr:colOff>
      <xdr:row>6</xdr:row>
      <xdr:rowOff>12700</xdr:rowOff>
    </xdr:from>
    <xdr:to>
      <xdr:col>16</xdr:col>
      <xdr:colOff>4824599</xdr:colOff>
      <xdr:row>6</xdr:row>
      <xdr:rowOff>177800</xdr:rowOff>
    </xdr:to>
    <xdr:sp macro="" textlink="">
      <xdr:nvSpPr>
        <xdr:cNvPr id="167043" name="Скругленный прямоугольник 167042">
          <a:extLst>
            <a:ext uri="{FF2B5EF4-FFF2-40B4-BE49-F238E27FC236}">
              <a16:creationId xmlns:a16="http://schemas.microsoft.com/office/drawing/2014/main" id="{00000000-0008-0000-0400-0000838C0200}"/>
            </a:ext>
          </a:extLst>
        </xdr:cNvPr>
        <xdr:cNvSpPr/>
      </xdr:nvSpPr>
      <xdr:spPr>
        <a:xfrm>
          <a:off x="18095333" y="13843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4859629</xdr:colOff>
      <xdr:row>6</xdr:row>
      <xdr:rowOff>12700</xdr:rowOff>
    </xdr:from>
    <xdr:to>
      <xdr:col>16</xdr:col>
      <xdr:colOff>5758983</xdr:colOff>
      <xdr:row>6</xdr:row>
      <xdr:rowOff>177800</xdr:rowOff>
    </xdr:to>
    <xdr:sp macro="" textlink="">
      <xdr:nvSpPr>
        <xdr:cNvPr id="167044" name="Скругленный прямоугольник 167043">
          <a:extLst>
            <a:ext uri="{FF2B5EF4-FFF2-40B4-BE49-F238E27FC236}">
              <a16:creationId xmlns:a16="http://schemas.microsoft.com/office/drawing/2014/main" id="{00000000-0008-0000-0400-0000848C0200}"/>
            </a:ext>
          </a:extLst>
        </xdr:cNvPr>
        <xdr:cNvSpPr/>
      </xdr:nvSpPr>
      <xdr:spPr>
        <a:xfrm>
          <a:off x="19232854" y="1384300"/>
          <a:ext cx="89935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956</a:t>
          </a:r>
        </a:p>
      </xdr:txBody>
    </xdr:sp>
    <xdr:clientData/>
  </xdr:twoCellAnchor>
  <xdr:twoCellAnchor>
    <xdr:from>
      <xdr:col>16</xdr:col>
      <xdr:colOff>0</xdr:colOff>
      <xdr:row>7</xdr:row>
      <xdr:rowOff>12700</xdr:rowOff>
    </xdr:from>
    <xdr:to>
      <xdr:col>16</xdr:col>
      <xdr:colOff>1353993</xdr:colOff>
      <xdr:row>7</xdr:row>
      <xdr:rowOff>177800</xdr:rowOff>
    </xdr:to>
    <xdr:sp macro="" textlink="">
      <xdr:nvSpPr>
        <xdr:cNvPr id="167045" name="Скругленный прямоугольник 167044">
          <a:extLst>
            <a:ext uri="{FF2B5EF4-FFF2-40B4-BE49-F238E27FC236}">
              <a16:creationId xmlns:a16="http://schemas.microsoft.com/office/drawing/2014/main" id="{00000000-0008-0000-0400-0000858C0200}"/>
            </a:ext>
          </a:extLst>
        </xdr:cNvPr>
        <xdr:cNvSpPr/>
      </xdr:nvSpPr>
      <xdr:spPr>
        <a:xfrm>
          <a:off x="14373225" y="1574800"/>
          <a:ext cx="135399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7C96" mc:Ignorable="a14" a14:legacySpreadsheetColorIndex="2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CBD3" mc:Ignorable="a14" a14:legacySpreadsheetColorIndex="2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0041" mc:Ignorable="a14" a14:legacySpreadsheetColorIndex="2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1426</a:t>
          </a:r>
        </a:p>
      </xdr:txBody>
    </xdr:sp>
    <xdr:clientData/>
  </xdr:twoCellAnchor>
  <xdr:twoCellAnchor>
    <xdr:from>
      <xdr:col>16</xdr:col>
      <xdr:colOff>1389024</xdr:colOff>
      <xdr:row>7</xdr:row>
      <xdr:rowOff>12700</xdr:rowOff>
    </xdr:from>
    <xdr:to>
      <xdr:col>16</xdr:col>
      <xdr:colOff>2743017</xdr:colOff>
      <xdr:row>7</xdr:row>
      <xdr:rowOff>177800</xdr:rowOff>
    </xdr:to>
    <xdr:sp macro="" textlink="">
      <xdr:nvSpPr>
        <xdr:cNvPr id="167046" name="Скругленный прямоугольник 167045">
          <a:extLst>
            <a:ext uri="{FF2B5EF4-FFF2-40B4-BE49-F238E27FC236}">
              <a16:creationId xmlns:a16="http://schemas.microsoft.com/office/drawing/2014/main" id="{00000000-0008-0000-0400-0000868C0200}"/>
            </a:ext>
          </a:extLst>
        </xdr:cNvPr>
        <xdr:cNvSpPr/>
      </xdr:nvSpPr>
      <xdr:spPr>
        <a:xfrm>
          <a:off x="15762249" y="1574800"/>
          <a:ext cx="135399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7C96" mc:Ignorable="a14" a14:legacySpreadsheetColorIndex="2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CBD3" mc:Ignorable="a14" a14:legacySpreadsheetColorIndex="2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0041" mc:Ignorable="a14" a14:legacySpreadsheetColorIndex="2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1426</a:t>
          </a:r>
        </a:p>
      </xdr:txBody>
    </xdr:sp>
    <xdr:clientData/>
  </xdr:twoCellAnchor>
  <xdr:twoCellAnchor>
    <xdr:from>
      <xdr:col>16</xdr:col>
      <xdr:colOff>2778049</xdr:colOff>
      <xdr:row>7</xdr:row>
      <xdr:rowOff>12700</xdr:rowOff>
    </xdr:from>
    <xdr:to>
      <xdr:col>16</xdr:col>
      <xdr:colOff>4025638</xdr:colOff>
      <xdr:row>7</xdr:row>
      <xdr:rowOff>177800</xdr:rowOff>
    </xdr:to>
    <xdr:sp macro="" textlink="">
      <xdr:nvSpPr>
        <xdr:cNvPr id="167047" name="Скругленный прямоугольник 167046">
          <a:extLst>
            <a:ext uri="{FF2B5EF4-FFF2-40B4-BE49-F238E27FC236}">
              <a16:creationId xmlns:a16="http://schemas.microsoft.com/office/drawing/2014/main" id="{00000000-0008-0000-0400-0000878C0200}"/>
            </a:ext>
          </a:extLst>
        </xdr:cNvPr>
        <xdr:cNvSpPr/>
      </xdr:nvSpPr>
      <xdr:spPr>
        <a:xfrm>
          <a:off x="17151274" y="1574800"/>
          <a:ext cx="12475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1316</a:t>
          </a:r>
        </a:p>
      </xdr:txBody>
    </xdr:sp>
    <xdr:clientData/>
  </xdr:twoCellAnchor>
  <xdr:twoCellAnchor>
    <xdr:from>
      <xdr:col>16</xdr:col>
      <xdr:colOff>4060668</xdr:colOff>
      <xdr:row>7</xdr:row>
      <xdr:rowOff>12700</xdr:rowOff>
    </xdr:from>
    <xdr:to>
      <xdr:col>16</xdr:col>
      <xdr:colOff>5163159</xdr:colOff>
      <xdr:row>7</xdr:row>
      <xdr:rowOff>177800</xdr:rowOff>
    </xdr:to>
    <xdr:sp macro="" textlink="">
      <xdr:nvSpPr>
        <xdr:cNvPr id="167048" name="Скругленный прямоугольник 167047">
          <a:extLst>
            <a:ext uri="{FF2B5EF4-FFF2-40B4-BE49-F238E27FC236}">
              <a16:creationId xmlns:a16="http://schemas.microsoft.com/office/drawing/2014/main" id="{00000000-0008-0000-0400-0000888C0200}"/>
            </a:ext>
          </a:extLst>
        </xdr:cNvPr>
        <xdr:cNvSpPr/>
      </xdr:nvSpPr>
      <xdr:spPr>
        <a:xfrm>
          <a:off x="18433893" y="15748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5198190</xdr:colOff>
      <xdr:row>7</xdr:row>
      <xdr:rowOff>12700</xdr:rowOff>
    </xdr:from>
    <xdr:to>
      <xdr:col>16</xdr:col>
      <xdr:colOff>5758983</xdr:colOff>
      <xdr:row>7</xdr:row>
      <xdr:rowOff>177800</xdr:rowOff>
    </xdr:to>
    <xdr:sp macro="" textlink="">
      <xdr:nvSpPr>
        <xdr:cNvPr id="167049" name="Скругленный прямоугольник 167048">
          <a:extLst>
            <a:ext uri="{FF2B5EF4-FFF2-40B4-BE49-F238E27FC236}">
              <a16:creationId xmlns:a16="http://schemas.microsoft.com/office/drawing/2014/main" id="{00000000-0008-0000-0400-0000898C0200}"/>
            </a:ext>
          </a:extLst>
        </xdr:cNvPr>
        <xdr:cNvSpPr/>
      </xdr:nvSpPr>
      <xdr:spPr>
        <a:xfrm>
          <a:off x="19571415" y="1574800"/>
          <a:ext cx="56079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D7D7" mc:Ignorable="a14" a14:legacySpreadsheetColorIndex="4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ECEC" mc:Ignorable="a14" a14:legacySpreadsheetColorIndex="4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8787" mc:Ignorable="a14" a14:legacySpreadsheetColorIndex="4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606</a:t>
          </a:r>
        </a:p>
      </xdr:txBody>
    </xdr:sp>
    <xdr:clientData/>
  </xdr:twoCellAnchor>
  <xdr:twoCellAnchor>
    <xdr:from>
      <xdr:col>16</xdr:col>
      <xdr:colOff>0</xdr:colOff>
      <xdr:row>8</xdr:row>
      <xdr:rowOff>12700</xdr:rowOff>
    </xdr:from>
    <xdr:to>
      <xdr:col>16</xdr:col>
      <xdr:colOff>1402359</xdr:colOff>
      <xdr:row>8</xdr:row>
      <xdr:rowOff>177800</xdr:rowOff>
    </xdr:to>
    <xdr:sp macro="" textlink="">
      <xdr:nvSpPr>
        <xdr:cNvPr id="167050" name="Скругленный прямоугольник 167049">
          <a:extLst>
            <a:ext uri="{FF2B5EF4-FFF2-40B4-BE49-F238E27FC236}">
              <a16:creationId xmlns:a16="http://schemas.microsoft.com/office/drawing/2014/main" id="{00000000-0008-0000-0400-00008A8C0200}"/>
            </a:ext>
          </a:extLst>
        </xdr:cNvPr>
        <xdr:cNvSpPr/>
      </xdr:nvSpPr>
      <xdr:spPr>
        <a:xfrm>
          <a:off x="14373225" y="1765300"/>
          <a:ext cx="140235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FF" mc:Ignorable="a14" a14:legacySpreadsheetColorIndex="2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FF" mc:Ignorable="a14" a14:legacySpreadsheetColorIndex="2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AA" mc:Ignorable="a14" a14:legacySpreadsheetColorIndex="2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1476</a:t>
          </a:r>
        </a:p>
      </xdr:txBody>
    </xdr:sp>
    <xdr:clientData/>
  </xdr:twoCellAnchor>
  <xdr:twoCellAnchor>
    <xdr:from>
      <xdr:col>16</xdr:col>
      <xdr:colOff>1437390</xdr:colOff>
      <xdr:row>8</xdr:row>
      <xdr:rowOff>12700</xdr:rowOff>
    </xdr:from>
    <xdr:to>
      <xdr:col>16</xdr:col>
      <xdr:colOff>2801057</xdr:colOff>
      <xdr:row>8</xdr:row>
      <xdr:rowOff>177800</xdr:rowOff>
    </xdr:to>
    <xdr:sp macro="" textlink="">
      <xdr:nvSpPr>
        <xdr:cNvPr id="167051" name="Скругленный прямоугольник 167050">
          <a:extLst>
            <a:ext uri="{FF2B5EF4-FFF2-40B4-BE49-F238E27FC236}">
              <a16:creationId xmlns:a16="http://schemas.microsoft.com/office/drawing/2014/main" id="{00000000-0008-0000-0400-00008B8C0200}"/>
            </a:ext>
          </a:extLst>
        </xdr:cNvPr>
        <xdr:cNvSpPr/>
      </xdr:nvSpPr>
      <xdr:spPr>
        <a:xfrm>
          <a:off x="15810615" y="1765300"/>
          <a:ext cx="136366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1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1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1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1436</a:t>
          </a:r>
        </a:p>
      </xdr:txBody>
    </xdr:sp>
    <xdr:clientData/>
  </xdr:twoCellAnchor>
  <xdr:twoCellAnchor>
    <xdr:from>
      <xdr:col>16</xdr:col>
      <xdr:colOff>2836087</xdr:colOff>
      <xdr:row>8</xdr:row>
      <xdr:rowOff>12700</xdr:rowOff>
    </xdr:from>
    <xdr:to>
      <xdr:col>16</xdr:col>
      <xdr:colOff>4015964</xdr:colOff>
      <xdr:row>8</xdr:row>
      <xdr:rowOff>177800</xdr:rowOff>
    </xdr:to>
    <xdr:sp macro="" textlink="">
      <xdr:nvSpPr>
        <xdr:cNvPr id="167052" name="Скругленный прямоугольник 167051">
          <a:extLst>
            <a:ext uri="{FF2B5EF4-FFF2-40B4-BE49-F238E27FC236}">
              <a16:creationId xmlns:a16="http://schemas.microsoft.com/office/drawing/2014/main" id="{00000000-0008-0000-0400-00008C8C0200}"/>
            </a:ext>
          </a:extLst>
        </xdr:cNvPr>
        <xdr:cNvSpPr/>
      </xdr:nvSpPr>
      <xdr:spPr>
        <a:xfrm>
          <a:off x="17209312" y="1765300"/>
          <a:ext cx="117987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1246</a:t>
          </a:r>
        </a:p>
      </xdr:txBody>
    </xdr:sp>
    <xdr:clientData/>
  </xdr:twoCellAnchor>
  <xdr:twoCellAnchor>
    <xdr:from>
      <xdr:col>16</xdr:col>
      <xdr:colOff>4050995</xdr:colOff>
      <xdr:row>8</xdr:row>
      <xdr:rowOff>12700</xdr:rowOff>
    </xdr:from>
    <xdr:to>
      <xdr:col>16</xdr:col>
      <xdr:colOff>4969695</xdr:colOff>
      <xdr:row>8</xdr:row>
      <xdr:rowOff>177800</xdr:rowOff>
    </xdr:to>
    <xdr:sp macro="" textlink="">
      <xdr:nvSpPr>
        <xdr:cNvPr id="167053" name="Скругленный прямоугольник 167052">
          <a:extLst>
            <a:ext uri="{FF2B5EF4-FFF2-40B4-BE49-F238E27FC236}">
              <a16:creationId xmlns:a16="http://schemas.microsoft.com/office/drawing/2014/main" id="{00000000-0008-0000-0400-00008D8C0200}"/>
            </a:ext>
          </a:extLst>
        </xdr:cNvPr>
        <xdr:cNvSpPr/>
      </xdr:nvSpPr>
      <xdr:spPr>
        <a:xfrm>
          <a:off x="18424220" y="1765300"/>
          <a:ext cx="91870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3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3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3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976</a:t>
          </a:r>
        </a:p>
      </xdr:txBody>
    </xdr:sp>
    <xdr:clientData/>
  </xdr:twoCellAnchor>
  <xdr:twoCellAnchor>
    <xdr:from>
      <xdr:col>16</xdr:col>
      <xdr:colOff>5004727</xdr:colOff>
      <xdr:row>8</xdr:row>
      <xdr:rowOff>12700</xdr:rowOff>
    </xdr:from>
    <xdr:to>
      <xdr:col>16</xdr:col>
      <xdr:colOff>5758985</xdr:colOff>
      <xdr:row>8</xdr:row>
      <xdr:rowOff>177800</xdr:rowOff>
    </xdr:to>
    <xdr:sp macro="" textlink="">
      <xdr:nvSpPr>
        <xdr:cNvPr id="167054" name="Скругленный прямоугольник 167053">
          <a:extLst>
            <a:ext uri="{FF2B5EF4-FFF2-40B4-BE49-F238E27FC236}">
              <a16:creationId xmlns:a16="http://schemas.microsoft.com/office/drawing/2014/main" id="{00000000-0008-0000-0400-00008E8C0200}"/>
            </a:ext>
          </a:extLst>
        </xdr:cNvPr>
        <xdr:cNvSpPr/>
      </xdr:nvSpPr>
      <xdr:spPr>
        <a:xfrm>
          <a:off x="19377952" y="1765300"/>
          <a:ext cx="75425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D7FF" mc:Ignorable="a14" a14:legacySpreadsheetColorIndex="4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ECFF" mc:Ignorable="a14" a14:legacySpreadsheetColorIndex="4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87AA" mc:Ignorable="a14" a14:legacySpreadsheetColorIndex="4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806</a:t>
          </a:r>
        </a:p>
      </xdr:txBody>
    </xdr:sp>
    <xdr:clientData/>
  </xdr:twoCellAnchor>
  <xdr:twoCellAnchor>
    <xdr:from>
      <xdr:col>16</xdr:col>
      <xdr:colOff>0</xdr:colOff>
      <xdr:row>9</xdr:row>
      <xdr:rowOff>12700</xdr:rowOff>
    </xdr:from>
    <xdr:to>
      <xdr:col>16</xdr:col>
      <xdr:colOff>1421705</xdr:colOff>
      <xdr:row>9</xdr:row>
      <xdr:rowOff>177800</xdr:rowOff>
    </xdr:to>
    <xdr:sp macro="" textlink="">
      <xdr:nvSpPr>
        <xdr:cNvPr id="167055" name="Скругленный прямоугольник 167054">
          <a:extLst>
            <a:ext uri="{FF2B5EF4-FFF2-40B4-BE49-F238E27FC236}">
              <a16:creationId xmlns:a16="http://schemas.microsoft.com/office/drawing/2014/main" id="{00000000-0008-0000-0400-00008F8C0200}"/>
            </a:ext>
          </a:extLst>
        </xdr:cNvPr>
        <xdr:cNvSpPr/>
      </xdr:nvSpPr>
      <xdr:spPr>
        <a:xfrm>
          <a:off x="14373225" y="1955800"/>
          <a:ext cx="142170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1496</a:t>
          </a:r>
        </a:p>
      </xdr:txBody>
    </xdr:sp>
    <xdr:clientData/>
  </xdr:twoCellAnchor>
  <xdr:twoCellAnchor>
    <xdr:from>
      <xdr:col>16</xdr:col>
      <xdr:colOff>1456736</xdr:colOff>
      <xdr:row>9</xdr:row>
      <xdr:rowOff>12700</xdr:rowOff>
    </xdr:from>
    <xdr:to>
      <xdr:col>16</xdr:col>
      <xdr:colOff>2839749</xdr:colOff>
      <xdr:row>9</xdr:row>
      <xdr:rowOff>177800</xdr:rowOff>
    </xdr:to>
    <xdr:sp macro="" textlink="">
      <xdr:nvSpPr>
        <xdr:cNvPr id="167056" name="Скругленный прямоугольник 167055">
          <a:extLst>
            <a:ext uri="{FF2B5EF4-FFF2-40B4-BE49-F238E27FC236}">
              <a16:creationId xmlns:a16="http://schemas.microsoft.com/office/drawing/2014/main" id="{00000000-0008-0000-0400-0000908C0200}"/>
            </a:ext>
          </a:extLst>
        </xdr:cNvPr>
        <xdr:cNvSpPr/>
      </xdr:nvSpPr>
      <xdr:spPr>
        <a:xfrm>
          <a:off x="15829961" y="1955800"/>
          <a:ext cx="138301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1456</a:t>
          </a:r>
        </a:p>
      </xdr:txBody>
    </xdr:sp>
    <xdr:clientData/>
  </xdr:twoCellAnchor>
  <xdr:twoCellAnchor>
    <xdr:from>
      <xdr:col>16</xdr:col>
      <xdr:colOff>2874781</xdr:colOff>
      <xdr:row>9</xdr:row>
      <xdr:rowOff>12700</xdr:rowOff>
    </xdr:from>
    <xdr:to>
      <xdr:col>16</xdr:col>
      <xdr:colOff>3986946</xdr:colOff>
      <xdr:row>9</xdr:row>
      <xdr:rowOff>177800</xdr:rowOff>
    </xdr:to>
    <xdr:sp macro="" textlink="">
      <xdr:nvSpPr>
        <xdr:cNvPr id="167057" name="Скругленный прямоугольник 167056">
          <a:extLst>
            <a:ext uri="{FF2B5EF4-FFF2-40B4-BE49-F238E27FC236}">
              <a16:creationId xmlns:a16="http://schemas.microsoft.com/office/drawing/2014/main" id="{00000000-0008-0000-0400-0000918C0200}"/>
            </a:ext>
          </a:extLst>
        </xdr:cNvPr>
        <xdr:cNvSpPr/>
      </xdr:nvSpPr>
      <xdr:spPr>
        <a:xfrm>
          <a:off x="17248006" y="1955800"/>
          <a:ext cx="111216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3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3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3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1176</a:t>
          </a:r>
        </a:p>
      </xdr:txBody>
    </xdr:sp>
    <xdr:clientData/>
  </xdr:twoCellAnchor>
  <xdr:twoCellAnchor>
    <xdr:from>
      <xdr:col>16</xdr:col>
      <xdr:colOff>4021976</xdr:colOff>
      <xdr:row>9</xdr:row>
      <xdr:rowOff>12700</xdr:rowOff>
    </xdr:from>
    <xdr:to>
      <xdr:col>16</xdr:col>
      <xdr:colOff>5027737</xdr:colOff>
      <xdr:row>9</xdr:row>
      <xdr:rowOff>177800</xdr:rowOff>
    </xdr:to>
    <xdr:sp macro="" textlink="">
      <xdr:nvSpPr>
        <xdr:cNvPr id="167058" name="Скругленный прямоугольник 167057">
          <a:extLst>
            <a:ext uri="{FF2B5EF4-FFF2-40B4-BE49-F238E27FC236}">
              <a16:creationId xmlns:a16="http://schemas.microsoft.com/office/drawing/2014/main" id="{00000000-0008-0000-0400-0000928C0200}"/>
            </a:ext>
          </a:extLst>
        </xdr:cNvPr>
        <xdr:cNvSpPr/>
      </xdr:nvSpPr>
      <xdr:spPr>
        <a:xfrm>
          <a:off x="18395201" y="1955800"/>
          <a:ext cx="10057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1066</a:t>
          </a:r>
        </a:p>
      </xdr:txBody>
    </xdr:sp>
    <xdr:clientData/>
  </xdr:twoCellAnchor>
  <xdr:twoCellAnchor>
    <xdr:from>
      <xdr:col>16</xdr:col>
      <xdr:colOff>5062765</xdr:colOff>
      <xdr:row>9</xdr:row>
      <xdr:rowOff>12700</xdr:rowOff>
    </xdr:from>
    <xdr:to>
      <xdr:col>16</xdr:col>
      <xdr:colOff>5758983</xdr:colOff>
      <xdr:row>9</xdr:row>
      <xdr:rowOff>177800</xdr:rowOff>
    </xdr:to>
    <xdr:sp macro="" textlink="">
      <xdr:nvSpPr>
        <xdr:cNvPr id="167059" name="Скругленный прямоугольник 167058">
          <a:extLst>
            <a:ext uri="{FF2B5EF4-FFF2-40B4-BE49-F238E27FC236}">
              <a16:creationId xmlns:a16="http://schemas.microsoft.com/office/drawing/2014/main" id="{00000000-0008-0000-0400-0000938C0200}"/>
            </a:ext>
          </a:extLst>
        </xdr:cNvPr>
        <xdr:cNvSpPr/>
      </xdr:nvSpPr>
      <xdr:spPr>
        <a:xfrm>
          <a:off x="19435990" y="1955800"/>
          <a:ext cx="69621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B4D7" mc:Ignorable="a14" a14:legacySpreadsheetColorIndex="4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EEC" mc:Ignorable="a14" a14:legacySpreadsheetColorIndex="4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6487" mc:Ignorable="a14" a14:legacySpreadsheetColorIndex="4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746</a:t>
          </a:r>
        </a:p>
      </xdr:txBody>
    </xdr:sp>
    <xdr:clientData/>
  </xdr:twoCellAnchor>
  <xdr:twoCellAnchor>
    <xdr:from>
      <xdr:col>16</xdr:col>
      <xdr:colOff>0</xdr:colOff>
      <xdr:row>10</xdr:row>
      <xdr:rowOff>12700</xdr:rowOff>
    </xdr:from>
    <xdr:to>
      <xdr:col>16</xdr:col>
      <xdr:colOff>1499091</xdr:colOff>
      <xdr:row>10</xdr:row>
      <xdr:rowOff>177800</xdr:rowOff>
    </xdr:to>
    <xdr:sp macro="" textlink="">
      <xdr:nvSpPr>
        <xdr:cNvPr id="167060" name="Скругленный прямоугольник 167059">
          <a:extLst>
            <a:ext uri="{FF2B5EF4-FFF2-40B4-BE49-F238E27FC236}">
              <a16:creationId xmlns:a16="http://schemas.microsoft.com/office/drawing/2014/main" id="{00000000-0008-0000-0400-0000948C0200}"/>
            </a:ext>
          </a:extLst>
        </xdr:cNvPr>
        <xdr:cNvSpPr/>
      </xdr:nvSpPr>
      <xdr:spPr>
        <a:xfrm>
          <a:off x="14373225" y="2146300"/>
          <a:ext cx="14990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A4" mc:Ignorable="a14" a14:legacySpreadsheetColorIndex="2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D8" mc:Ignorable="a14" a14:legacySpreadsheetColorIndex="2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53" mc:Ignorable="a14" a14:legacySpreadsheetColorIndex="2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1576</a:t>
          </a:r>
        </a:p>
      </xdr:txBody>
    </xdr:sp>
    <xdr:clientData/>
  </xdr:twoCellAnchor>
  <xdr:twoCellAnchor>
    <xdr:from>
      <xdr:col>16</xdr:col>
      <xdr:colOff>1534122</xdr:colOff>
      <xdr:row>10</xdr:row>
      <xdr:rowOff>12700</xdr:rowOff>
    </xdr:from>
    <xdr:to>
      <xdr:col>16</xdr:col>
      <xdr:colOff>2984847</xdr:colOff>
      <xdr:row>10</xdr:row>
      <xdr:rowOff>177800</xdr:rowOff>
    </xdr:to>
    <xdr:sp macro="" textlink="">
      <xdr:nvSpPr>
        <xdr:cNvPr id="167061" name="Скругленный прямоугольник 167060">
          <a:extLst>
            <a:ext uri="{FF2B5EF4-FFF2-40B4-BE49-F238E27FC236}">
              <a16:creationId xmlns:a16="http://schemas.microsoft.com/office/drawing/2014/main" id="{00000000-0008-0000-0400-0000958C0200}"/>
            </a:ext>
          </a:extLst>
        </xdr:cNvPr>
        <xdr:cNvSpPr/>
      </xdr:nvSpPr>
      <xdr:spPr>
        <a:xfrm>
          <a:off x="15907347" y="2146300"/>
          <a:ext cx="14507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7C" mc:Ignorable="a14" a14:legacySpreadsheetColorIndex="1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CB" mc:Ignorable="a14" a14:legacySpreadsheetColorIndex="1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00" mc:Ignorable="a14" a14:legacySpreadsheetColorIndex="1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3019878</xdr:colOff>
      <xdr:row>10</xdr:row>
      <xdr:rowOff>12700</xdr:rowOff>
    </xdr:from>
    <xdr:to>
      <xdr:col>16</xdr:col>
      <xdr:colOff>4112696</xdr:colOff>
      <xdr:row>10</xdr:row>
      <xdr:rowOff>177800</xdr:rowOff>
    </xdr:to>
    <xdr:sp macro="" textlink="">
      <xdr:nvSpPr>
        <xdr:cNvPr id="167062" name="Скругленный прямоугольник 167061">
          <a:extLst>
            <a:ext uri="{FF2B5EF4-FFF2-40B4-BE49-F238E27FC236}">
              <a16:creationId xmlns:a16="http://schemas.microsoft.com/office/drawing/2014/main" id="{00000000-0008-0000-0400-0000968C0200}"/>
            </a:ext>
          </a:extLst>
        </xdr:cNvPr>
        <xdr:cNvSpPr/>
      </xdr:nvSpPr>
      <xdr:spPr>
        <a:xfrm>
          <a:off x="17393103" y="2146300"/>
          <a:ext cx="109281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3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3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3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1156</a:t>
          </a:r>
        </a:p>
      </xdr:txBody>
    </xdr:sp>
    <xdr:clientData/>
  </xdr:twoCellAnchor>
  <xdr:twoCellAnchor>
    <xdr:from>
      <xdr:col>16</xdr:col>
      <xdr:colOff>4147727</xdr:colOff>
      <xdr:row>10</xdr:row>
      <xdr:rowOff>12700</xdr:rowOff>
    </xdr:from>
    <xdr:to>
      <xdr:col>16</xdr:col>
      <xdr:colOff>5066427</xdr:colOff>
      <xdr:row>10</xdr:row>
      <xdr:rowOff>177800</xdr:rowOff>
    </xdr:to>
    <xdr:sp macro="" textlink="">
      <xdr:nvSpPr>
        <xdr:cNvPr id="167063" name="Скругленный прямоугольник 167062">
          <a:extLst>
            <a:ext uri="{FF2B5EF4-FFF2-40B4-BE49-F238E27FC236}">
              <a16:creationId xmlns:a16="http://schemas.microsoft.com/office/drawing/2014/main" id="{00000000-0008-0000-0400-0000978C0200}"/>
            </a:ext>
          </a:extLst>
        </xdr:cNvPr>
        <xdr:cNvSpPr/>
      </xdr:nvSpPr>
      <xdr:spPr>
        <a:xfrm>
          <a:off x="18520952" y="2146300"/>
          <a:ext cx="91870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3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3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3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976</a:t>
          </a:r>
        </a:p>
      </xdr:txBody>
    </xdr:sp>
    <xdr:clientData/>
  </xdr:twoCellAnchor>
  <xdr:twoCellAnchor>
    <xdr:from>
      <xdr:col>16</xdr:col>
      <xdr:colOff>5101459</xdr:colOff>
      <xdr:row>10</xdr:row>
      <xdr:rowOff>12700</xdr:rowOff>
    </xdr:from>
    <xdr:to>
      <xdr:col>16</xdr:col>
      <xdr:colOff>5758985</xdr:colOff>
      <xdr:row>10</xdr:row>
      <xdr:rowOff>177800</xdr:rowOff>
    </xdr:to>
    <xdr:sp macro="" textlink="">
      <xdr:nvSpPr>
        <xdr:cNvPr id="167064" name="Скругленный прямоугольник 167063">
          <a:extLst>
            <a:ext uri="{FF2B5EF4-FFF2-40B4-BE49-F238E27FC236}">
              <a16:creationId xmlns:a16="http://schemas.microsoft.com/office/drawing/2014/main" id="{00000000-0008-0000-0400-0000988C0200}"/>
            </a:ext>
          </a:extLst>
        </xdr:cNvPr>
        <xdr:cNvSpPr/>
      </xdr:nvSpPr>
      <xdr:spPr>
        <a:xfrm>
          <a:off x="19474684" y="2146300"/>
          <a:ext cx="65752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706</a:t>
          </a:r>
        </a:p>
      </xdr:txBody>
    </xdr:sp>
    <xdr:clientData/>
  </xdr:twoCellAnchor>
  <xdr:twoCellAnchor>
    <xdr:from>
      <xdr:col>16</xdr:col>
      <xdr:colOff>0</xdr:colOff>
      <xdr:row>11</xdr:row>
      <xdr:rowOff>12700</xdr:rowOff>
    </xdr:from>
    <xdr:to>
      <xdr:col>16</xdr:col>
      <xdr:colOff>1847324</xdr:colOff>
      <xdr:row>11</xdr:row>
      <xdr:rowOff>177800</xdr:rowOff>
    </xdr:to>
    <xdr:sp macro="" textlink="">
      <xdr:nvSpPr>
        <xdr:cNvPr id="167065" name="Скругленный прямоугольник 167064">
          <a:extLst>
            <a:ext uri="{FF2B5EF4-FFF2-40B4-BE49-F238E27FC236}">
              <a16:creationId xmlns:a16="http://schemas.microsoft.com/office/drawing/2014/main" id="{00000000-0008-0000-0400-0000998C0200}"/>
            </a:ext>
          </a:extLst>
        </xdr:cNvPr>
        <xdr:cNvSpPr/>
      </xdr:nvSpPr>
      <xdr:spPr>
        <a:xfrm>
          <a:off x="14373225" y="2336800"/>
          <a:ext cx="184732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1936</a:t>
          </a:r>
        </a:p>
      </xdr:txBody>
    </xdr:sp>
    <xdr:clientData/>
  </xdr:twoCellAnchor>
  <xdr:twoCellAnchor>
    <xdr:from>
      <xdr:col>16</xdr:col>
      <xdr:colOff>1882356</xdr:colOff>
      <xdr:row>11</xdr:row>
      <xdr:rowOff>12700</xdr:rowOff>
    </xdr:from>
    <xdr:to>
      <xdr:col>16</xdr:col>
      <xdr:colOff>3042887</xdr:colOff>
      <xdr:row>11</xdr:row>
      <xdr:rowOff>177800</xdr:rowOff>
    </xdr:to>
    <xdr:sp macro="" textlink="">
      <xdr:nvSpPr>
        <xdr:cNvPr id="167066" name="Скругленный прямоугольник 167065">
          <a:extLst>
            <a:ext uri="{FF2B5EF4-FFF2-40B4-BE49-F238E27FC236}">
              <a16:creationId xmlns:a16="http://schemas.microsoft.com/office/drawing/2014/main" id="{00000000-0008-0000-0400-00009A8C0200}"/>
            </a:ext>
          </a:extLst>
        </xdr:cNvPr>
        <xdr:cNvSpPr/>
      </xdr:nvSpPr>
      <xdr:spPr>
        <a:xfrm>
          <a:off x="16255581" y="2336800"/>
          <a:ext cx="116053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3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3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3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1226</a:t>
          </a:r>
        </a:p>
      </xdr:txBody>
    </xdr:sp>
    <xdr:clientData/>
  </xdr:twoCellAnchor>
  <xdr:twoCellAnchor>
    <xdr:from>
      <xdr:col>16</xdr:col>
      <xdr:colOff>3077918</xdr:colOff>
      <xdr:row>11</xdr:row>
      <xdr:rowOff>12700</xdr:rowOff>
    </xdr:from>
    <xdr:to>
      <xdr:col>16</xdr:col>
      <xdr:colOff>4180408</xdr:colOff>
      <xdr:row>11</xdr:row>
      <xdr:rowOff>177800</xdr:rowOff>
    </xdr:to>
    <xdr:sp macro="" textlink="">
      <xdr:nvSpPr>
        <xdr:cNvPr id="167067" name="Скругленный прямоугольник 167066">
          <a:extLst>
            <a:ext uri="{FF2B5EF4-FFF2-40B4-BE49-F238E27FC236}">
              <a16:creationId xmlns:a16="http://schemas.microsoft.com/office/drawing/2014/main" id="{00000000-0008-0000-0400-00009B8C0200}"/>
            </a:ext>
          </a:extLst>
        </xdr:cNvPr>
        <xdr:cNvSpPr/>
      </xdr:nvSpPr>
      <xdr:spPr>
        <a:xfrm>
          <a:off x="17451143" y="2336800"/>
          <a:ext cx="110249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4215439</xdr:colOff>
      <xdr:row>11</xdr:row>
      <xdr:rowOff>12700</xdr:rowOff>
    </xdr:from>
    <xdr:to>
      <xdr:col>16</xdr:col>
      <xdr:colOff>5134139</xdr:colOff>
      <xdr:row>11</xdr:row>
      <xdr:rowOff>177800</xdr:rowOff>
    </xdr:to>
    <xdr:sp macro="" textlink="">
      <xdr:nvSpPr>
        <xdr:cNvPr id="167068" name="Скругленный прямоугольник 167067">
          <a:extLst>
            <a:ext uri="{FF2B5EF4-FFF2-40B4-BE49-F238E27FC236}">
              <a16:creationId xmlns:a16="http://schemas.microsoft.com/office/drawing/2014/main" id="{00000000-0008-0000-0400-00009C8C0200}"/>
            </a:ext>
          </a:extLst>
        </xdr:cNvPr>
        <xdr:cNvSpPr/>
      </xdr:nvSpPr>
      <xdr:spPr>
        <a:xfrm>
          <a:off x="18588664" y="2336800"/>
          <a:ext cx="91870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3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3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3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976</a:t>
          </a:r>
        </a:p>
      </xdr:txBody>
    </xdr:sp>
    <xdr:clientData/>
  </xdr:twoCellAnchor>
  <xdr:twoCellAnchor>
    <xdr:from>
      <xdr:col>16</xdr:col>
      <xdr:colOff>5169171</xdr:colOff>
      <xdr:row>11</xdr:row>
      <xdr:rowOff>12700</xdr:rowOff>
    </xdr:from>
    <xdr:to>
      <xdr:col>16</xdr:col>
      <xdr:colOff>5758985</xdr:colOff>
      <xdr:row>11</xdr:row>
      <xdr:rowOff>177800</xdr:rowOff>
    </xdr:to>
    <xdr:sp macro="" textlink="">
      <xdr:nvSpPr>
        <xdr:cNvPr id="167069" name="Скругленный прямоугольник 167068">
          <a:extLst>
            <a:ext uri="{FF2B5EF4-FFF2-40B4-BE49-F238E27FC236}">
              <a16:creationId xmlns:a16="http://schemas.microsoft.com/office/drawing/2014/main" id="{00000000-0008-0000-0400-00009D8C0200}"/>
            </a:ext>
          </a:extLst>
        </xdr:cNvPr>
        <xdr:cNvSpPr/>
      </xdr:nvSpPr>
      <xdr:spPr>
        <a:xfrm>
          <a:off x="19542396" y="2336800"/>
          <a:ext cx="58981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636</a:t>
          </a:r>
        </a:p>
      </xdr:txBody>
    </xdr:sp>
    <xdr:clientData/>
  </xdr:twoCellAnchor>
  <xdr:twoCellAnchor>
    <xdr:from>
      <xdr:col>16</xdr:col>
      <xdr:colOff>0</xdr:colOff>
      <xdr:row>12</xdr:row>
      <xdr:rowOff>12700</xdr:rowOff>
    </xdr:from>
    <xdr:to>
      <xdr:col>16</xdr:col>
      <xdr:colOff>1944057</xdr:colOff>
      <xdr:row>12</xdr:row>
      <xdr:rowOff>177800</xdr:rowOff>
    </xdr:to>
    <xdr:sp macro="" textlink="">
      <xdr:nvSpPr>
        <xdr:cNvPr id="167070" name="Скругленный прямоугольник 167069">
          <a:extLst>
            <a:ext uri="{FF2B5EF4-FFF2-40B4-BE49-F238E27FC236}">
              <a16:creationId xmlns:a16="http://schemas.microsoft.com/office/drawing/2014/main" id="{00000000-0008-0000-0400-00009E8C0200}"/>
            </a:ext>
          </a:extLst>
        </xdr:cNvPr>
        <xdr:cNvSpPr/>
      </xdr:nvSpPr>
      <xdr:spPr>
        <a:xfrm>
          <a:off x="14373225" y="2527300"/>
          <a:ext cx="194405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A4" mc:Ignorable="a14" a14:legacySpreadsheetColorIndex="2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D8" mc:Ignorable="a14" a14:legacySpreadsheetColorIndex="2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53" mc:Ignorable="a14" a14:legacySpreadsheetColorIndex="2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2036</a:t>
          </a:r>
        </a:p>
      </xdr:txBody>
    </xdr:sp>
    <xdr:clientData/>
  </xdr:twoCellAnchor>
  <xdr:twoCellAnchor>
    <xdr:from>
      <xdr:col>16</xdr:col>
      <xdr:colOff>1979087</xdr:colOff>
      <xdr:row>12</xdr:row>
      <xdr:rowOff>12700</xdr:rowOff>
    </xdr:from>
    <xdr:to>
      <xdr:col>16</xdr:col>
      <xdr:colOff>3081578</xdr:colOff>
      <xdr:row>12</xdr:row>
      <xdr:rowOff>177800</xdr:rowOff>
    </xdr:to>
    <xdr:sp macro="" textlink="">
      <xdr:nvSpPr>
        <xdr:cNvPr id="167071" name="Скругленный прямоугольник 167070">
          <a:extLst>
            <a:ext uri="{FF2B5EF4-FFF2-40B4-BE49-F238E27FC236}">
              <a16:creationId xmlns:a16="http://schemas.microsoft.com/office/drawing/2014/main" id="{00000000-0008-0000-0400-00009F8C0200}"/>
            </a:ext>
          </a:extLst>
        </xdr:cNvPr>
        <xdr:cNvSpPr/>
      </xdr:nvSpPr>
      <xdr:spPr>
        <a:xfrm>
          <a:off x="16352312" y="25273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3116610</xdr:colOff>
      <xdr:row>12</xdr:row>
      <xdr:rowOff>12700</xdr:rowOff>
    </xdr:from>
    <xdr:to>
      <xdr:col>16</xdr:col>
      <xdr:colOff>4190082</xdr:colOff>
      <xdr:row>12</xdr:row>
      <xdr:rowOff>177800</xdr:rowOff>
    </xdr:to>
    <xdr:sp macro="" textlink="">
      <xdr:nvSpPr>
        <xdr:cNvPr id="167072" name="Скругленный прямоугольник 167071">
          <a:extLst>
            <a:ext uri="{FF2B5EF4-FFF2-40B4-BE49-F238E27FC236}">
              <a16:creationId xmlns:a16="http://schemas.microsoft.com/office/drawing/2014/main" id="{00000000-0008-0000-0400-0000A08C0200}"/>
            </a:ext>
          </a:extLst>
        </xdr:cNvPr>
        <xdr:cNvSpPr/>
      </xdr:nvSpPr>
      <xdr:spPr>
        <a:xfrm>
          <a:off x="17489835" y="2527300"/>
          <a:ext cx="107347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1136</a:t>
          </a:r>
        </a:p>
      </xdr:txBody>
    </xdr:sp>
    <xdr:clientData/>
  </xdr:twoCellAnchor>
  <xdr:twoCellAnchor>
    <xdr:from>
      <xdr:col>16</xdr:col>
      <xdr:colOff>4225113</xdr:colOff>
      <xdr:row>12</xdr:row>
      <xdr:rowOff>12700</xdr:rowOff>
    </xdr:from>
    <xdr:to>
      <xdr:col>16</xdr:col>
      <xdr:colOff>5018063</xdr:colOff>
      <xdr:row>12</xdr:row>
      <xdr:rowOff>177800</xdr:rowOff>
    </xdr:to>
    <xdr:sp macro="" textlink="">
      <xdr:nvSpPr>
        <xdr:cNvPr id="167073" name="Скругленный прямоугольник 167072">
          <a:extLst>
            <a:ext uri="{FF2B5EF4-FFF2-40B4-BE49-F238E27FC236}">
              <a16:creationId xmlns:a16="http://schemas.microsoft.com/office/drawing/2014/main" id="{00000000-0008-0000-0400-0000A18C0200}"/>
            </a:ext>
          </a:extLst>
        </xdr:cNvPr>
        <xdr:cNvSpPr/>
      </xdr:nvSpPr>
      <xdr:spPr>
        <a:xfrm>
          <a:off x="18598338" y="2527300"/>
          <a:ext cx="79295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FF" mc:Ignorable="a14" a14:legacySpreadsheetColorIndex="4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FF" mc:Ignorable="a14" a14:legacySpreadsheetColorIndex="4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AA" mc:Ignorable="a14" a14:legacySpreadsheetColorIndex="4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846</a:t>
          </a:r>
        </a:p>
      </xdr:txBody>
    </xdr:sp>
    <xdr:clientData/>
  </xdr:twoCellAnchor>
  <xdr:twoCellAnchor>
    <xdr:from>
      <xdr:col>16</xdr:col>
      <xdr:colOff>5053093</xdr:colOff>
      <xdr:row>12</xdr:row>
      <xdr:rowOff>12700</xdr:rowOff>
    </xdr:from>
    <xdr:to>
      <xdr:col>16</xdr:col>
      <xdr:colOff>5758985</xdr:colOff>
      <xdr:row>12</xdr:row>
      <xdr:rowOff>177800</xdr:rowOff>
    </xdr:to>
    <xdr:sp macro="" textlink="">
      <xdr:nvSpPr>
        <xdr:cNvPr id="167074" name="Скругленный прямоугольник 167073">
          <a:extLst>
            <a:ext uri="{FF2B5EF4-FFF2-40B4-BE49-F238E27FC236}">
              <a16:creationId xmlns:a16="http://schemas.microsoft.com/office/drawing/2014/main" id="{00000000-0008-0000-0400-0000A28C0200}"/>
            </a:ext>
          </a:extLst>
        </xdr:cNvPr>
        <xdr:cNvSpPr/>
      </xdr:nvSpPr>
      <xdr:spPr>
        <a:xfrm>
          <a:off x="19426318" y="2527300"/>
          <a:ext cx="70589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B4FF" mc:Ignorable="a14" a14:legacySpreadsheetColorIndex="4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DEFF" mc:Ignorable="a14" a14:legacySpreadsheetColorIndex="4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64AA" mc:Ignorable="a14" a14:legacySpreadsheetColorIndex="4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756</a:t>
          </a:r>
        </a:p>
      </xdr:txBody>
    </xdr:sp>
    <xdr:clientData/>
  </xdr:twoCellAnchor>
  <xdr:twoCellAnchor>
    <xdr:from>
      <xdr:col>16</xdr:col>
      <xdr:colOff>0</xdr:colOff>
      <xdr:row>13</xdr:row>
      <xdr:rowOff>12700</xdr:rowOff>
    </xdr:from>
    <xdr:to>
      <xdr:col>16</xdr:col>
      <xdr:colOff>899354</xdr:colOff>
      <xdr:row>13</xdr:row>
      <xdr:rowOff>177800</xdr:rowOff>
    </xdr:to>
    <xdr:sp macro="" textlink="">
      <xdr:nvSpPr>
        <xdr:cNvPr id="167075" name="Скругленный прямоугольник 167074">
          <a:extLst>
            <a:ext uri="{FF2B5EF4-FFF2-40B4-BE49-F238E27FC236}">
              <a16:creationId xmlns:a16="http://schemas.microsoft.com/office/drawing/2014/main" id="{00000000-0008-0000-0400-0000A38C0200}"/>
            </a:ext>
          </a:extLst>
        </xdr:cNvPr>
        <xdr:cNvSpPr/>
      </xdr:nvSpPr>
      <xdr:spPr>
        <a:xfrm>
          <a:off x="14373225" y="2717800"/>
          <a:ext cx="89935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956</a:t>
          </a:r>
        </a:p>
      </xdr:txBody>
    </xdr:sp>
    <xdr:clientData/>
  </xdr:twoCellAnchor>
  <xdr:twoCellAnchor>
    <xdr:from>
      <xdr:col>16</xdr:col>
      <xdr:colOff>934385</xdr:colOff>
      <xdr:row>13</xdr:row>
      <xdr:rowOff>12700</xdr:rowOff>
    </xdr:from>
    <xdr:to>
      <xdr:col>16</xdr:col>
      <xdr:colOff>1717661</xdr:colOff>
      <xdr:row>13</xdr:row>
      <xdr:rowOff>177800</xdr:rowOff>
    </xdr:to>
    <xdr:sp macro="" textlink="">
      <xdr:nvSpPr>
        <xdr:cNvPr id="167076" name="Скругленный прямоугольник 167075">
          <a:extLst>
            <a:ext uri="{FF2B5EF4-FFF2-40B4-BE49-F238E27FC236}">
              <a16:creationId xmlns:a16="http://schemas.microsoft.com/office/drawing/2014/main" id="{00000000-0008-0000-0400-0000A48C0200}"/>
            </a:ext>
          </a:extLst>
        </xdr:cNvPr>
        <xdr:cNvSpPr/>
      </xdr:nvSpPr>
      <xdr:spPr>
        <a:xfrm>
          <a:off x="15307610" y="2717800"/>
          <a:ext cx="78327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D7FF" mc:Ignorable="a14" a14:legacySpreadsheetColorIndex="4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ECFF" mc:Ignorable="a14" a14:legacySpreadsheetColorIndex="4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87AA" mc:Ignorable="a14" a14:legacySpreadsheetColorIndex="4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836</a:t>
          </a:r>
        </a:p>
      </xdr:txBody>
    </xdr:sp>
    <xdr:clientData/>
  </xdr:twoCellAnchor>
  <xdr:twoCellAnchor>
    <xdr:from>
      <xdr:col>16</xdr:col>
      <xdr:colOff>1752693</xdr:colOff>
      <xdr:row>13</xdr:row>
      <xdr:rowOff>12700</xdr:rowOff>
    </xdr:from>
    <xdr:to>
      <xdr:col>16</xdr:col>
      <xdr:colOff>2497277</xdr:colOff>
      <xdr:row>13</xdr:row>
      <xdr:rowOff>177800</xdr:rowOff>
    </xdr:to>
    <xdr:sp macro="" textlink="">
      <xdr:nvSpPr>
        <xdr:cNvPr id="167077" name="Скругленный прямоугольник 167076">
          <a:extLst>
            <a:ext uri="{FF2B5EF4-FFF2-40B4-BE49-F238E27FC236}">
              <a16:creationId xmlns:a16="http://schemas.microsoft.com/office/drawing/2014/main" id="{00000000-0008-0000-0400-0000A58C0200}"/>
            </a:ext>
          </a:extLst>
        </xdr:cNvPr>
        <xdr:cNvSpPr/>
      </xdr:nvSpPr>
      <xdr:spPr>
        <a:xfrm>
          <a:off x="16125918" y="2717800"/>
          <a:ext cx="74458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B4" mc:Ignorable="a14" a14:legacySpreadsheetColorIndex="4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DE" mc:Ignorable="a14" a14:legacySpreadsheetColorIndex="4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64" mc:Ignorable="a14" a14:legacySpreadsheetColorIndex="4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796</a:t>
          </a:r>
        </a:p>
      </xdr:txBody>
    </xdr:sp>
    <xdr:clientData/>
  </xdr:twoCellAnchor>
  <xdr:twoCellAnchor>
    <xdr:from>
      <xdr:col>16</xdr:col>
      <xdr:colOff>2532307</xdr:colOff>
      <xdr:row>13</xdr:row>
      <xdr:rowOff>12700</xdr:rowOff>
    </xdr:from>
    <xdr:to>
      <xdr:col>16</xdr:col>
      <xdr:colOff>3238199</xdr:colOff>
      <xdr:row>13</xdr:row>
      <xdr:rowOff>177800</xdr:rowOff>
    </xdr:to>
    <xdr:sp macro="" textlink="">
      <xdr:nvSpPr>
        <xdr:cNvPr id="167078" name="Скругленный прямоугольник 167077">
          <a:extLst>
            <a:ext uri="{FF2B5EF4-FFF2-40B4-BE49-F238E27FC236}">
              <a16:creationId xmlns:a16="http://schemas.microsoft.com/office/drawing/2014/main" id="{00000000-0008-0000-0400-0000A68C0200}"/>
            </a:ext>
          </a:extLst>
        </xdr:cNvPr>
        <xdr:cNvSpPr/>
      </xdr:nvSpPr>
      <xdr:spPr>
        <a:xfrm>
          <a:off x="16905532" y="2717800"/>
          <a:ext cx="70589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B4FF" mc:Ignorable="a14" a14:legacySpreadsheetColorIndex="4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DEFF" mc:Ignorable="a14" a14:legacySpreadsheetColorIndex="4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64AA" mc:Ignorable="a14" a14:legacySpreadsheetColorIndex="4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756</a:t>
          </a:r>
        </a:p>
      </xdr:txBody>
    </xdr:sp>
    <xdr:clientData/>
  </xdr:twoCellAnchor>
  <xdr:twoCellAnchor>
    <xdr:from>
      <xdr:col>16</xdr:col>
      <xdr:colOff>3273230</xdr:colOff>
      <xdr:row>13</xdr:row>
      <xdr:rowOff>12700</xdr:rowOff>
    </xdr:from>
    <xdr:to>
      <xdr:col>16</xdr:col>
      <xdr:colOff>3930755</xdr:colOff>
      <xdr:row>13</xdr:row>
      <xdr:rowOff>177800</xdr:rowOff>
    </xdr:to>
    <xdr:sp macro="" textlink="">
      <xdr:nvSpPr>
        <xdr:cNvPr id="167079" name="Скругленный прямоугольник 167078">
          <a:extLst>
            <a:ext uri="{FF2B5EF4-FFF2-40B4-BE49-F238E27FC236}">
              <a16:creationId xmlns:a16="http://schemas.microsoft.com/office/drawing/2014/main" id="{00000000-0008-0000-0400-0000A78C0200}"/>
            </a:ext>
          </a:extLst>
        </xdr:cNvPr>
        <xdr:cNvSpPr/>
      </xdr:nvSpPr>
      <xdr:spPr>
        <a:xfrm>
          <a:off x="17646455" y="2717800"/>
          <a:ext cx="6575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706</a:t>
          </a:r>
        </a:p>
      </xdr:txBody>
    </xdr:sp>
    <xdr:clientData/>
  </xdr:twoCellAnchor>
  <xdr:twoCellAnchor>
    <xdr:from>
      <xdr:col>16</xdr:col>
      <xdr:colOff>3965787</xdr:colOff>
      <xdr:row>13</xdr:row>
      <xdr:rowOff>12700</xdr:rowOff>
    </xdr:from>
    <xdr:to>
      <xdr:col>16</xdr:col>
      <xdr:colOff>4603967</xdr:colOff>
      <xdr:row>13</xdr:row>
      <xdr:rowOff>177800</xdr:rowOff>
    </xdr:to>
    <xdr:sp macro="" textlink="">
      <xdr:nvSpPr>
        <xdr:cNvPr id="167080" name="Скругленный прямоугольник 167079">
          <a:extLst>
            <a:ext uri="{FF2B5EF4-FFF2-40B4-BE49-F238E27FC236}">
              <a16:creationId xmlns:a16="http://schemas.microsoft.com/office/drawing/2014/main" id="{00000000-0008-0000-0400-0000A88C0200}"/>
            </a:ext>
          </a:extLst>
        </xdr:cNvPr>
        <xdr:cNvSpPr/>
      </xdr:nvSpPr>
      <xdr:spPr>
        <a:xfrm>
          <a:off x="18339012" y="2717800"/>
          <a:ext cx="63818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686</a:t>
          </a:r>
        </a:p>
      </xdr:txBody>
    </xdr:sp>
    <xdr:clientData/>
  </xdr:twoCellAnchor>
  <xdr:twoCellAnchor>
    <xdr:from>
      <xdr:col>16</xdr:col>
      <xdr:colOff>4638997</xdr:colOff>
      <xdr:row>13</xdr:row>
      <xdr:rowOff>12700</xdr:rowOff>
    </xdr:from>
    <xdr:to>
      <xdr:col>16</xdr:col>
      <xdr:colOff>5267503</xdr:colOff>
      <xdr:row>13</xdr:row>
      <xdr:rowOff>177800</xdr:rowOff>
    </xdr:to>
    <xdr:sp macro="" textlink="">
      <xdr:nvSpPr>
        <xdr:cNvPr id="167081" name="Скругленный прямоугольник 167080">
          <a:extLst>
            <a:ext uri="{FF2B5EF4-FFF2-40B4-BE49-F238E27FC236}">
              <a16:creationId xmlns:a16="http://schemas.microsoft.com/office/drawing/2014/main" id="{00000000-0008-0000-0400-0000A98C0200}"/>
            </a:ext>
          </a:extLst>
        </xdr:cNvPr>
        <xdr:cNvSpPr/>
      </xdr:nvSpPr>
      <xdr:spPr>
        <a:xfrm>
          <a:off x="19012222" y="2717800"/>
          <a:ext cx="62850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676</a:t>
          </a:r>
        </a:p>
      </xdr:txBody>
    </xdr:sp>
    <xdr:clientData/>
  </xdr:twoCellAnchor>
  <xdr:twoCellAnchor>
    <xdr:from>
      <xdr:col>16</xdr:col>
      <xdr:colOff>5302534</xdr:colOff>
      <xdr:row>13</xdr:row>
      <xdr:rowOff>12700</xdr:rowOff>
    </xdr:from>
    <xdr:to>
      <xdr:col>16</xdr:col>
      <xdr:colOff>5756923</xdr:colOff>
      <xdr:row>13</xdr:row>
      <xdr:rowOff>177800</xdr:rowOff>
    </xdr:to>
    <xdr:sp macro="" textlink="">
      <xdr:nvSpPr>
        <xdr:cNvPr id="167082" name="Скругленный прямоугольник 167081">
          <a:extLst>
            <a:ext uri="{FF2B5EF4-FFF2-40B4-BE49-F238E27FC236}">
              <a16:creationId xmlns:a16="http://schemas.microsoft.com/office/drawing/2014/main" id="{00000000-0008-0000-0400-0000AA8C0200}"/>
            </a:ext>
          </a:extLst>
        </xdr:cNvPr>
        <xdr:cNvSpPr/>
      </xdr:nvSpPr>
      <xdr:spPr>
        <a:xfrm>
          <a:off x="19675759" y="2717800"/>
          <a:ext cx="4543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CFCFCF" mc:Ignorable="a14" a14:legacySpreadsheetColorIndex="2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8E8E8" mc:Ignorable="a14" a14:legacySpreadsheetColorIndex="2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7F7F7F" mc:Ignorable="a14" a14:legacySpreadsheetColorIndex="2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496</a:t>
          </a:r>
        </a:p>
      </xdr:txBody>
    </xdr:sp>
    <xdr:clientData/>
  </xdr:twoCellAnchor>
  <xdr:twoCellAnchor>
    <xdr:from>
      <xdr:col>16</xdr:col>
      <xdr:colOff>0</xdr:colOff>
      <xdr:row>14</xdr:row>
      <xdr:rowOff>12700</xdr:rowOff>
    </xdr:from>
    <xdr:to>
      <xdr:col>16</xdr:col>
      <xdr:colOff>783276</xdr:colOff>
      <xdr:row>14</xdr:row>
      <xdr:rowOff>177800</xdr:rowOff>
    </xdr:to>
    <xdr:sp macro="" textlink="">
      <xdr:nvSpPr>
        <xdr:cNvPr id="167083" name="Скругленный прямоугольник 167082">
          <a:extLst>
            <a:ext uri="{FF2B5EF4-FFF2-40B4-BE49-F238E27FC236}">
              <a16:creationId xmlns:a16="http://schemas.microsoft.com/office/drawing/2014/main" id="{00000000-0008-0000-0400-0000AB8C0200}"/>
            </a:ext>
          </a:extLst>
        </xdr:cNvPr>
        <xdr:cNvSpPr/>
      </xdr:nvSpPr>
      <xdr:spPr>
        <a:xfrm>
          <a:off x="14373225" y="2908300"/>
          <a:ext cx="78327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D7FF" mc:Ignorable="a14" a14:legacySpreadsheetColorIndex="4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ECFF" mc:Ignorable="a14" a14:legacySpreadsheetColorIndex="4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87AA" mc:Ignorable="a14" a14:legacySpreadsheetColorIndex="4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836</a:t>
          </a:r>
        </a:p>
      </xdr:txBody>
    </xdr:sp>
    <xdr:clientData/>
  </xdr:twoCellAnchor>
  <xdr:twoCellAnchor>
    <xdr:from>
      <xdr:col>16</xdr:col>
      <xdr:colOff>818308</xdr:colOff>
      <xdr:row>14</xdr:row>
      <xdr:rowOff>12700</xdr:rowOff>
    </xdr:from>
    <xdr:to>
      <xdr:col>16</xdr:col>
      <xdr:colOff>1543546</xdr:colOff>
      <xdr:row>14</xdr:row>
      <xdr:rowOff>177800</xdr:rowOff>
    </xdr:to>
    <xdr:sp macro="" textlink="">
      <xdr:nvSpPr>
        <xdr:cNvPr id="167084" name="Скругленный прямоугольник 167083">
          <a:extLst>
            <a:ext uri="{FF2B5EF4-FFF2-40B4-BE49-F238E27FC236}">
              <a16:creationId xmlns:a16="http://schemas.microsoft.com/office/drawing/2014/main" id="{00000000-0008-0000-0400-0000AC8C0200}"/>
            </a:ext>
          </a:extLst>
        </xdr:cNvPr>
        <xdr:cNvSpPr/>
      </xdr:nvSpPr>
      <xdr:spPr>
        <a:xfrm>
          <a:off x="15191533" y="2908300"/>
          <a:ext cx="72523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D7" mc:Ignorable="a14" a14:legacySpreadsheetColorIndex="4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EC" mc:Ignorable="a14" a14:legacySpreadsheetColorIndex="4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87" mc:Ignorable="a14" a14:legacySpreadsheetColorIndex="4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776</a:t>
          </a:r>
        </a:p>
      </xdr:txBody>
    </xdr:sp>
    <xdr:clientData/>
  </xdr:twoCellAnchor>
  <xdr:twoCellAnchor>
    <xdr:from>
      <xdr:col>16</xdr:col>
      <xdr:colOff>1578577</xdr:colOff>
      <xdr:row>14</xdr:row>
      <xdr:rowOff>12700</xdr:rowOff>
    </xdr:from>
    <xdr:to>
      <xdr:col>16</xdr:col>
      <xdr:colOff>2236102</xdr:colOff>
      <xdr:row>14</xdr:row>
      <xdr:rowOff>177800</xdr:rowOff>
    </xdr:to>
    <xdr:sp macro="" textlink="">
      <xdr:nvSpPr>
        <xdr:cNvPr id="167085" name="Скругленный прямоугольник 167084">
          <a:extLst>
            <a:ext uri="{FF2B5EF4-FFF2-40B4-BE49-F238E27FC236}">
              <a16:creationId xmlns:a16="http://schemas.microsoft.com/office/drawing/2014/main" id="{00000000-0008-0000-0400-0000AD8C0200}"/>
            </a:ext>
          </a:extLst>
        </xdr:cNvPr>
        <xdr:cNvSpPr/>
      </xdr:nvSpPr>
      <xdr:spPr>
        <a:xfrm>
          <a:off x="15951802" y="2908300"/>
          <a:ext cx="6575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706</a:t>
          </a:r>
        </a:p>
      </xdr:txBody>
    </xdr:sp>
    <xdr:clientData/>
  </xdr:twoCellAnchor>
  <xdr:twoCellAnchor>
    <xdr:from>
      <xdr:col>16</xdr:col>
      <xdr:colOff>2271133</xdr:colOff>
      <xdr:row>14</xdr:row>
      <xdr:rowOff>12700</xdr:rowOff>
    </xdr:from>
    <xdr:to>
      <xdr:col>16</xdr:col>
      <xdr:colOff>2918985</xdr:colOff>
      <xdr:row>14</xdr:row>
      <xdr:rowOff>177800</xdr:rowOff>
    </xdr:to>
    <xdr:sp macro="" textlink="">
      <xdr:nvSpPr>
        <xdr:cNvPr id="167086" name="Скругленный прямоугольник 167085">
          <a:extLst>
            <a:ext uri="{FF2B5EF4-FFF2-40B4-BE49-F238E27FC236}">
              <a16:creationId xmlns:a16="http://schemas.microsoft.com/office/drawing/2014/main" id="{00000000-0008-0000-0400-0000AE8C0200}"/>
            </a:ext>
          </a:extLst>
        </xdr:cNvPr>
        <xdr:cNvSpPr/>
      </xdr:nvSpPr>
      <xdr:spPr>
        <a:xfrm>
          <a:off x="16644358" y="2908300"/>
          <a:ext cx="64785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696</a:t>
          </a:r>
        </a:p>
      </xdr:txBody>
    </xdr:sp>
    <xdr:clientData/>
  </xdr:twoCellAnchor>
  <xdr:twoCellAnchor>
    <xdr:from>
      <xdr:col>16</xdr:col>
      <xdr:colOff>2954015</xdr:colOff>
      <xdr:row>14</xdr:row>
      <xdr:rowOff>12700</xdr:rowOff>
    </xdr:from>
    <xdr:to>
      <xdr:col>16</xdr:col>
      <xdr:colOff>3466443</xdr:colOff>
      <xdr:row>14</xdr:row>
      <xdr:rowOff>177800</xdr:rowOff>
    </xdr:to>
    <xdr:sp macro="" textlink="">
      <xdr:nvSpPr>
        <xdr:cNvPr id="167087" name="Скругленный прямоугольник 167086">
          <a:extLst>
            <a:ext uri="{FF2B5EF4-FFF2-40B4-BE49-F238E27FC236}">
              <a16:creationId xmlns:a16="http://schemas.microsoft.com/office/drawing/2014/main" id="{00000000-0008-0000-0400-0000AF8C0200}"/>
            </a:ext>
          </a:extLst>
        </xdr:cNvPr>
        <xdr:cNvSpPr/>
      </xdr:nvSpPr>
      <xdr:spPr>
        <a:xfrm>
          <a:off x="17327240" y="2908300"/>
          <a:ext cx="51242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96FF" mc:Ignorable="a14" a14:legacySpreadsheetColorIndex="4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D3FF" mc:Ignorable="a14" a14:legacySpreadsheetColorIndex="4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41AA" mc:Ignorable="a14" a14:legacySpreadsheetColorIndex="4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556</a:t>
          </a:r>
        </a:p>
      </xdr:txBody>
    </xdr:sp>
    <xdr:clientData/>
  </xdr:twoCellAnchor>
  <xdr:twoCellAnchor>
    <xdr:from>
      <xdr:col>16</xdr:col>
      <xdr:colOff>3501475</xdr:colOff>
      <xdr:row>14</xdr:row>
      <xdr:rowOff>12700</xdr:rowOff>
    </xdr:from>
    <xdr:to>
      <xdr:col>16</xdr:col>
      <xdr:colOff>3917172</xdr:colOff>
      <xdr:row>14</xdr:row>
      <xdr:rowOff>177800</xdr:rowOff>
    </xdr:to>
    <xdr:sp macro="" textlink="">
      <xdr:nvSpPr>
        <xdr:cNvPr id="167088" name="Скругленный прямоугольник 167087">
          <a:extLst>
            <a:ext uri="{FF2B5EF4-FFF2-40B4-BE49-F238E27FC236}">
              <a16:creationId xmlns:a16="http://schemas.microsoft.com/office/drawing/2014/main" id="{00000000-0008-0000-0400-0000B08C0200}"/>
            </a:ext>
          </a:extLst>
        </xdr:cNvPr>
        <xdr:cNvSpPr/>
      </xdr:nvSpPr>
      <xdr:spPr>
        <a:xfrm>
          <a:off x="17874700" y="2908300"/>
          <a:ext cx="41569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D7B4" mc:Ignorable="a14" a14:legacySpreadsheetColorIndex="4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ECDE" mc:Ignorable="a14" a14:legacySpreadsheetColorIndex="4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8764" mc:Ignorable="a14" a14:legacySpreadsheetColorIndex="4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456</a:t>
          </a:r>
        </a:p>
      </xdr:txBody>
    </xdr:sp>
    <xdr:clientData/>
  </xdr:twoCellAnchor>
  <xdr:twoCellAnchor>
    <xdr:from>
      <xdr:col>16</xdr:col>
      <xdr:colOff>3952202</xdr:colOff>
      <xdr:row>14</xdr:row>
      <xdr:rowOff>12700</xdr:rowOff>
    </xdr:from>
    <xdr:to>
      <xdr:col>16</xdr:col>
      <xdr:colOff>5768573</xdr:colOff>
      <xdr:row>14</xdr:row>
      <xdr:rowOff>177800</xdr:rowOff>
    </xdr:to>
    <xdr:sp macro="" textlink="">
      <xdr:nvSpPr>
        <xdr:cNvPr id="167089" name="Скругленный прямоугольник 167088">
          <a:extLst>
            <a:ext uri="{FF2B5EF4-FFF2-40B4-BE49-F238E27FC236}">
              <a16:creationId xmlns:a16="http://schemas.microsoft.com/office/drawing/2014/main" id="{00000000-0008-0000-0400-0000B18C0200}"/>
            </a:ext>
          </a:extLst>
        </xdr:cNvPr>
        <xdr:cNvSpPr/>
      </xdr:nvSpPr>
      <xdr:spPr>
        <a:xfrm>
          <a:off x="18325427" y="2908300"/>
          <a:ext cx="181637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Остаток: 1904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44825</xdr:colOff>
      <xdr:row>17</xdr:row>
      <xdr:rowOff>150420</xdr:rowOff>
    </xdr:from>
    <xdr:to>
      <xdr:col>3</xdr:col>
      <xdr:colOff>307043</xdr:colOff>
      <xdr:row>19</xdr:row>
      <xdr:rowOff>76200</xdr:rowOff>
    </xdr:to>
    <xdr:sp macro="[0]!Raskroy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5800" y="3617520"/>
          <a:ext cx="1214718" cy="30678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Расчет</a:t>
          </a:r>
          <a:r>
            <a:rPr lang="en-US" sz="1100"/>
            <a:t> DP</a:t>
          </a:r>
          <a:endParaRPr lang="ru-RU" sz="1100"/>
        </a:p>
      </xdr:txBody>
    </xdr:sp>
    <xdr:clientData fPrintsWithSheet="0"/>
  </xdr:twoCellAnchor>
  <xdr:twoCellAnchor>
    <xdr:from>
      <xdr:col>3</xdr:col>
      <xdr:colOff>472817</xdr:colOff>
      <xdr:row>17</xdr:row>
      <xdr:rowOff>150420</xdr:rowOff>
    </xdr:from>
    <xdr:to>
      <xdr:col>4</xdr:col>
      <xdr:colOff>735035</xdr:colOff>
      <xdr:row>19</xdr:row>
      <xdr:rowOff>76200</xdr:rowOff>
    </xdr:to>
    <xdr:sp macro="[0]!ClearData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606292" y="3617520"/>
          <a:ext cx="1214718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Очистить все</a:t>
          </a:r>
        </a:p>
      </xdr:txBody>
    </xdr:sp>
    <xdr:clientData fPrintsWithSheet="0"/>
  </xdr:twoCellAnchor>
  <xdr:twoCellAnchor>
    <xdr:from>
      <xdr:col>4</xdr:col>
      <xdr:colOff>924205</xdr:colOff>
      <xdr:row>17</xdr:row>
      <xdr:rowOff>150420</xdr:rowOff>
    </xdr:from>
    <xdr:to>
      <xdr:col>7</xdr:col>
      <xdr:colOff>21011</xdr:colOff>
      <xdr:row>19</xdr:row>
      <xdr:rowOff>76200</xdr:rowOff>
    </xdr:to>
    <xdr:sp macro="[0]!OutGraph" textlink="">
      <xdr:nvSpPr>
        <xdr:cNvPr id="4" name="Скругленный прямоугольник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010180" y="3617520"/>
          <a:ext cx="1220881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Отобразить</a:t>
          </a:r>
        </a:p>
      </xdr:txBody>
    </xdr:sp>
    <xdr:clientData fPrintsWithSheet="0"/>
  </xdr:twoCellAnchor>
  <xdr:twoCellAnchor>
    <xdr:from>
      <xdr:col>7</xdr:col>
      <xdr:colOff>197224</xdr:colOff>
      <xdr:row>17</xdr:row>
      <xdr:rowOff>150420</xdr:rowOff>
    </xdr:from>
    <xdr:to>
      <xdr:col>8</xdr:col>
      <xdr:colOff>806824</xdr:colOff>
      <xdr:row>19</xdr:row>
      <xdr:rowOff>76200</xdr:rowOff>
    </xdr:to>
    <xdr:sp macro="[0]!Export2PDF" textlink="">
      <xdr:nvSpPr>
        <xdr:cNvPr id="5" name="Скругленный прямоугольник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4407274" y="3617520"/>
          <a:ext cx="1209675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Экспорт в </a:t>
          </a:r>
          <a:r>
            <a:rPr lang="en-US" sz="1100"/>
            <a:t>PDF</a:t>
          </a:r>
          <a:endParaRPr lang="ru-RU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13</xdr:row>
          <xdr:rowOff>180975</xdr:rowOff>
        </xdr:from>
        <xdr:to>
          <xdr:col>9</xdr:col>
          <xdr:colOff>9525</xdr:colOff>
          <xdr:row>15</xdr:row>
          <xdr:rowOff>0</xdr:rowOff>
        </xdr:to>
        <xdr:sp macro="" textlink="">
          <xdr:nvSpPr>
            <xdr:cNvPr id="167937" name="Drop Down 1" hidden="1">
              <a:extLst>
                <a:ext uri="{63B3BB69-23CF-44E3-9099-C40C66FF867C}">
                  <a14:compatExt spid="_x0000_s167937"/>
                </a:ext>
                <a:ext uri="{FF2B5EF4-FFF2-40B4-BE49-F238E27FC236}">
                  <a16:creationId xmlns:a16="http://schemas.microsoft.com/office/drawing/2014/main" id="{00000000-0008-0000-0500-000001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13</xdr:row>
          <xdr:rowOff>161925</xdr:rowOff>
        </xdr:from>
        <xdr:to>
          <xdr:col>5</xdr:col>
          <xdr:colOff>981075</xdr:colOff>
          <xdr:row>15</xdr:row>
          <xdr:rowOff>0</xdr:rowOff>
        </xdr:to>
        <xdr:sp macro="" textlink="">
          <xdr:nvSpPr>
            <xdr:cNvPr id="167938" name="Check Box 2" hidden="1">
              <a:extLst>
                <a:ext uri="{63B3BB69-23CF-44E3-9099-C40C66FF867C}">
                  <a14:compatExt spid="_x0000_s167938"/>
                </a:ext>
                <a:ext uri="{FF2B5EF4-FFF2-40B4-BE49-F238E27FC236}">
                  <a16:creationId xmlns:a16="http://schemas.microsoft.com/office/drawing/2014/main" id="{00000000-0008-0000-0500-000002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Группировать решение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14</xdr:row>
          <xdr:rowOff>161925</xdr:rowOff>
        </xdr:from>
        <xdr:to>
          <xdr:col>5</xdr:col>
          <xdr:colOff>981075</xdr:colOff>
          <xdr:row>16</xdr:row>
          <xdr:rowOff>0</xdr:rowOff>
        </xdr:to>
        <xdr:sp macro="" textlink="">
          <xdr:nvSpPr>
            <xdr:cNvPr id="167939" name="Check Box 3" hidden="1">
              <a:extLst>
                <a:ext uri="{63B3BB69-23CF-44E3-9099-C40C66FF867C}">
                  <a14:compatExt spid="_x0000_s167939"/>
                </a:ext>
                <a:ext uri="{FF2B5EF4-FFF2-40B4-BE49-F238E27FC236}">
                  <a16:creationId xmlns:a16="http://schemas.microsoft.com/office/drawing/2014/main" id="{00000000-0008-0000-0500-000003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Отображать графику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15</xdr:row>
          <xdr:rowOff>0</xdr:rowOff>
        </xdr:from>
        <xdr:to>
          <xdr:col>9</xdr:col>
          <xdr:colOff>9525</xdr:colOff>
          <xdr:row>16</xdr:row>
          <xdr:rowOff>9525</xdr:rowOff>
        </xdr:to>
        <xdr:sp macro="" textlink="">
          <xdr:nvSpPr>
            <xdr:cNvPr id="167940" name="Drop Down 4" hidden="1">
              <a:extLst>
                <a:ext uri="{63B3BB69-23CF-44E3-9099-C40C66FF867C}">
                  <a14:compatExt spid="_x0000_s167940"/>
                </a:ext>
                <a:ext uri="{FF2B5EF4-FFF2-40B4-BE49-F238E27FC236}">
                  <a16:creationId xmlns:a16="http://schemas.microsoft.com/office/drawing/2014/main" id="{00000000-0008-0000-0500-000004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15</xdr:row>
          <xdr:rowOff>161925</xdr:rowOff>
        </xdr:from>
        <xdr:to>
          <xdr:col>5</xdr:col>
          <xdr:colOff>981075</xdr:colOff>
          <xdr:row>17</xdr:row>
          <xdr:rowOff>0</xdr:rowOff>
        </xdr:to>
        <xdr:sp macro="" textlink="">
          <xdr:nvSpPr>
            <xdr:cNvPr id="167941" name="Check Box 5" hidden="1">
              <a:extLst>
                <a:ext uri="{63B3BB69-23CF-44E3-9099-C40C66FF867C}">
                  <a14:compatExt spid="_x0000_s167941"/>
                </a:ext>
                <a:ext uri="{FF2B5EF4-FFF2-40B4-BE49-F238E27FC236}">
                  <a16:creationId xmlns:a16="http://schemas.microsoft.com/office/drawing/2014/main" id="{00000000-0008-0000-0500-000005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Рез под 45 градусов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16</xdr:row>
          <xdr:rowOff>0</xdr:rowOff>
        </xdr:from>
        <xdr:to>
          <xdr:col>9</xdr:col>
          <xdr:colOff>0</xdr:colOff>
          <xdr:row>17</xdr:row>
          <xdr:rowOff>28575</xdr:rowOff>
        </xdr:to>
        <xdr:sp macro="" textlink="">
          <xdr:nvSpPr>
            <xdr:cNvPr id="167942" name="Check Box 6" hidden="1">
              <a:extLst>
                <a:ext uri="{63B3BB69-23CF-44E3-9099-C40C66FF867C}">
                  <a14:compatExt spid="_x0000_s167942"/>
                </a:ext>
                <a:ext uri="{FF2B5EF4-FFF2-40B4-BE49-F238E27FC236}">
                  <a16:creationId xmlns:a16="http://schemas.microsoft.com/office/drawing/2014/main" id="{00000000-0008-0000-0500-000006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Раскрой в два профиля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44825</xdr:colOff>
      <xdr:row>20</xdr:row>
      <xdr:rowOff>0</xdr:rowOff>
    </xdr:from>
    <xdr:to>
      <xdr:col>3</xdr:col>
      <xdr:colOff>307043</xdr:colOff>
      <xdr:row>21</xdr:row>
      <xdr:rowOff>116280</xdr:rowOff>
    </xdr:to>
    <xdr:sp macro="[0]!lpCSP" textlink="">
      <xdr:nvSpPr>
        <xdr:cNvPr id="12" name="Скругленный прямоугольник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225800" y="4038600"/>
          <a:ext cx="1214718" cy="30678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Расчет</a:t>
          </a:r>
          <a:r>
            <a:rPr lang="en-US" sz="1100"/>
            <a:t> LP</a:t>
          </a:r>
          <a:endParaRPr lang="ru-RU" sz="1100"/>
        </a:p>
      </xdr:txBody>
    </xdr:sp>
    <xdr:clientData fPrintsWithSheet="0"/>
  </xdr:twoCellAnchor>
  <xdr:twoCellAnchor>
    <xdr:from>
      <xdr:col>3</xdr:col>
      <xdr:colOff>472817</xdr:colOff>
      <xdr:row>20</xdr:row>
      <xdr:rowOff>0</xdr:rowOff>
    </xdr:from>
    <xdr:to>
      <xdr:col>4</xdr:col>
      <xdr:colOff>735035</xdr:colOff>
      <xdr:row>21</xdr:row>
      <xdr:rowOff>116280</xdr:rowOff>
    </xdr:to>
    <xdr:sp macro="[0]!ClearSolve" textlink="">
      <xdr:nvSpPr>
        <xdr:cNvPr id="13" name="Скругленный прямоугольник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606292" y="4038600"/>
          <a:ext cx="1214718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Убрать</a:t>
          </a:r>
          <a:r>
            <a:rPr lang="ru-RU" sz="1100" baseline="0"/>
            <a:t> решение</a:t>
          </a:r>
          <a:endParaRPr lang="ru-RU" sz="1100"/>
        </a:p>
      </xdr:txBody>
    </xdr:sp>
    <xdr:clientData fPrintsWithSheet="0"/>
  </xdr:twoCellAnchor>
  <xdr:twoCellAnchor>
    <xdr:from>
      <xdr:col>4</xdr:col>
      <xdr:colOff>924205</xdr:colOff>
      <xdr:row>20</xdr:row>
      <xdr:rowOff>0</xdr:rowOff>
    </xdr:from>
    <xdr:to>
      <xdr:col>7</xdr:col>
      <xdr:colOff>21011</xdr:colOff>
      <xdr:row>21</xdr:row>
      <xdr:rowOff>116280</xdr:rowOff>
    </xdr:to>
    <xdr:sp macro="[0]!OffGraph" textlink="">
      <xdr:nvSpPr>
        <xdr:cNvPr id="14" name="Скругленный прямоугольник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3010180" y="4038600"/>
          <a:ext cx="1220881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Убрать</a:t>
          </a:r>
          <a:r>
            <a:rPr lang="ru-RU" sz="1100" baseline="0"/>
            <a:t> графику</a:t>
          </a:r>
          <a:endParaRPr lang="ru-RU" sz="1100"/>
        </a:p>
      </xdr:txBody>
    </xdr:sp>
    <xdr:clientData fPrintsWithSheet="0"/>
  </xdr:twoCellAnchor>
  <xdr:twoCellAnchor>
    <xdr:from>
      <xdr:col>7</xdr:col>
      <xdr:colOff>197224</xdr:colOff>
      <xdr:row>20</xdr:row>
      <xdr:rowOff>0</xdr:rowOff>
    </xdr:from>
    <xdr:to>
      <xdr:col>8</xdr:col>
      <xdr:colOff>806824</xdr:colOff>
      <xdr:row>21</xdr:row>
      <xdr:rowOff>116280</xdr:rowOff>
    </xdr:to>
    <xdr:sp macro="" textlink="">
      <xdr:nvSpPr>
        <xdr:cNvPr id="15" name="Скругленный прямоугольник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4407274" y="4038600"/>
          <a:ext cx="1209675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Создать отчет</a:t>
          </a:r>
        </a:p>
      </xdr:txBody>
    </xdr:sp>
    <xdr:clientData fPrintsWithSheet="0"/>
  </xdr:twoCellAnchor>
  <xdr:twoCellAnchor>
    <xdr:from>
      <xdr:col>16</xdr:col>
      <xdr:colOff>0</xdr:colOff>
      <xdr:row>3</xdr:row>
      <xdr:rowOff>12700</xdr:rowOff>
    </xdr:from>
    <xdr:to>
      <xdr:col>16</xdr:col>
      <xdr:colOff>1237915</xdr:colOff>
      <xdr:row>3</xdr:row>
      <xdr:rowOff>177800</xdr:rowOff>
    </xdr:to>
    <xdr:sp macro="" textlink="">
      <xdr:nvSpPr>
        <xdr:cNvPr id="6" name="Скругленный 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734925" y="8128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6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6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6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1272947</xdr:colOff>
      <xdr:row>3</xdr:row>
      <xdr:rowOff>12700</xdr:rowOff>
    </xdr:from>
    <xdr:to>
      <xdr:col>16</xdr:col>
      <xdr:colOff>2433478</xdr:colOff>
      <xdr:row>3</xdr:row>
      <xdr:rowOff>177800</xdr:rowOff>
    </xdr:to>
    <xdr:sp macro="" textlink="">
      <xdr:nvSpPr>
        <xdr:cNvPr id="7" name="Скругленный 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4007872" y="812800"/>
          <a:ext cx="116053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3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3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3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1226</a:t>
          </a:r>
        </a:p>
      </xdr:txBody>
    </xdr:sp>
    <xdr:clientData/>
  </xdr:twoCellAnchor>
  <xdr:twoCellAnchor>
    <xdr:from>
      <xdr:col>16</xdr:col>
      <xdr:colOff>2468508</xdr:colOff>
      <xdr:row>3</xdr:row>
      <xdr:rowOff>12700</xdr:rowOff>
    </xdr:from>
    <xdr:to>
      <xdr:col>16</xdr:col>
      <xdr:colOff>3570999</xdr:colOff>
      <xdr:row>3</xdr:row>
      <xdr:rowOff>177800</xdr:rowOff>
    </xdr:to>
    <xdr:sp macro="" textlink="">
      <xdr:nvSpPr>
        <xdr:cNvPr id="8" name="Скругленный прямоугольник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5203433" y="8128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3606030</xdr:colOff>
      <xdr:row>3</xdr:row>
      <xdr:rowOff>12700</xdr:rowOff>
    </xdr:from>
    <xdr:to>
      <xdr:col>16</xdr:col>
      <xdr:colOff>4669828</xdr:colOff>
      <xdr:row>3</xdr:row>
      <xdr:rowOff>177800</xdr:rowOff>
    </xdr:to>
    <xdr:sp macro="" textlink="">
      <xdr:nvSpPr>
        <xdr:cNvPr id="9" name="Скругленный прямоугольник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16340955" y="812800"/>
          <a:ext cx="106379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5D5D5" mc:Ignorable="a14" a14:legacySpreadsheetColorIndex="7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BEBEB" mc:Ignorable="a14" a14:legacySpreadsheetColorIndex="7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48484" mc:Ignorable="a14" a14:legacySpreadsheetColorIndex="7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1126</a:t>
          </a:r>
        </a:p>
      </xdr:txBody>
    </xdr:sp>
    <xdr:clientData/>
  </xdr:twoCellAnchor>
  <xdr:twoCellAnchor>
    <xdr:from>
      <xdr:col>16</xdr:col>
      <xdr:colOff>4704859</xdr:colOff>
      <xdr:row>3</xdr:row>
      <xdr:rowOff>12700</xdr:rowOff>
    </xdr:from>
    <xdr:to>
      <xdr:col>16</xdr:col>
      <xdr:colOff>5758983</xdr:colOff>
      <xdr:row>3</xdr:row>
      <xdr:rowOff>177800</xdr:rowOff>
    </xdr:to>
    <xdr:sp macro="" textlink="">
      <xdr:nvSpPr>
        <xdr:cNvPr id="10" name="Скругленный прямоугольник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7439784" y="812800"/>
          <a:ext cx="105412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A4" mc:Ignorable="a14" a14:legacySpreadsheetColorIndex="3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D8" mc:Ignorable="a14" a14:legacySpreadsheetColorIndex="3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53" mc:Ignorable="a14" a14:legacySpreadsheetColorIndex="3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1116</a:t>
          </a:r>
        </a:p>
      </xdr:txBody>
    </xdr:sp>
    <xdr:clientData/>
  </xdr:twoCellAnchor>
  <xdr:twoCellAnchor>
    <xdr:from>
      <xdr:col>16</xdr:col>
      <xdr:colOff>0</xdr:colOff>
      <xdr:row>4</xdr:row>
      <xdr:rowOff>12700</xdr:rowOff>
    </xdr:from>
    <xdr:to>
      <xdr:col>16</xdr:col>
      <xdr:colOff>1257261</xdr:colOff>
      <xdr:row>4</xdr:row>
      <xdr:rowOff>177800</xdr:rowOff>
    </xdr:to>
    <xdr:sp macro="" textlink="">
      <xdr:nvSpPr>
        <xdr:cNvPr id="11" name="Скругленный прямоугольник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2734925" y="1003300"/>
          <a:ext cx="12572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6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6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1292293</xdr:colOff>
      <xdr:row>4</xdr:row>
      <xdr:rowOff>12700</xdr:rowOff>
    </xdr:from>
    <xdr:to>
      <xdr:col>16</xdr:col>
      <xdr:colOff>2549554</xdr:colOff>
      <xdr:row>4</xdr:row>
      <xdr:rowOff>177800</xdr:rowOff>
    </xdr:to>
    <xdr:sp macro="" textlink="">
      <xdr:nvSpPr>
        <xdr:cNvPr id="145" name="Скругленный прямоугольник 144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SpPr/>
      </xdr:nvSpPr>
      <xdr:spPr>
        <a:xfrm>
          <a:off x="14027218" y="1003300"/>
          <a:ext cx="12572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6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6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2584585</xdr:colOff>
      <xdr:row>4</xdr:row>
      <xdr:rowOff>12700</xdr:rowOff>
    </xdr:from>
    <xdr:to>
      <xdr:col>16</xdr:col>
      <xdr:colOff>3774134</xdr:colOff>
      <xdr:row>4</xdr:row>
      <xdr:rowOff>177800</xdr:rowOff>
    </xdr:to>
    <xdr:sp macro="" textlink="">
      <xdr:nvSpPr>
        <xdr:cNvPr id="146" name="Скругленный прямоугольник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/>
      </xdr:nvSpPr>
      <xdr:spPr>
        <a:xfrm>
          <a:off x="15319510" y="1003300"/>
          <a:ext cx="118954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7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7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7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1256</a:t>
          </a:r>
        </a:p>
      </xdr:txBody>
    </xdr:sp>
    <xdr:clientData/>
  </xdr:twoCellAnchor>
  <xdr:twoCellAnchor>
    <xdr:from>
      <xdr:col>16</xdr:col>
      <xdr:colOff>3809166</xdr:colOff>
      <xdr:row>4</xdr:row>
      <xdr:rowOff>12700</xdr:rowOff>
    </xdr:from>
    <xdr:to>
      <xdr:col>16</xdr:col>
      <xdr:colOff>4940677</xdr:colOff>
      <xdr:row>4</xdr:row>
      <xdr:rowOff>177800</xdr:rowOff>
    </xdr:to>
    <xdr:sp macro="" textlink="">
      <xdr:nvSpPr>
        <xdr:cNvPr id="147" name="Скругленный прямоугольник 146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SpPr/>
      </xdr:nvSpPr>
      <xdr:spPr>
        <a:xfrm>
          <a:off x="16544091" y="1003300"/>
          <a:ext cx="113151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D7FF" mc:Ignorable="a14" a14:legacySpreadsheetColorIndex="3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ECFF" mc:Ignorable="a14" a14:legacySpreadsheetColorIndex="3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87AA" mc:Ignorable="a14" a14:legacySpreadsheetColorIndex="3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1196</a:t>
          </a:r>
        </a:p>
      </xdr:txBody>
    </xdr:sp>
    <xdr:clientData/>
  </xdr:twoCellAnchor>
  <xdr:twoCellAnchor>
    <xdr:from>
      <xdr:col>16</xdr:col>
      <xdr:colOff>4975707</xdr:colOff>
      <xdr:row>4</xdr:row>
      <xdr:rowOff>12700</xdr:rowOff>
    </xdr:from>
    <xdr:to>
      <xdr:col>16</xdr:col>
      <xdr:colOff>5758983</xdr:colOff>
      <xdr:row>4</xdr:row>
      <xdr:rowOff>177800</xdr:rowOff>
    </xdr:to>
    <xdr:sp macro="" textlink="">
      <xdr:nvSpPr>
        <xdr:cNvPr id="148" name="Скругленный прямоугольник 147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SpPr/>
      </xdr:nvSpPr>
      <xdr:spPr>
        <a:xfrm>
          <a:off x="17710632" y="1003300"/>
          <a:ext cx="78327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D7FF" mc:Ignorable="a14" a14:legacySpreadsheetColorIndex="4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ECFF" mc:Ignorable="a14" a14:legacySpreadsheetColorIndex="4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87AA" mc:Ignorable="a14" a14:legacySpreadsheetColorIndex="4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836</a:t>
          </a:r>
        </a:p>
      </xdr:txBody>
    </xdr:sp>
    <xdr:clientData/>
  </xdr:twoCellAnchor>
  <xdr:twoCellAnchor>
    <xdr:from>
      <xdr:col>16</xdr:col>
      <xdr:colOff>0</xdr:colOff>
      <xdr:row>5</xdr:row>
      <xdr:rowOff>12700</xdr:rowOff>
    </xdr:from>
    <xdr:to>
      <xdr:col>16</xdr:col>
      <xdr:colOff>1266935</xdr:colOff>
      <xdr:row>5</xdr:row>
      <xdr:rowOff>177800</xdr:rowOff>
    </xdr:to>
    <xdr:sp macro="" textlink="">
      <xdr:nvSpPr>
        <xdr:cNvPr id="149" name="Скругленный прямоугольник 148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SpPr/>
      </xdr:nvSpPr>
      <xdr:spPr>
        <a:xfrm>
          <a:off x="12734925" y="11938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3F3F3" mc:Ignorable="a14" a14:legacySpreadsheetColorIndex="6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9F9F9" mc:Ignorable="a14" a14:legacySpreadsheetColorIndex="6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9F9F9F" mc:Ignorable="a14" a14:legacySpreadsheetColorIndex="6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1301965</xdr:colOff>
      <xdr:row>5</xdr:row>
      <xdr:rowOff>12700</xdr:rowOff>
    </xdr:from>
    <xdr:to>
      <xdr:col>16</xdr:col>
      <xdr:colOff>2539881</xdr:colOff>
      <xdr:row>5</xdr:row>
      <xdr:rowOff>177800</xdr:rowOff>
    </xdr:to>
    <xdr:sp macro="" textlink="">
      <xdr:nvSpPr>
        <xdr:cNvPr id="150" name="Скругленный прямоугольник 149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SpPr/>
      </xdr:nvSpPr>
      <xdr:spPr>
        <a:xfrm>
          <a:off x="14036890" y="1193800"/>
          <a:ext cx="123791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6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6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6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2574913</xdr:colOff>
      <xdr:row>5</xdr:row>
      <xdr:rowOff>12700</xdr:rowOff>
    </xdr:from>
    <xdr:to>
      <xdr:col>16</xdr:col>
      <xdr:colOff>3783809</xdr:colOff>
      <xdr:row>5</xdr:row>
      <xdr:rowOff>177800</xdr:rowOff>
    </xdr:to>
    <xdr:sp macro="" textlink="">
      <xdr:nvSpPr>
        <xdr:cNvPr id="151" name="Скругленный прямоугольник 150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SpPr/>
      </xdr:nvSpPr>
      <xdr:spPr>
        <a:xfrm>
          <a:off x="15309838" y="1193800"/>
          <a:ext cx="120889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8B8B8" mc:Ignorable="a14" a14:legacySpreadsheetColorIndex="7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FDFDF" mc:Ignorable="a14" a14:legacySpreadsheetColorIndex="7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96969" mc:Ignorable="a14" a14:legacySpreadsheetColorIndex="7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1276</a:t>
          </a:r>
        </a:p>
      </xdr:txBody>
    </xdr:sp>
    <xdr:clientData/>
  </xdr:twoCellAnchor>
  <xdr:twoCellAnchor>
    <xdr:from>
      <xdr:col>16</xdr:col>
      <xdr:colOff>3818840</xdr:colOff>
      <xdr:row>5</xdr:row>
      <xdr:rowOff>12700</xdr:rowOff>
    </xdr:from>
    <xdr:to>
      <xdr:col>16</xdr:col>
      <xdr:colOff>4998717</xdr:colOff>
      <xdr:row>5</xdr:row>
      <xdr:rowOff>177800</xdr:rowOff>
    </xdr:to>
    <xdr:sp macro="" textlink="">
      <xdr:nvSpPr>
        <xdr:cNvPr id="152" name="Скругленный прямоугольник 151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SpPr/>
      </xdr:nvSpPr>
      <xdr:spPr>
        <a:xfrm>
          <a:off x="16553765" y="1193800"/>
          <a:ext cx="117987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1246</a:t>
          </a:r>
        </a:p>
      </xdr:txBody>
    </xdr:sp>
    <xdr:clientData/>
  </xdr:twoCellAnchor>
  <xdr:twoCellAnchor>
    <xdr:from>
      <xdr:col>16</xdr:col>
      <xdr:colOff>5033747</xdr:colOff>
      <xdr:row>5</xdr:row>
      <xdr:rowOff>12700</xdr:rowOff>
    </xdr:from>
    <xdr:to>
      <xdr:col>16</xdr:col>
      <xdr:colOff>5758985</xdr:colOff>
      <xdr:row>5</xdr:row>
      <xdr:rowOff>177800</xdr:rowOff>
    </xdr:to>
    <xdr:sp macro="" textlink="">
      <xdr:nvSpPr>
        <xdr:cNvPr id="153" name="Скругленный прямоугольник 152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SpPr/>
      </xdr:nvSpPr>
      <xdr:spPr>
        <a:xfrm>
          <a:off x="17768672" y="1193800"/>
          <a:ext cx="72523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D7" mc:Ignorable="a14" a14:legacySpreadsheetColorIndex="4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EC" mc:Ignorable="a14" a14:legacySpreadsheetColorIndex="4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87" mc:Ignorable="a14" a14:legacySpreadsheetColorIndex="4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776</a:t>
          </a:r>
        </a:p>
      </xdr:txBody>
    </xdr:sp>
    <xdr:clientData/>
  </xdr:twoCellAnchor>
  <xdr:twoCellAnchor>
    <xdr:from>
      <xdr:col>16</xdr:col>
      <xdr:colOff>0</xdr:colOff>
      <xdr:row>6</xdr:row>
      <xdr:rowOff>12700</xdr:rowOff>
    </xdr:from>
    <xdr:to>
      <xdr:col>16</xdr:col>
      <xdr:colOff>1266935</xdr:colOff>
      <xdr:row>6</xdr:row>
      <xdr:rowOff>177800</xdr:rowOff>
    </xdr:to>
    <xdr:sp macro="" textlink="">
      <xdr:nvSpPr>
        <xdr:cNvPr id="154" name="Скругленный прямоугольник 153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SpPr/>
      </xdr:nvSpPr>
      <xdr:spPr>
        <a:xfrm>
          <a:off x="12734925" y="13843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3F3F3" mc:Ignorable="a14" a14:legacySpreadsheetColorIndex="6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9F9F9" mc:Ignorable="a14" a14:legacySpreadsheetColorIndex="6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9F9F9F" mc:Ignorable="a14" a14:legacySpreadsheetColorIndex="6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1301965</xdr:colOff>
      <xdr:row>6</xdr:row>
      <xdr:rowOff>12700</xdr:rowOff>
    </xdr:from>
    <xdr:to>
      <xdr:col>16</xdr:col>
      <xdr:colOff>2549554</xdr:colOff>
      <xdr:row>6</xdr:row>
      <xdr:rowOff>177800</xdr:rowOff>
    </xdr:to>
    <xdr:sp macro="" textlink="">
      <xdr:nvSpPr>
        <xdr:cNvPr id="155" name="Скругленный прямоугольник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/>
      </xdr:nvSpPr>
      <xdr:spPr>
        <a:xfrm>
          <a:off x="14036890" y="1384300"/>
          <a:ext cx="12475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1316</a:t>
          </a:r>
        </a:p>
      </xdr:txBody>
    </xdr:sp>
    <xdr:clientData/>
  </xdr:twoCellAnchor>
  <xdr:twoCellAnchor>
    <xdr:from>
      <xdr:col>16</xdr:col>
      <xdr:colOff>2584585</xdr:colOff>
      <xdr:row>6</xdr:row>
      <xdr:rowOff>12700</xdr:rowOff>
    </xdr:from>
    <xdr:to>
      <xdr:col>16</xdr:col>
      <xdr:colOff>3764462</xdr:colOff>
      <xdr:row>6</xdr:row>
      <xdr:rowOff>177800</xdr:rowOff>
    </xdr:to>
    <xdr:sp macro="" textlink="">
      <xdr:nvSpPr>
        <xdr:cNvPr id="156" name="Скругленный прямоугольник 155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SpPr/>
      </xdr:nvSpPr>
      <xdr:spPr>
        <a:xfrm>
          <a:off x="15319510" y="1384300"/>
          <a:ext cx="117987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1246</a:t>
          </a:r>
        </a:p>
      </xdr:txBody>
    </xdr:sp>
    <xdr:clientData/>
  </xdr:twoCellAnchor>
  <xdr:twoCellAnchor>
    <xdr:from>
      <xdr:col>16</xdr:col>
      <xdr:colOff>3799492</xdr:colOff>
      <xdr:row>6</xdr:row>
      <xdr:rowOff>12700</xdr:rowOff>
    </xdr:from>
    <xdr:to>
      <xdr:col>16</xdr:col>
      <xdr:colOff>4805251</xdr:colOff>
      <xdr:row>6</xdr:row>
      <xdr:rowOff>177800</xdr:rowOff>
    </xdr:to>
    <xdr:sp macro="" textlink="">
      <xdr:nvSpPr>
        <xdr:cNvPr id="157" name="Скругленный прямоугольник 156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SpPr/>
      </xdr:nvSpPr>
      <xdr:spPr>
        <a:xfrm>
          <a:off x="16534417" y="1384300"/>
          <a:ext cx="100575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1066</a:t>
          </a:r>
        </a:p>
      </xdr:txBody>
    </xdr:sp>
    <xdr:clientData/>
  </xdr:twoCellAnchor>
  <xdr:twoCellAnchor>
    <xdr:from>
      <xdr:col>16</xdr:col>
      <xdr:colOff>4840283</xdr:colOff>
      <xdr:row>6</xdr:row>
      <xdr:rowOff>12700</xdr:rowOff>
    </xdr:from>
    <xdr:to>
      <xdr:col>16</xdr:col>
      <xdr:colOff>5758983</xdr:colOff>
      <xdr:row>6</xdr:row>
      <xdr:rowOff>177800</xdr:rowOff>
    </xdr:to>
    <xdr:sp macro="" textlink="">
      <xdr:nvSpPr>
        <xdr:cNvPr id="158" name="Скругленный прямоугольник 157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SpPr/>
      </xdr:nvSpPr>
      <xdr:spPr>
        <a:xfrm>
          <a:off x="17575208" y="1384300"/>
          <a:ext cx="91870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3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3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3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976</a:t>
          </a:r>
        </a:p>
      </xdr:txBody>
    </xdr:sp>
    <xdr:clientData/>
  </xdr:twoCellAnchor>
  <xdr:twoCellAnchor>
    <xdr:from>
      <xdr:col>16</xdr:col>
      <xdr:colOff>0</xdr:colOff>
      <xdr:row>7</xdr:row>
      <xdr:rowOff>12700</xdr:rowOff>
    </xdr:from>
    <xdr:to>
      <xdr:col>16</xdr:col>
      <xdr:colOff>1266935</xdr:colOff>
      <xdr:row>7</xdr:row>
      <xdr:rowOff>177800</xdr:rowOff>
    </xdr:to>
    <xdr:sp macro="" textlink="">
      <xdr:nvSpPr>
        <xdr:cNvPr id="159" name="Скругленный прямоугольник 158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SpPr/>
      </xdr:nvSpPr>
      <xdr:spPr>
        <a:xfrm>
          <a:off x="12734925" y="15748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3F3F3" mc:Ignorable="a14" a14:legacySpreadsheetColorIndex="6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9F9F9" mc:Ignorable="a14" a14:legacySpreadsheetColorIndex="6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9F9F9F" mc:Ignorable="a14" a14:legacySpreadsheetColorIndex="6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1301965</xdr:colOff>
      <xdr:row>7</xdr:row>
      <xdr:rowOff>12700</xdr:rowOff>
    </xdr:from>
    <xdr:to>
      <xdr:col>16</xdr:col>
      <xdr:colOff>2568901</xdr:colOff>
      <xdr:row>7</xdr:row>
      <xdr:rowOff>177800</xdr:rowOff>
    </xdr:to>
    <xdr:sp macro="" textlink="">
      <xdr:nvSpPr>
        <xdr:cNvPr id="167936" name="Скругленный прямоугольник 167935">
          <a:extLst>
            <a:ext uri="{FF2B5EF4-FFF2-40B4-BE49-F238E27FC236}">
              <a16:creationId xmlns:a16="http://schemas.microsoft.com/office/drawing/2014/main" id="{00000000-0008-0000-0500-000000900200}"/>
            </a:ext>
          </a:extLst>
        </xdr:cNvPr>
        <xdr:cNvSpPr/>
      </xdr:nvSpPr>
      <xdr:spPr>
        <a:xfrm>
          <a:off x="14036890" y="1574800"/>
          <a:ext cx="126693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3F3F3" mc:Ignorable="a14" a14:legacySpreadsheetColorIndex="6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9F9F9" mc:Ignorable="a14" a14:legacySpreadsheetColorIndex="6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9F9F9F" mc:Ignorable="a14" a14:legacySpreadsheetColorIndex="6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2603933</xdr:colOff>
      <xdr:row>7</xdr:row>
      <xdr:rowOff>12700</xdr:rowOff>
    </xdr:from>
    <xdr:to>
      <xdr:col>16</xdr:col>
      <xdr:colOff>3851521</xdr:colOff>
      <xdr:row>7</xdr:row>
      <xdr:rowOff>177800</xdr:rowOff>
    </xdr:to>
    <xdr:sp macro="" textlink="">
      <xdr:nvSpPr>
        <xdr:cNvPr id="167943" name="Скругленный прямоугольник 167942">
          <a:extLst>
            <a:ext uri="{FF2B5EF4-FFF2-40B4-BE49-F238E27FC236}">
              <a16:creationId xmlns:a16="http://schemas.microsoft.com/office/drawing/2014/main" id="{00000000-0008-0000-0500-000007900200}"/>
            </a:ext>
          </a:extLst>
        </xdr:cNvPr>
        <xdr:cNvSpPr/>
      </xdr:nvSpPr>
      <xdr:spPr>
        <a:xfrm>
          <a:off x="15338858" y="1574800"/>
          <a:ext cx="124758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1316</a:t>
          </a:r>
        </a:p>
      </xdr:txBody>
    </xdr:sp>
    <xdr:clientData/>
  </xdr:twoCellAnchor>
  <xdr:twoCellAnchor>
    <xdr:from>
      <xdr:col>16</xdr:col>
      <xdr:colOff>3886552</xdr:colOff>
      <xdr:row>7</xdr:row>
      <xdr:rowOff>12700</xdr:rowOff>
    </xdr:from>
    <xdr:to>
      <xdr:col>16</xdr:col>
      <xdr:colOff>5066429</xdr:colOff>
      <xdr:row>7</xdr:row>
      <xdr:rowOff>177800</xdr:rowOff>
    </xdr:to>
    <xdr:sp macro="" textlink="">
      <xdr:nvSpPr>
        <xdr:cNvPr id="167944" name="Скругленный прямоугольник 167943">
          <a:extLst>
            <a:ext uri="{FF2B5EF4-FFF2-40B4-BE49-F238E27FC236}">
              <a16:creationId xmlns:a16="http://schemas.microsoft.com/office/drawing/2014/main" id="{00000000-0008-0000-0500-000008900200}"/>
            </a:ext>
          </a:extLst>
        </xdr:cNvPr>
        <xdr:cNvSpPr/>
      </xdr:nvSpPr>
      <xdr:spPr>
        <a:xfrm>
          <a:off x="16621477" y="1574800"/>
          <a:ext cx="117987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1246</a:t>
          </a:r>
        </a:p>
      </xdr:txBody>
    </xdr:sp>
    <xdr:clientData/>
  </xdr:twoCellAnchor>
  <xdr:twoCellAnchor>
    <xdr:from>
      <xdr:col>16</xdr:col>
      <xdr:colOff>5101459</xdr:colOff>
      <xdr:row>7</xdr:row>
      <xdr:rowOff>12700</xdr:rowOff>
    </xdr:from>
    <xdr:to>
      <xdr:col>16</xdr:col>
      <xdr:colOff>5758985</xdr:colOff>
      <xdr:row>7</xdr:row>
      <xdr:rowOff>177800</xdr:rowOff>
    </xdr:to>
    <xdr:sp macro="" textlink="">
      <xdr:nvSpPr>
        <xdr:cNvPr id="167945" name="Скругленный прямоугольник 167944">
          <a:extLst>
            <a:ext uri="{FF2B5EF4-FFF2-40B4-BE49-F238E27FC236}">
              <a16:creationId xmlns:a16="http://schemas.microsoft.com/office/drawing/2014/main" id="{00000000-0008-0000-0500-000009900200}"/>
            </a:ext>
          </a:extLst>
        </xdr:cNvPr>
        <xdr:cNvSpPr/>
      </xdr:nvSpPr>
      <xdr:spPr>
        <a:xfrm>
          <a:off x="17836384" y="1574800"/>
          <a:ext cx="65752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706</a:t>
          </a:r>
        </a:p>
      </xdr:txBody>
    </xdr:sp>
    <xdr:clientData/>
  </xdr:twoCellAnchor>
  <xdr:twoCellAnchor>
    <xdr:from>
      <xdr:col>16</xdr:col>
      <xdr:colOff>0</xdr:colOff>
      <xdr:row>8</xdr:row>
      <xdr:rowOff>12700</xdr:rowOff>
    </xdr:from>
    <xdr:to>
      <xdr:col>16</xdr:col>
      <xdr:colOff>1334647</xdr:colOff>
      <xdr:row>8</xdr:row>
      <xdr:rowOff>177800</xdr:rowOff>
    </xdr:to>
    <xdr:sp macro="" textlink="">
      <xdr:nvSpPr>
        <xdr:cNvPr id="167946" name="Скругленный прямоугольник 167945">
          <a:extLst>
            <a:ext uri="{FF2B5EF4-FFF2-40B4-BE49-F238E27FC236}">
              <a16:creationId xmlns:a16="http://schemas.microsoft.com/office/drawing/2014/main" id="{00000000-0008-0000-0500-00000A900200}"/>
            </a:ext>
          </a:extLst>
        </xdr:cNvPr>
        <xdr:cNvSpPr/>
      </xdr:nvSpPr>
      <xdr:spPr>
        <a:xfrm>
          <a:off x="12734925" y="1765300"/>
          <a:ext cx="13346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6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6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1369678</xdr:colOff>
      <xdr:row>8</xdr:row>
      <xdr:rowOff>12700</xdr:rowOff>
    </xdr:from>
    <xdr:to>
      <xdr:col>16</xdr:col>
      <xdr:colOff>2607593</xdr:colOff>
      <xdr:row>8</xdr:row>
      <xdr:rowOff>177800</xdr:rowOff>
    </xdr:to>
    <xdr:sp macro="" textlink="">
      <xdr:nvSpPr>
        <xdr:cNvPr id="167947" name="Скругленный прямоугольник 167946">
          <a:extLst>
            <a:ext uri="{FF2B5EF4-FFF2-40B4-BE49-F238E27FC236}">
              <a16:creationId xmlns:a16="http://schemas.microsoft.com/office/drawing/2014/main" id="{00000000-0008-0000-0500-00000B900200}"/>
            </a:ext>
          </a:extLst>
        </xdr:cNvPr>
        <xdr:cNvSpPr/>
      </xdr:nvSpPr>
      <xdr:spPr>
        <a:xfrm>
          <a:off x="14104603" y="17653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6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6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6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2642625</xdr:colOff>
      <xdr:row>8</xdr:row>
      <xdr:rowOff>12700</xdr:rowOff>
    </xdr:from>
    <xdr:to>
      <xdr:col>16</xdr:col>
      <xdr:colOff>3841848</xdr:colOff>
      <xdr:row>8</xdr:row>
      <xdr:rowOff>177800</xdr:rowOff>
    </xdr:to>
    <xdr:sp macro="" textlink="">
      <xdr:nvSpPr>
        <xdr:cNvPr id="167948" name="Скругленный прямоугольник 167947">
          <a:extLst>
            <a:ext uri="{FF2B5EF4-FFF2-40B4-BE49-F238E27FC236}">
              <a16:creationId xmlns:a16="http://schemas.microsoft.com/office/drawing/2014/main" id="{00000000-0008-0000-0500-00000C900200}"/>
            </a:ext>
          </a:extLst>
        </xdr:cNvPr>
        <xdr:cNvSpPr/>
      </xdr:nvSpPr>
      <xdr:spPr>
        <a:xfrm>
          <a:off x="15377550" y="1765300"/>
          <a:ext cx="119922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D77C" mc:Ignorable="a14" a14:legacySpreadsheetColorIndex="5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ECCB" mc:Ignorable="a14" a14:legacySpreadsheetColorIndex="5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8700" mc:Ignorable="a14" a14:legacySpreadsheetColorIndex="5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1266</a:t>
          </a:r>
        </a:p>
      </xdr:txBody>
    </xdr:sp>
    <xdr:clientData/>
  </xdr:twoCellAnchor>
  <xdr:twoCellAnchor>
    <xdr:from>
      <xdr:col>16</xdr:col>
      <xdr:colOff>3876878</xdr:colOff>
      <xdr:row>8</xdr:row>
      <xdr:rowOff>12700</xdr:rowOff>
    </xdr:from>
    <xdr:to>
      <xdr:col>16</xdr:col>
      <xdr:colOff>5066427</xdr:colOff>
      <xdr:row>8</xdr:row>
      <xdr:rowOff>177800</xdr:rowOff>
    </xdr:to>
    <xdr:sp macro="" textlink="">
      <xdr:nvSpPr>
        <xdr:cNvPr id="167949" name="Скругленный прямоугольник 167948">
          <a:extLst>
            <a:ext uri="{FF2B5EF4-FFF2-40B4-BE49-F238E27FC236}">
              <a16:creationId xmlns:a16="http://schemas.microsoft.com/office/drawing/2014/main" id="{00000000-0008-0000-0500-00000D900200}"/>
            </a:ext>
          </a:extLst>
        </xdr:cNvPr>
        <xdr:cNvSpPr/>
      </xdr:nvSpPr>
      <xdr:spPr>
        <a:xfrm>
          <a:off x="16611803" y="1765300"/>
          <a:ext cx="118954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7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7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7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1256</a:t>
          </a:r>
        </a:p>
      </xdr:txBody>
    </xdr:sp>
    <xdr:clientData/>
  </xdr:twoCellAnchor>
  <xdr:twoCellAnchor>
    <xdr:from>
      <xdr:col>16</xdr:col>
      <xdr:colOff>5101459</xdr:colOff>
      <xdr:row>8</xdr:row>
      <xdr:rowOff>12700</xdr:rowOff>
    </xdr:from>
    <xdr:to>
      <xdr:col>16</xdr:col>
      <xdr:colOff>5758985</xdr:colOff>
      <xdr:row>8</xdr:row>
      <xdr:rowOff>177800</xdr:rowOff>
    </xdr:to>
    <xdr:sp macro="" textlink="">
      <xdr:nvSpPr>
        <xdr:cNvPr id="167950" name="Скругленный прямоугольник 167949">
          <a:extLst>
            <a:ext uri="{FF2B5EF4-FFF2-40B4-BE49-F238E27FC236}">
              <a16:creationId xmlns:a16="http://schemas.microsoft.com/office/drawing/2014/main" id="{00000000-0008-0000-0500-00000E900200}"/>
            </a:ext>
          </a:extLst>
        </xdr:cNvPr>
        <xdr:cNvSpPr/>
      </xdr:nvSpPr>
      <xdr:spPr>
        <a:xfrm>
          <a:off x="17836384" y="1765300"/>
          <a:ext cx="65752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706</a:t>
          </a:r>
        </a:p>
      </xdr:txBody>
    </xdr:sp>
    <xdr:clientData/>
  </xdr:twoCellAnchor>
  <xdr:twoCellAnchor>
    <xdr:from>
      <xdr:col>16</xdr:col>
      <xdr:colOff>0</xdr:colOff>
      <xdr:row>9</xdr:row>
      <xdr:rowOff>12700</xdr:rowOff>
    </xdr:from>
    <xdr:to>
      <xdr:col>16</xdr:col>
      <xdr:colOff>1334647</xdr:colOff>
      <xdr:row>9</xdr:row>
      <xdr:rowOff>177800</xdr:rowOff>
    </xdr:to>
    <xdr:sp macro="" textlink="">
      <xdr:nvSpPr>
        <xdr:cNvPr id="167951" name="Скругленный прямоугольник 167950">
          <a:extLst>
            <a:ext uri="{FF2B5EF4-FFF2-40B4-BE49-F238E27FC236}">
              <a16:creationId xmlns:a16="http://schemas.microsoft.com/office/drawing/2014/main" id="{00000000-0008-0000-0500-00000F900200}"/>
            </a:ext>
          </a:extLst>
        </xdr:cNvPr>
        <xdr:cNvSpPr/>
      </xdr:nvSpPr>
      <xdr:spPr>
        <a:xfrm>
          <a:off x="12734925" y="1955800"/>
          <a:ext cx="13346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6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6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1369678</xdr:colOff>
      <xdr:row>9</xdr:row>
      <xdr:rowOff>12700</xdr:rowOff>
    </xdr:from>
    <xdr:to>
      <xdr:col>16</xdr:col>
      <xdr:colOff>2684979</xdr:colOff>
      <xdr:row>9</xdr:row>
      <xdr:rowOff>177800</xdr:rowOff>
    </xdr:to>
    <xdr:sp macro="" textlink="">
      <xdr:nvSpPr>
        <xdr:cNvPr id="167952" name="Скругленный прямоугольник 167951">
          <a:extLst>
            <a:ext uri="{FF2B5EF4-FFF2-40B4-BE49-F238E27FC236}">
              <a16:creationId xmlns:a16="http://schemas.microsoft.com/office/drawing/2014/main" id="{00000000-0008-0000-0500-000010900200}"/>
            </a:ext>
          </a:extLst>
        </xdr:cNvPr>
        <xdr:cNvSpPr/>
      </xdr:nvSpPr>
      <xdr:spPr>
        <a:xfrm>
          <a:off x="14104603" y="1955800"/>
          <a:ext cx="131530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B4FF" mc:Ignorable="a14" a14:legacySpreadsheetColorIndex="2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DEFF" mc:Ignorable="a14" a14:legacySpreadsheetColorIndex="2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64AA" mc:Ignorable="a14" a14:legacySpreadsheetColorIndex="2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1386</a:t>
          </a:r>
        </a:p>
      </xdr:txBody>
    </xdr:sp>
    <xdr:clientData/>
  </xdr:twoCellAnchor>
  <xdr:twoCellAnchor>
    <xdr:from>
      <xdr:col>16</xdr:col>
      <xdr:colOff>2720009</xdr:colOff>
      <xdr:row>9</xdr:row>
      <xdr:rowOff>12700</xdr:rowOff>
    </xdr:from>
    <xdr:to>
      <xdr:col>16</xdr:col>
      <xdr:colOff>3957924</xdr:colOff>
      <xdr:row>9</xdr:row>
      <xdr:rowOff>177800</xdr:rowOff>
    </xdr:to>
    <xdr:sp macro="" textlink="">
      <xdr:nvSpPr>
        <xdr:cNvPr id="167953" name="Скругленный прямоугольник 167952">
          <a:extLst>
            <a:ext uri="{FF2B5EF4-FFF2-40B4-BE49-F238E27FC236}">
              <a16:creationId xmlns:a16="http://schemas.microsoft.com/office/drawing/2014/main" id="{00000000-0008-0000-0500-000011900200}"/>
            </a:ext>
          </a:extLst>
        </xdr:cNvPr>
        <xdr:cNvSpPr/>
      </xdr:nvSpPr>
      <xdr:spPr>
        <a:xfrm>
          <a:off x="15454934" y="19558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6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6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6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3992956</xdr:colOff>
      <xdr:row>9</xdr:row>
      <xdr:rowOff>12700</xdr:rowOff>
    </xdr:from>
    <xdr:to>
      <xdr:col>16</xdr:col>
      <xdr:colOff>5105121</xdr:colOff>
      <xdr:row>9</xdr:row>
      <xdr:rowOff>177800</xdr:rowOff>
    </xdr:to>
    <xdr:sp macro="" textlink="">
      <xdr:nvSpPr>
        <xdr:cNvPr id="167954" name="Скругленный прямоугольник 167953">
          <a:extLst>
            <a:ext uri="{FF2B5EF4-FFF2-40B4-BE49-F238E27FC236}">
              <a16:creationId xmlns:a16="http://schemas.microsoft.com/office/drawing/2014/main" id="{00000000-0008-0000-0500-000012900200}"/>
            </a:ext>
          </a:extLst>
        </xdr:cNvPr>
        <xdr:cNvSpPr/>
      </xdr:nvSpPr>
      <xdr:spPr>
        <a:xfrm>
          <a:off x="16727881" y="1955800"/>
          <a:ext cx="111216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3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3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3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1176</a:t>
          </a:r>
        </a:p>
      </xdr:txBody>
    </xdr:sp>
    <xdr:clientData/>
  </xdr:twoCellAnchor>
  <xdr:twoCellAnchor>
    <xdr:from>
      <xdr:col>16</xdr:col>
      <xdr:colOff>5140151</xdr:colOff>
      <xdr:row>9</xdr:row>
      <xdr:rowOff>12700</xdr:rowOff>
    </xdr:from>
    <xdr:to>
      <xdr:col>16</xdr:col>
      <xdr:colOff>5758985</xdr:colOff>
      <xdr:row>9</xdr:row>
      <xdr:rowOff>177800</xdr:rowOff>
    </xdr:to>
    <xdr:sp macro="" textlink="">
      <xdr:nvSpPr>
        <xdr:cNvPr id="167955" name="Скругленный прямоугольник 167954">
          <a:extLst>
            <a:ext uri="{FF2B5EF4-FFF2-40B4-BE49-F238E27FC236}">
              <a16:creationId xmlns:a16="http://schemas.microsoft.com/office/drawing/2014/main" id="{00000000-0008-0000-0500-000013900200}"/>
            </a:ext>
          </a:extLst>
        </xdr:cNvPr>
        <xdr:cNvSpPr/>
      </xdr:nvSpPr>
      <xdr:spPr>
        <a:xfrm>
          <a:off x="17875076" y="1955800"/>
          <a:ext cx="61883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48484" mc:Ignorable="a14" a14:legacySpreadsheetColorIndex="7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ECECE" mc:Ignorable="a14" a14:legacySpreadsheetColorIndex="7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212121" mc:Ignorable="a14" a14:legacySpreadsheetColorIndex="7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666</a:t>
          </a:r>
        </a:p>
      </xdr:txBody>
    </xdr:sp>
    <xdr:clientData/>
  </xdr:twoCellAnchor>
  <xdr:twoCellAnchor>
    <xdr:from>
      <xdr:col>16</xdr:col>
      <xdr:colOff>0</xdr:colOff>
      <xdr:row>10</xdr:row>
      <xdr:rowOff>12700</xdr:rowOff>
    </xdr:from>
    <xdr:to>
      <xdr:col>16</xdr:col>
      <xdr:colOff>1334647</xdr:colOff>
      <xdr:row>10</xdr:row>
      <xdr:rowOff>177800</xdr:rowOff>
    </xdr:to>
    <xdr:sp macro="" textlink="">
      <xdr:nvSpPr>
        <xdr:cNvPr id="167956" name="Скругленный прямоугольник 167955">
          <a:extLst>
            <a:ext uri="{FF2B5EF4-FFF2-40B4-BE49-F238E27FC236}">
              <a16:creationId xmlns:a16="http://schemas.microsoft.com/office/drawing/2014/main" id="{00000000-0008-0000-0500-000014900200}"/>
            </a:ext>
          </a:extLst>
        </xdr:cNvPr>
        <xdr:cNvSpPr/>
      </xdr:nvSpPr>
      <xdr:spPr>
        <a:xfrm>
          <a:off x="12734925" y="2146300"/>
          <a:ext cx="13346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6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6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1369678</xdr:colOff>
      <xdr:row>10</xdr:row>
      <xdr:rowOff>12700</xdr:rowOff>
    </xdr:from>
    <xdr:to>
      <xdr:col>16</xdr:col>
      <xdr:colOff>2684979</xdr:colOff>
      <xdr:row>10</xdr:row>
      <xdr:rowOff>177800</xdr:rowOff>
    </xdr:to>
    <xdr:sp macro="" textlink="">
      <xdr:nvSpPr>
        <xdr:cNvPr id="167957" name="Скругленный прямоугольник 167956">
          <a:extLst>
            <a:ext uri="{FF2B5EF4-FFF2-40B4-BE49-F238E27FC236}">
              <a16:creationId xmlns:a16="http://schemas.microsoft.com/office/drawing/2014/main" id="{00000000-0008-0000-0500-000015900200}"/>
            </a:ext>
          </a:extLst>
        </xdr:cNvPr>
        <xdr:cNvSpPr/>
      </xdr:nvSpPr>
      <xdr:spPr>
        <a:xfrm>
          <a:off x="14104603" y="2146300"/>
          <a:ext cx="131530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B4FF" mc:Ignorable="a14" a14:legacySpreadsheetColorIndex="2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DEFF" mc:Ignorable="a14" a14:legacySpreadsheetColorIndex="2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64AA" mc:Ignorable="a14" a14:legacySpreadsheetColorIndex="2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1386</a:t>
          </a:r>
        </a:p>
      </xdr:txBody>
    </xdr:sp>
    <xdr:clientData/>
  </xdr:twoCellAnchor>
  <xdr:twoCellAnchor>
    <xdr:from>
      <xdr:col>16</xdr:col>
      <xdr:colOff>2720009</xdr:colOff>
      <xdr:row>10</xdr:row>
      <xdr:rowOff>12700</xdr:rowOff>
    </xdr:from>
    <xdr:to>
      <xdr:col>16</xdr:col>
      <xdr:colOff>3986944</xdr:colOff>
      <xdr:row>10</xdr:row>
      <xdr:rowOff>177800</xdr:rowOff>
    </xdr:to>
    <xdr:sp macro="" textlink="">
      <xdr:nvSpPr>
        <xdr:cNvPr id="167958" name="Скругленный прямоугольник 167957">
          <a:extLst>
            <a:ext uri="{FF2B5EF4-FFF2-40B4-BE49-F238E27FC236}">
              <a16:creationId xmlns:a16="http://schemas.microsoft.com/office/drawing/2014/main" id="{00000000-0008-0000-0500-000016900200}"/>
            </a:ext>
          </a:extLst>
        </xdr:cNvPr>
        <xdr:cNvSpPr/>
      </xdr:nvSpPr>
      <xdr:spPr>
        <a:xfrm>
          <a:off x="15454934" y="21463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3F3F3" mc:Ignorable="a14" a14:legacySpreadsheetColorIndex="6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9F9F9" mc:Ignorable="a14" a14:legacySpreadsheetColorIndex="6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9F9F9F" mc:Ignorable="a14" a14:legacySpreadsheetColorIndex="6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4021976</xdr:colOff>
      <xdr:row>10</xdr:row>
      <xdr:rowOff>12700</xdr:rowOff>
    </xdr:from>
    <xdr:to>
      <xdr:col>16</xdr:col>
      <xdr:colOff>4940677</xdr:colOff>
      <xdr:row>10</xdr:row>
      <xdr:rowOff>177800</xdr:rowOff>
    </xdr:to>
    <xdr:sp macro="" textlink="">
      <xdr:nvSpPr>
        <xdr:cNvPr id="167959" name="Скругленный прямоугольник 167958">
          <a:extLst>
            <a:ext uri="{FF2B5EF4-FFF2-40B4-BE49-F238E27FC236}">
              <a16:creationId xmlns:a16="http://schemas.microsoft.com/office/drawing/2014/main" id="{00000000-0008-0000-0500-000017900200}"/>
            </a:ext>
          </a:extLst>
        </xdr:cNvPr>
        <xdr:cNvSpPr/>
      </xdr:nvSpPr>
      <xdr:spPr>
        <a:xfrm>
          <a:off x="16756901" y="2146300"/>
          <a:ext cx="91870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3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3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3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976</a:t>
          </a:r>
        </a:p>
      </xdr:txBody>
    </xdr:sp>
    <xdr:clientData/>
  </xdr:twoCellAnchor>
  <xdr:twoCellAnchor>
    <xdr:from>
      <xdr:col>16</xdr:col>
      <xdr:colOff>4975707</xdr:colOff>
      <xdr:row>10</xdr:row>
      <xdr:rowOff>12700</xdr:rowOff>
    </xdr:from>
    <xdr:to>
      <xdr:col>16</xdr:col>
      <xdr:colOff>5758983</xdr:colOff>
      <xdr:row>10</xdr:row>
      <xdr:rowOff>177800</xdr:rowOff>
    </xdr:to>
    <xdr:sp macro="" textlink="">
      <xdr:nvSpPr>
        <xdr:cNvPr id="167960" name="Скругленный прямоугольник 167959">
          <a:extLst>
            <a:ext uri="{FF2B5EF4-FFF2-40B4-BE49-F238E27FC236}">
              <a16:creationId xmlns:a16="http://schemas.microsoft.com/office/drawing/2014/main" id="{00000000-0008-0000-0500-000018900200}"/>
            </a:ext>
          </a:extLst>
        </xdr:cNvPr>
        <xdr:cNvSpPr/>
      </xdr:nvSpPr>
      <xdr:spPr>
        <a:xfrm>
          <a:off x="17710632" y="2146300"/>
          <a:ext cx="78327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D7FF" mc:Ignorable="a14" a14:legacySpreadsheetColorIndex="4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ECFF" mc:Ignorable="a14" a14:legacySpreadsheetColorIndex="4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87AA" mc:Ignorable="a14" a14:legacySpreadsheetColorIndex="4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836</a:t>
          </a:r>
        </a:p>
      </xdr:txBody>
    </xdr:sp>
    <xdr:clientData/>
  </xdr:twoCellAnchor>
  <xdr:twoCellAnchor>
    <xdr:from>
      <xdr:col>16</xdr:col>
      <xdr:colOff>0</xdr:colOff>
      <xdr:row>11</xdr:row>
      <xdr:rowOff>12700</xdr:rowOff>
    </xdr:from>
    <xdr:to>
      <xdr:col>16</xdr:col>
      <xdr:colOff>1334647</xdr:colOff>
      <xdr:row>11</xdr:row>
      <xdr:rowOff>177800</xdr:rowOff>
    </xdr:to>
    <xdr:sp macro="" textlink="">
      <xdr:nvSpPr>
        <xdr:cNvPr id="167961" name="Скругленный прямоугольник 167960">
          <a:extLst>
            <a:ext uri="{FF2B5EF4-FFF2-40B4-BE49-F238E27FC236}">
              <a16:creationId xmlns:a16="http://schemas.microsoft.com/office/drawing/2014/main" id="{00000000-0008-0000-0500-000019900200}"/>
            </a:ext>
          </a:extLst>
        </xdr:cNvPr>
        <xdr:cNvSpPr/>
      </xdr:nvSpPr>
      <xdr:spPr>
        <a:xfrm>
          <a:off x="12734925" y="2336800"/>
          <a:ext cx="13346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6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6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1369678</xdr:colOff>
      <xdr:row>11</xdr:row>
      <xdr:rowOff>12700</xdr:rowOff>
    </xdr:from>
    <xdr:to>
      <xdr:col>16</xdr:col>
      <xdr:colOff>2694651</xdr:colOff>
      <xdr:row>11</xdr:row>
      <xdr:rowOff>177800</xdr:rowOff>
    </xdr:to>
    <xdr:sp macro="" textlink="">
      <xdr:nvSpPr>
        <xdr:cNvPr id="167962" name="Скругленный прямоугольник 167961">
          <a:extLst>
            <a:ext uri="{FF2B5EF4-FFF2-40B4-BE49-F238E27FC236}">
              <a16:creationId xmlns:a16="http://schemas.microsoft.com/office/drawing/2014/main" id="{00000000-0008-0000-0500-00001A900200}"/>
            </a:ext>
          </a:extLst>
        </xdr:cNvPr>
        <xdr:cNvSpPr/>
      </xdr:nvSpPr>
      <xdr:spPr>
        <a:xfrm>
          <a:off x="14104603" y="2336800"/>
          <a:ext cx="132497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6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6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6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1396</a:t>
          </a:r>
        </a:p>
      </xdr:txBody>
    </xdr:sp>
    <xdr:clientData/>
  </xdr:twoCellAnchor>
  <xdr:twoCellAnchor>
    <xdr:from>
      <xdr:col>16</xdr:col>
      <xdr:colOff>2729683</xdr:colOff>
      <xdr:row>11</xdr:row>
      <xdr:rowOff>12700</xdr:rowOff>
    </xdr:from>
    <xdr:to>
      <xdr:col>16</xdr:col>
      <xdr:colOff>3735443</xdr:colOff>
      <xdr:row>11</xdr:row>
      <xdr:rowOff>177800</xdr:rowOff>
    </xdr:to>
    <xdr:sp macro="" textlink="">
      <xdr:nvSpPr>
        <xdr:cNvPr id="167963" name="Скругленный прямоугольник 167962">
          <a:extLst>
            <a:ext uri="{FF2B5EF4-FFF2-40B4-BE49-F238E27FC236}">
              <a16:creationId xmlns:a16="http://schemas.microsoft.com/office/drawing/2014/main" id="{00000000-0008-0000-0500-00001B900200}"/>
            </a:ext>
          </a:extLst>
        </xdr:cNvPr>
        <xdr:cNvSpPr/>
      </xdr:nvSpPr>
      <xdr:spPr>
        <a:xfrm>
          <a:off x="15464608" y="2336800"/>
          <a:ext cx="100576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1066</a:t>
          </a:r>
        </a:p>
      </xdr:txBody>
    </xdr:sp>
    <xdr:clientData/>
  </xdr:twoCellAnchor>
  <xdr:twoCellAnchor>
    <xdr:from>
      <xdr:col>16</xdr:col>
      <xdr:colOff>3770474</xdr:colOff>
      <xdr:row>11</xdr:row>
      <xdr:rowOff>12700</xdr:rowOff>
    </xdr:from>
    <xdr:to>
      <xdr:col>16</xdr:col>
      <xdr:colOff>4776232</xdr:colOff>
      <xdr:row>11</xdr:row>
      <xdr:rowOff>177800</xdr:rowOff>
    </xdr:to>
    <xdr:sp macro="" textlink="">
      <xdr:nvSpPr>
        <xdr:cNvPr id="167964" name="Скругленный прямоугольник 167963">
          <a:extLst>
            <a:ext uri="{FF2B5EF4-FFF2-40B4-BE49-F238E27FC236}">
              <a16:creationId xmlns:a16="http://schemas.microsoft.com/office/drawing/2014/main" id="{00000000-0008-0000-0500-00001C900200}"/>
            </a:ext>
          </a:extLst>
        </xdr:cNvPr>
        <xdr:cNvSpPr/>
      </xdr:nvSpPr>
      <xdr:spPr>
        <a:xfrm>
          <a:off x="16505399" y="2336800"/>
          <a:ext cx="100575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1066</a:t>
          </a:r>
        </a:p>
      </xdr:txBody>
    </xdr:sp>
    <xdr:clientData/>
  </xdr:twoCellAnchor>
  <xdr:twoCellAnchor>
    <xdr:from>
      <xdr:col>16</xdr:col>
      <xdr:colOff>4811264</xdr:colOff>
      <xdr:row>11</xdr:row>
      <xdr:rowOff>12700</xdr:rowOff>
    </xdr:from>
    <xdr:to>
      <xdr:col>16</xdr:col>
      <xdr:colOff>5758985</xdr:colOff>
      <xdr:row>11</xdr:row>
      <xdr:rowOff>177800</xdr:rowOff>
    </xdr:to>
    <xdr:sp macro="" textlink="">
      <xdr:nvSpPr>
        <xdr:cNvPr id="167965" name="Скругленный прямоугольник 167964">
          <a:extLst>
            <a:ext uri="{FF2B5EF4-FFF2-40B4-BE49-F238E27FC236}">
              <a16:creationId xmlns:a16="http://schemas.microsoft.com/office/drawing/2014/main" id="{00000000-0008-0000-0500-00001D900200}"/>
            </a:ext>
          </a:extLst>
        </xdr:cNvPr>
        <xdr:cNvSpPr/>
      </xdr:nvSpPr>
      <xdr:spPr>
        <a:xfrm>
          <a:off x="17546189" y="2336800"/>
          <a:ext cx="94772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3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3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3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1006</a:t>
          </a:r>
        </a:p>
      </xdr:txBody>
    </xdr:sp>
    <xdr:clientData/>
  </xdr:twoCellAnchor>
  <xdr:twoCellAnchor>
    <xdr:from>
      <xdr:col>16</xdr:col>
      <xdr:colOff>0</xdr:colOff>
      <xdr:row>12</xdr:row>
      <xdr:rowOff>12700</xdr:rowOff>
    </xdr:from>
    <xdr:to>
      <xdr:col>16</xdr:col>
      <xdr:colOff>1344321</xdr:colOff>
      <xdr:row>12</xdr:row>
      <xdr:rowOff>177800</xdr:rowOff>
    </xdr:to>
    <xdr:sp macro="" textlink="">
      <xdr:nvSpPr>
        <xdr:cNvPr id="167966" name="Скругленный прямоугольник 167965">
          <a:extLst>
            <a:ext uri="{FF2B5EF4-FFF2-40B4-BE49-F238E27FC236}">
              <a16:creationId xmlns:a16="http://schemas.microsoft.com/office/drawing/2014/main" id="{00000000-0008-0000-0500-00001E900200}"/>
            </a:ext>
          </a:extLst>
        </xdr:cNvPr>
        <xdr:cNvSpPr/>
      </xdr:nvSpPr>
      <xdr:spPr>
        <a:xfrm>
          <a:off x="12734925" y="2527300"/>
          <a:ext cx="134432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8383" mc:Ignorable="a14" a14:legacySpreadsheetColorIndex="6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CDCD" mc:Ignorable="a14" a14:legacySpreadsheetColorIndex="6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1E1E" mc:Ignorable="a14" a14:legacySpreadsheetColorIndex="6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1416</a:t>
          </a:r>
        </a:p>
      </xdr:txBody>
    </xdr:sp>
    <xdr:clientData/>
  </xdr:twoCellAnchor>
  <xdr:twoCellAnchor>
    <xdr:from>
      <xdr:col>16</xdr:col>
      <xdr:colOff>1379351</xdr:colOff>
      <xdr:row>12</xdr:row>
      <xdr:rowOff>12700</xdr:rowOff>
    </xdr:from>
    <xdr:to>
      <xdr:col>16</xdr:col>
      <xdr:colOff>2694653</xdr:colOff>
      <xdr:row>12</xdr:row>
      <xdr:rowOff>177800</xdr:rowOff>
    </xdr:to>
    <xdr:sp macro="" textlink="">
      <xdr:nvSpPr>
        <xdr:cNvPr id="167967" name="Скругленный прямоугольник 167966">
          <a:extLst>
            <a:ext uri="{FF2B5EF4-FFF2-40B4-BE49-F238E27FC236}">
              <a16:creationId xmlns:a16="http://schemas.microsoft.com/office/drawing/2014/main" id="{00000000-0008-0000-0500-00001F900200}"/>
            </a:ext>
          </a:extLst>
        </xdr:cNvPr>
        <xdr:cNvSpPr/>
      </xdr:nvSpPr>
      <xdr:spPr>
        <a:xfrm>
          <a:off x="14114276" y="2527300"/>
          <a:ext cx="131530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B4FF" mc:Ignorable="a14" a14:legacySpreadsheetColorIndex="2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DEFF" mc:Ignorable="a14" a14:legacySpreadsheetColorIndex="2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64AA" mc:Ignorable="a14" a14:legacySpreadsheetColorIndex="2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1386</a:t>
          </a:r>
        </a:p>
      </xdr:txBody>
    </xdr:sp>
    <xdr:clientData/>
  </xdr:twoCellAnchor>
  <xdr:twoCellAnchor>
    <xdr:from>
      <xdr:col>16</xdr:col>
      <xdr:colOff>2729683</xdr:colOff>
      <xdr:row>12</xdr:row>
      <xdr:rowOff>12700</xdr:rowOff>
    </xdr:from>
    <xdr:to>
      <xdr:col>16</xdr:col>
      <xdr:colOff>3928906</xdr:colOff>
      <xdr:row>12</xdr:row>
      <xdr:rowOff>177800</xdr:rowOff>
    </xdr:to>
    <xdr:sp macro="" textlink="">
      <xdr:nvSpPr>
        <xdr:cNvPr id="168402" name="Скругленный прямоугольник 168401">
          <a:extLst>
            <a:ext uri="{FF2B5EF4-FFF2-40B4-BE49-F238E27FC236}">
              <a16:creationId xmlns:a16="http://schemas.microsoft.com/office/drawing/2014/main" id="{00000000-0008-0000-0500-0000D2910200}"/>
            </a:ext>
          </a:extLst>
        </xdr:cNvPr>
        <xdr:cNvSpPr/>
      </xdr:nvSpPr>
      <xdr:spPr>
        <a:xfrm>
          <a:off x="15464608" y="2527300"/>
          <a:ext cx="119922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D77C" mc:Ignorable="a14" a14:legacySpreadsheetColorIndex="5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ECCB" mc:Ignorable="a14" a14:legacySpreadsheetColorIndex="5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8700" mc:Ignorable="a14" a14:legacySpreadsheetColorIndex="5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1266</a:t>
          </a:r>
        </a:p>
      </xdr:txBody>
    </xdr:sp>
    <xdr:clientData/>
  </xdr:twoCellAnchor>
  <xdr:twoCellAnchor>
    <xdr:from>
      <xdr:col>16</xdr:col>
      <xdr:colOff>3963936</xdr:colOff>
      <xdr:row>12</xdr:row>
      <xdr:rowOff>12700</xdr:rowOff>
    </xdr:from>
    <xdr:to>
      <xdr:col>16</xdr:col>
      <xdr:colOff>5076101</xdr:colOff>
      <xdr:row>12</xdr:row>
      <xdr:rowOff>177800</xdr:rowOff>
    </xdr:to>
    <xdr:sp macro="" textlink="">
      <xdr:nvSpPr>
        <xdr:cNvPr id="168403" name="Скругленный прямоугольник 168402">
          <a:extLst>
            <a:ext uri="{FF2B5EF4-FFF2-40B4-BE49-F238E27FC236}">
              <a16:creationId xmlns:a16="http://schemas.microsoft.com/office/drawing/2014/main" id="{00000000-0008-0000-0500-0000D3910200}"/>
            </a:ext>
          </a:extLst>
        </xdr:cNvPr>
        <xdr:cNvSpPr/>
      </xdr:nvSpPr>
      <xdr:spPr>
        <a:xfrm>
          <a:off x="16698861" y="2527300"/>
          <a:ext cx="111216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3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3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3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1176</a:t>
          </a:r>
        </a:p>
      </xdr:txBody>
    </xdr:sp>
    <xdr:clientData/>
  </xdr:twoCellAnchor>
  <xdr:twoCellAnchor>
    <xdr:from>
      <xdr:col>16</xdr:col>
      <xdr:colOff>5111131</xdr:colOff>
      <xdr:row>12</xdr:row>
      <xdr:rowOff>12700</xdr:rowOff>
    </xdr:from>
    <xdr:to>
      <xdr:col>16</xdr:col>
      <xdr:colOff>5758983</xdr:colOff>
      <xdr:row>12</xdr:row>
      <xdr:rowOff>177800</xdr:rowOff>
    </xdr:to>
    <xdr:sp macro="" textlink="">
      <xdr:nvSpPr>
        <xdr:cNvPr id="168404" name="Скругленный прямоугольник 168403">
          <a:extLst>
            <a:ext uri="{FF2B5EF4-FFF2-40B4-BE49-F238E27FC236}">
              <a16:creationId xmlns:a16="http://schemas.microsoft.com/office/drawing/2014/main" id="{00000000-0008-0000-0500-0000D4910200}"/>
            </a:ext>
          </a:extLst>
        </xdr:cNvPr>
        <xdr:cNvSpPr/>
      </xdr:nvSpPr>
      <xdr:spPr>
        <a:xfrm>
          <a:off x="17846056" y="2527300"/>
          <a:ext cx="64785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696</a:t>
          </a:r>
        </a:p>
      </xdr:txBody>
    </xdr:sp>
    <xdr:clientData/>
  </xdr:twoCellAnchor>
  <xdr:twoCellAnchor>
    <xdr:from>
      <xdr:col>16</xdr:col>
      <xdr:colOff>0</xdr:colOff>
      <xdr:row>13</xdr:row>
      <xdr:rowOff>12700</xdr:rowOff>
    </xdr:from>
    <xdr:to>
      <xdr:col>16</xdr:col>
      <xdr:colOff>1344321</xdr:colOff>
      <xdr:row>13</xdr:row>
      <xdr:rowOff>177800</xdr:rowOff>
    </xdr:to>
    <xdr:sp macro="" textlink="">
      <xdr:nvSpPr>
        <xdr:cNvPr id="168405" name="Скругленный прямоугольник 168404">
          <a:extLst>
            <a:ext uri="{FF2B5EF4-FFF2-40B4-BE49-F238E27FC236}">
              <a16:creationId xmlns:a16="http://schemas.microsoft.com/office/drawing/2014/main" id="{00000000-0008-0000-0500-0000D5910200}"/>
            </a:ext>
          </a:extLst>
        </xdr:cNvPr>
        <xdr:cNvSpPr/>
      </xdr:nvSpPr>
      <xdr:spPr>
        <a:xfrm>
          <a:off x="12734925" y="2717800"/>
          <a:ext cx="134432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8383" mc:Ignorable="a14" a14:legacySpreadsheetColorIndex="6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CDCD" mc:Ignorable="a14" a14:legacySpreadsheetColorIndex="6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1E1E" mc:Ignorable="a14" a14:legacySpreadsheetColorIndex="6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1416</a:t>
          </a:r>
        </a:p>
      </xdr:txBody>
    </xdr:sp>
    <xdr:clientData/>
  </xdr:twoCellAnchor>
  <xdr:twoCellAnchor>
    <xdr:from>
      <xdr:col>16</xdr:col>
      <xdr:colOff>1379351</xdr:colOff>
      <xdr:row>13</xdr:row>
      <xdr:rowOff>12700</xdr:rowOff>
    </xdr:from>
    <xdr:to>
      <xdr:col>16</xdr:col>
      <xdr:colOff>2704325</xdr:colOff>
      <xdr:row>13</xdr:row>
      <xdr:rowOff>177800</xdr:rowOff>
    </xdr:to>
    <xdr:sp macro="" textlink="">
      <xdr:nvSpPr>
        <xdr:cNvPr id="168406" name="Скругленный прямоугольник 168405">
          <a:extLst>
            <a:ext uri="{FF2B5EF4-FFF2-40B4-BE49-F238E27FC236}">
              <a16:creationId xmlns:a16="http://schemas.microsoft.com/office/drawing/2014/main" id="{00000000-0008-0000-0500-0000D6910200}"/>
            </a:ext>
          </a:extLst>
        </xdr:cNvPr>
        <xdr:cNvSpPr/>
      </xdr:nvSpPr>
      <xdr:spPr>
        <a:xfrm>
          <a:off x="14114276" y="2717800"/>
          <a:ext cx="132497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6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6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6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1396</a:t>
          </a:r>
        </a:p>
      </xdr:txBody>
    </xdr:sp>
    <xdr:clientData/>
  </xdr:twoCellAnchor>
  <xdr:twoCellAnchor>
    <xdr:from>
      <xdr:col>16</xdr:col>
      <xdr:colOff>2739357</xdr:colOff>
      <xdr:row>13</xdr:row>
      <xdr:rowOff>12700</xdr:rowOff>
    </xdr:from>
    <xdr:to>
      <xdr:col>16</xdr:col>
      <xdr:colOff>3996618</xdr:colOff>
      <xdr:row>13</xdr:row>
      <xdr:rowOff>177800</xdr:rowOff>
    </xdr:to>
    <xdr:sp macro="" textlink="">
      <xdr:nvSpPr>
        <xdr:cNvPr id="168407" name="Скругленный прямоугольник 168406">
          <a:extLst>
            <a:ext uri="{FF2B5EF4-FFF2-40B4-BE49-F238E27FC236}">
              <a16:creationId xmlns:a16="http://schemas.microsoft.com/office/drawing/2014/main" id="{00000000-0008-0000-0500-0000D7910200}"/>
            </a:ext>
          </a:extLst>
        </xdr:cNvPr>
        <xdr:cNvSpPr/>
      </xdr:nvSpPr>
      <xdr:spPr>
        <a:xfrm>
          <a:off x="15474282" y="2717800"/>
          <a:ext cx="12572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6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6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4031648</xdr:colOff>
      <xdr:row>13</xdr:row>
      <xdr:rowOff>12700</xdr:rowOff>
    </xdr:from>
    <xdr:to>
      <xdr:col>16</xdr:col>
      <xdr:colOff>5269564</xdr:colOff>
      <xdr:row>13</xdr:row>
      <xdr:rowOff>177800</xdr:rowOff>
    </xdr:to>
    <xdr:sp macro="" textlink="">
      <xdr:nvSpPr>
        <xdr:cNvPr id="168408" name="Скругленный прямоугольник 168407">
          <a:extLst>
            <a:ext uri="{FF2B5EF4-FFF2-40B4-BE49-F238E27FC236}">
              <a16:creationId xmlns:a16="http://schemas.microsoft.com/office/drawing/2014/main" id="{00000000-0008-0000-0500-0000D8910200}"/>
            </a:ext>
          </a:extLst>
        </xdr:cNvPr>
        <xdr:cNvSpPr/>
      </xdr:nvSpPr>
      <xdr:spPr>
        <a:xfrm>
          <a:off x="16766573" y="2717800"/>
          <a:ext cx="123791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6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6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6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5304596</xdr:colOff>
      <xdr:row>13</xdr:row>
      <xdr:rowOff>12700</xdr:rowOff>
    </xdr:from>
    <xdr:to>
      <xdr:col>16</xdr:col>
      <xdr:colOff>5758985</xdr:colOff>
      <xdr:row>13</xdr:row>
      <xdr:rowOff>177800</xdr:rowOff>
    </xdr:to>
    <xdr:sp macro="" textlink="">
      <xdr:nvSpPr>
        <xdr:cNvPr id="168409" name="Скругленный прямоугольник 168408">
          <a:extLst>
            <a:ext uri="{FF2B5EF4-FFF2-40B4-BE49-F238E27FC236}">
              <a16:creationId xmlns:a16="http://schemas.microsoft.com/office/drawing/2014/main" id="{00000000-0008-0000-0500-0000D9910200}"/>
            </a:ext>
          </a:extLst>
        </xdr:cNvPr>
        <xdr:cNvSpPr/>
      </xdr:nvSpPr>
      <xdr:spPr>
        <a:xfrm>
          <a:off x="18039521" y="2717800"/>
          <a:ext cx="4543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CFCFCF" mc:Ignorable="a14" a14:legacySpreadsheetColorIndex="2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8E8E8" mc:Ignorable="a14" a14:legacySpreadsheetColorIndex="2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7F7F7F" mc:Ignorable="a14" a14:legacySpreadsheetColorIndex="2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496</a:t>
          </a:r>
        </a:p>
      </xdr:txBody>
    </xdr:sp>
    <xdr:clientData/>
  </xdr:twoCellAnchor>
  <xdr:twoCellAnchor>
    <xdr:from>
      <xdr:col>16</xdr:col>
      <xdr:colOff>0</xdr:colOff>
      <xdr:row>14</xdr:row>
      <xdr:rowOff>12700</xdr:rowOff>
    </xdr:from>
    <xdr:to>
      <xdr:col>16</xdr:col>
      <xdr:colOff>1353993</xdr:colOff>
      <xdr:row>14</xdr:row>
      <xdr:rowOff>177800</xdr:rowOff>
    </xdr:to>
    <xdr:sp macro="" textlink="">
      <xdr:nvSpPr>
        <xdr:cNvPr id="168410" name="Скругленный прямоугольник 168409">
          <a:extLst>
            <a:ext uri="{FF2B5EF4-FFF2-40B4-BE49-F238E27FC236}">
              <a16:creationId xmlns:a16="http://schemas.microsoft.com/office/drawing/2014/main" id="{00000000-0008-0000-0500-0000DA910200}"/>
            </a:ext>
          </a:extLst>
        </xdr:cNvPr>
        <xdr:cNvSpPr/>
      </xdr:nvSpPr>
      <xdr:spPr>
        <a:xfrm>
          <a:off x="12734925" y="2908300"/>
          <a:ext cx="135399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7C96" mc:Ignorable="a14" a14:legacySpreadsheetColorIndex="2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CBD3" mc:Ignorable="a14" a14:legacySpreadsheetColorIndex="2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0041" mc:Ignorable="a14" a14:legacySpreadsheetColorIndex="2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1426</a:t>
          </a:r>
        </a:p>
      </xdr:txBody>
    </xdr:sp>
    <xdr:clientData/>
  </xdr:twoCellAnchor>
  <xdr:twoCellAnchor>
    <xdr:from>
      <xdr:col>16</xdr:col>
      <xdr:colOff>1389024</xdr:colOff>
      <xdr:row>14</xdr:row>
      <xdr:rowOff>12700</xdr:rowOff>
    </xdr:from>
    <xdr:to>
      <xdr:col>16</xdr:col>
      <xdr:colOff>2694651</xdr:colOff>
      <xdr:row>14</xdr:row>
      <xdr:rowOff>177800</xdr:rowOff>
    </xdr:to>
    <xdr:sp macro="" textlink="">
      <xdr:nvSpPr>
        <xdr:cNvPr id="168411" name="Скругленный прямоугольник 168410">
          <a:extLst>
            <a:ext uri="{FF2B5EF4-FFF2-40B4-BE49-F238E27FC236}">
              <a16:creationId xmlns:a16="http://schemas.microsoft.com/office/drawing/2014/main" id="{00000000-0008-0000-0500-0000DB910200}"/>
            </a:ext>
          </a:extLst>
        </xdr:cNvPr>
        <xdr:cNvSpPr/>
      </xdr:nvSpPr>
      <xdr:spPr>
        <a:xfrm>
          <a:off x="14123949" y="2908300"/>
          <a:ext cx="130562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59595" mc:Ignorable="a14" a14:legacySpreadsheetColorIndex="6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D3D3" mc:Ignorable="a14" a14:legacySpreadsheetColorIndex="6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04040" mc:Ignorable="a14" a14:legacySpreadsheetColorIndex="6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1376</a:t>
          </a:r>
        </a:p>
      </xdr:txBody>
    </xdr:sp>
    <xdr:clientData/>
  </xdr:twoCellAnchor>
  <xdr:twoCellAnchor>
    <xdr:from>
      <xdr:col>16</xdr:col>
      <xdr:colOff>2729683</xdr:colOff>
      <xdr:row>14</xdr:row>
      <xdr:rowOff>12700</xdr:rowOff>
    </xdr:from>
    <xdr:to>
      <xdr:col>16</xdr:col>
      <xdr:colOff>3832174</xdr:colOff>
      <xdr:row>14</xdr:row>
      <xdr:rowOff>177800</xdr:rowOff>
    </xdr:to>
    <xdr:sp macro="" textlink="">
      <xdr:nvSpPr>
        <xdr:cNvPr id="168412" name="Скругленный прямоугольник 168411">
          <a:extLst>
            <a:ext uri="{FF2B5EF4-FFF2-40B4-BE49-F238E27FC236}">
              <a16:creationId xmlns:a16="http://schemas.microsoft.com/office/drawing/2014/main" id="{00000000-0008-0000-0500-0000DC910200}"/>
            </a:ext>
          </a:extLst>
        </xdr:cNvPr>
        <xdr:cNvSpPr/>
      </xdr:nvSpPr>
      <xdr:spPr>
        <a:xfrm>
          <a:off x="15464608" y="29083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3867204</xdr:colOff>
      <xdr:row>14</xdr:row>
      <xdr:rowOff>12700</xdr:rowOff>
    </xdr:from>
    <xdr:to>
      <xdr:col>16</xdr:col>
      <xdr:colOff>4969695</xdr:colOff>
      <xdr:row>14</xdr:row>
      <xdr:rowOff>177800</xdr:rowOff>
    </xdr:to>
    <xdr:sp macro="" textlink="">
      <xdr:nvSpPr>
        <xdr:cNvPr id="168413" name="Скругленный прямоугольник 168412">
          <a:extLst>
            <a:ext uri="{FF2B5EF4-FFF2-40B4-BE49-F238E27FC236}">
              <a16:creationId xmlns:a16="http://schemas.microsoft.com/office/drawing/2014/main" id="{00000000-0008-0000-0500-0000DD910200}"/>
            </a:ext>
          </a:extLst>
        </xdr:cNvPr>
        <xdr:cNvSpPr/>
      </xdr:nvSpPr>
      <xdr:spPr>
        <a:xfrm>
          <a:off x="16602129" y="29083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5004727</xdr:colOff>
      <xdr:row>14</xdr:row>
      <xdr:rowOff>12700</xdr:rowOff>
    </xdr:from>
    <xdr:to>
      <xdr:col>16</xdr:col>
      <xdr:colOff>5758985</xdr:colOff>
      <xdr:row>14</xdr:row>
      <xdr:rowOff>177800</xdr:rowOff>
    </xdr:to>
    <xdr:sp macro="" textlink="">
      <xdr:nvSpPr>
        <xdr:cNvPr id="168414" name="Скругленный прямоугольник 168413">
          <a:extLst>
            <a:ext uri="{FF2B5EF4-FFF2-40B4-BE49-F238E27FC236}">
              <a16:creationId xmlns:a16="http://schemas.microsoft.com/office/drawing/2014/main" id="{00000000-0008-0000-0500-0000DE910200}"/>
            </a:ext>
          </a:extLst>
        </xdr:cNvPr>
        <xdr:cNvSpPr/>
      </xdr:nvSpPr>
      <xdr:spPr>
        <a:xfrm>
          <a:off x="17739652" y="2908300"/>
          <a:ext cx="75425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D7FF" mc:Ignorable="a14" a14:legacySpreadsheetColorIndex="4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ECFF" mc:Ignorable="a14" a14:legacySpreadsheetColorIndex="4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87AA" mc:Ignorable="a14" a14:legacySpreadsheetColorIndex="4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806</a:t>
          </a:r>
        </a:p>
      </xdr:txBody>
    </xdr:sp>
    <xdr:clientData/>
  </xdr:twoCellAnchor>
  <xdr:twoCellAnchor>
    <xdr:from>
      <xdr:col>16</xdr:col>
      <xdr:colOff>0</xdr:colOff>
      <xdr:row>15</xdr:row>
      <xdr:rowOff>12700</xdr:rowOff>
    </xdr:from>
    <xdr:to>
      <xdr:col>16</xdr:col>
      <xdr:colOff>1353993</xdr:colOff>
      <xdr:row>15</xdr:row>
      <xdr:rowOff>177800</xdr:rowOff>
    </xdr:to>
    <xdr:sp macro="" textlink="">
      <xdr:nvSpPr>
        <xdr:cNvPr id="168415" name="Скругленный прямоугольник 168414">
          <a:extLst>
            <a:ext uri="{FF2B5EF4-FFF2-40B4-BE49-F238E27FC236}">
              <a16:creationId xmlns:a16="http://schemas.microsoft.com/office/drawing/2014/main" id="{00000000-0008-0000-0500-0000DF910200}"/>
            </a:ext>
          </a:extLst>
        </xdr:cNvPr>
        <xdr:cNvSpPr/>
      </xdr:nvSpPr>
      <xdr:spPr>
        <a:xfrm>
          <a:off x="12734925" y="3098800"/>
          <a:ext cx="135399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7C96" mc:Ignorable="a14" a14:legacySpreadsheetColorIndex="2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CBD3" mc:Ignorable="a14" a14:legacySpreadsheetColorIndex="2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0041" mc:Ignorable="a14" a14:legacySpreadsheetColorIndex="2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1426</a:t>
          </a:r>
        </a:p>
      </xdr:txBody>
    </xdr:sp>
    <xdr:clientData/>
  </xdr:twoCellAnchor>
  <xdr:twoCellAnchor>
    <xdr:from>
      <xdr:col>16</xdr:col>
      <xdr:colOff>1389024</xdr:colOff>
      <xdr:row>15</xdr:row>
      <xdr:rowOff>12700</xdr:rowOff>
    </xdr:from>
    <xdr:to>
      <xdr:col>16</xdr:col>
      <xdr:colOff>2704325</xdr:colOff>
      <xdr:row>15</xdr:row>
      <xdr:rowOff>177800</xdr:rowOff>
    </xdr:to>
    <xdr:sp macro="" textlink="">
      <xdr:nvSpPr>
        <xdr:cNvPr id="168160" name="Скругленный прямоугольник 168159">
          <a:extLst>
            <a:ext uri="{FF2B5EF4-FFF2-40B4-BE49-F238E27FC236}">
              <a16:creationId xmlns:a16="http://schemas.microsoft.com/office/drawing/2014/main" id="{00000000-0008-0000-0500-0000E0900200}"/>
            </a:ext>
          </a:extLst>
        </xdr:cNvPr>
        <xdr:cNvSpPr/>
      </xdr:nvSpPr>
      <xdr:spPr>
        <a:xfrm>
          <a:off x="14123949" y="3098800"/>
          <a:ext cx="131530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B4FF" mc:Ignorable="a14" a14:legacySpreadsheetColorIndex="2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DEFF" mc:Ignorable="a14" a14:legacySpreadsheetColorIndex="2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64AA" mc:Ignorable="a14" a14:legacySpreadsheetColorIndex="2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1386</a:t>
          </a:r>
        </a:p>
      </xdr:txBody>
    </xdr:sp>
    <xdr:clientData/>
  </xdr:twoCellAnchor>
  <xdr:twoCellAnchor>
    <xdr:from>
      <xdr:col>16</xdr:col>
      <xdr:colOff>2739357</xdr:colOff>
      <xdr:row>15</xdr:row>
      <xdr:rowOff>12700</xdr:rowOff>
    </xdr:from>
    <xdr:to>
      <xdr:col>16</xdr:col>
      <xdr:colOff>3977272</xdr:colOff>
      <xdr:row>15</xdr:row>
      <xdr:rowOff>177800</xdr:rowOff>
    </xdr:to>
    <xdr:sp macro="" textlink="">
      <xdr:nvSpPr>
        <xdr:cNvPr id="168161" name="Скругленный прямоугольник 168160">
          <a:extLst>
            <a:ext uri="{FF2B5EF4-FFF2-40B4-BE49-F238E27FC236}">
              <a16:creationId xmlns:a16="http://schemas.microsoft.com/office/drawing/2014/main" id="{00000000-0008-0000-0500-0000E1900200}"/>
            </a:ext>
          </a:extLst>
        </xdr:cNvPr>
        <xdr:cNvSpPr/>
      </xdr:nvSpPr>
      <xdr:spPr>
        <a:xfrm>
          <a:off x="15474282" y="30988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6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6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6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4012302</xdr:colOff>
      <xdr:row>15</xdr:row>
      <xdr:rowOff>12700</xdr:rowOff>
    </xdr:from>
    <xdr:to>
      <xdr:col>16</xdr:col>
      <xdr:colOff>5085773</xdr:colOff>
      <xdr:row>15</xdr:row>
      <xdr:rowOff>177800</xdr:rowOff>
    </xdr:to>
    <xdr:sp macro="" textlink="">
      <xdr:nvSpPr>
        <xdr:cNvPr id="168162" name="Скругленный прямоугольник 168161">
          <a:extLst>
            <a:ext uri="{FF2B5EF4-FFF2-40B4-BE49-F238E27FC236}">
              <a16:creationId xmlns:a16="http://schemas.microsoft.com/office/drawing/2014/main" id="{00000000-0008-0000-0500-0000E2900200}"/>
            </a:ext>
          </a:extLst>
        </xdr:cNvPr>
        <xdr:cNvSpPr/>
      </xdr:nvSpPr>
      <xdr:spPr>
        <a:xfrm>
          <a:off x="16747227" y="3098800"/>
          <a:ext cx="107347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1136</a:t>
          </a:r>
        </a:p>
      </xdr:txBody>
    </xdr:sp>
    <xdr:clientData/>
  </xdr:twoCellAnchor>
  <xdr:twoCellAnchor>
    <xdr:from>
      <xdr:col>16</xdr:col>
      <xdr:colOff>5120805</xdr:colOff>
      <xdr:row>15</xdr:row>
      <xdr:rowOff>12700</xdr:rowOff>
    </xdr:from>
    <xdr:to>
      <xdr:col>16</xdr:col>
      <xdr:colOff>5758985</xdr:colOff>
      <xdr:row>15</xdr:row>
      <xdr:rowOff>177800</xdr:rowOff>
    </xdr:to>
    <xdr:sp macro="" textlink="">
      <xdr:nvSpPr>
        <xdr:cNvPr id="168163" name="Скругленный прямоугольник 168162">
          <a:extLst>
            <a:ext uri="{FF2B5EF4-FFF2-40B4-BE49-F238E27FC236}">
              <a16:creationId xmlns:a16="http://schemas.microsoft.com/office/drawing/2014/main" id="{00000000-0008-0000-0500-0000E3900200}"/>
            </a:ext>
          </a:extLst>
        </xdr:cNvPr>
        <xdr:cNvSpPr/>
      </xdr:nvSpPr>
      <xdr:spPr>
        <a:xfrm>
          <a:off x="17855730" y="3098800"/>
          <a:ext cx="63818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686</a:t>
          </a:r>
        </a:p>
      </xdr:txBody>
    </xdr:sp>
    <xdr:clientData/>
  </xdr:twoCellAnchor>
  <xdr:twoCellAnchor>
    <xdr:from>
      <xdr:col>16</xdr:col>
      <xdr:colOff>0</xdr:colOff>
      <xdr:row>16</xdr:row>
      <xdr:rowOff>12700</xdr:rowOff>
    </xdr:from>
    <xdr:to>
      <xdr:col>16</xdr:col>
      <xdr:colOff>1353993</xdr:colOff>
      <xdr:row>16</xdr:row>
      <xdr:rowOff>177800</xdr:rowOff>
    </xdr:to>
    <xdr:sp macro="" textlink="">
      <xdr:nvSpPr>
        <xdr:cNvPr id="168164" name="Скругленный прямоугольник 168163">
          <a:extLst>
            <a:ext uri="{FF2B5EF4-FFF2-40B4-BE49-F238E27FC236}">
              <a16:creationId xmlns:a16="http://schemas.microsoft.com/office/drawing/2014/main" id="{00000000-0008-0000-0500-0000E4900200}"/>
            </a:ext>
          </a:extLst>
        </xdr:cNvPr>
        <xdr:cNvSpPr/>
      </xdr:nvSpPr>
      <xdr:spPr>
        <a:xfrm>
          <a:off x="12734925" y="3289300"/>
          <a:ext cx="135399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7C96" mc:Ignorable="a14" a14:legacySpreadsheetColorIndex="2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CBD3" mc:Ignorable="a14" a14:legacySpreadsheetColorIndex="2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0041" mc:Ignorable="a14" a14:legacySpreadsheetColorIndex="2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1426</a:t>
          </a:r>
        </a:p>
      </xdr:txBody>
    </xdr:sp>
    <xdr:clientData/>
  </xdr:twoCellAnchor>
  <xdr:twoCellAnchor>
    <xdr:from>
      <xdr:col>16</xdr:col>
      <xdr:colOff>1389024</xdr:colOff>
      <xdr:row>16</xdr:row>
      <xdr:rowOff>12700</xdr:rowOff>
    </xdr:from>
    <xdr:to>
      <xdr:col>16</xdr:col>
      <xdr:colOff>2713997</xdr:colOff>
      <xdr:row>16</xdr:row>
      <xdr:rowOff>177800</xdr:rowOff>
    </xdr:to>
    <xdr:sp macro="" textlink="">
      <xdr:nvSpPr>
        <xdr:cNvPr id="168165" name="Скругленный прямоугольник 168164">
          <a:extLst>
            <a:ext uri="{FF2B5EF4-FFF2-40B4-BE49-F238E27FC236}">
              <a16:creationId xmlns:a16="http://schemas.microsoft.com/office/drawing/2014/main" id="{00000000-0008-0000-0500-0000E5900200}"/>
            </a:ext>
          </a:extLst>
        </xdr:cNvPr>
        <xdr:cNvSpPr/>
      </xdr:nvSpPr>
      <xdr:spPr>
        <a:xfrm>
          <a:off x="14123949" y="3289300"/>
          <a:ext cx="132497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6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6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6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1396</a:t>
          </a:r>
        </a:p>
      </xdr:txBody>
    </xdr:sp>
    <xdr:clientData/>
  </xdr:twoCellAnchor>
  <xdr:twoCellAnchor>
    <xdr:from>
      <xdr:col>16</xdr:col>
      <xdr:colOff>2749029</xdr:colOff>
      <xdr:row>16</xdr:row>
      <xdr:rowOff>12700</xdr:rowOff>
    </xdr:from>
    <xdr:to>
      <xdr:col>16</xdr:col>
      <xdr:colOff>3861194</xdr:colOff>
      <xdr:row>16</xdr:row>
      <xdr:rowOff>177800</xdr:rowOff>
    </xdr:to>
    <xdr:sp macro="" textlink="">
      <xdr:nvSpPr>
        <xdr:cNvPr id="168166" name="Скругленный прямоугольник 168165">
          <a:extLst>
            <a:ext uri="{FF2B5EF4-FFF2-40B4-BE49-F238E27FC236}">
              <a16:creationId xmlns:a16="http://schemas.microsoft.com/office/drawing/2014/main" id="{00000000-0008-0000-0500-0000E6900200}"/>
            </a:ext>
          </a:extLst>
        </xdr:cNvPr>
        <xdr:cNvSpPr/>
      </xdr:nvSpPr>
      <xdr:spPr>
        <a:xfrm>
          <a:off x="15483954" y="3289300"/>
          <a:ext cx="111216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3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3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3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1176</a:t>
          </a:r>
        </a:p>
      </xdr:txBody>
    </xdr:sp>
    <xdr:clientData/>
  </xdr:twoCellAnchor>
  <xdr:twoCellAnchor>
    <xdr:from>
      <xdr:col>16</xdr:col>
      <xdr:colOff>3896224</xdr:colOff>
      <xdr:row>16</xdr:row>
      <xdr:rowOff>12700</xdr:rowOff>
    </xdr:from>
    <xdr:to>
      <xdr:col>16</xdr:col>
      <xdr:colOff>4969697</xdr:colOff>
      <xdr:row>16</xdr:row>
      <xdr:rowOff>177800</xdr:rowOff>
    </xdr:to>
    <xdr:sp macro="" textlink="">
      <xdr:nvSpPr>
        <xdr:cNvPr id="168167" name="Скругленный прямоугольник 168166">
          <a:extLst>
            <a:ext uri="{FF2B5EF4-FFF2-40B4-BE49-F238E27FC236}">
              <a16:creationId xmlns:a16="http://schemas.microsoft.com/office/drawing/2014/main" id="{00000000-0008-0000-0500-0000E7900200}"/>
            </a:ext>
          </a:extLst>
        </xdr:cNvPr>
        <xdr:cNvSpPr/>
      </xdr:nvSpPr>
      <xdr:spPr>
        <a:xfrm>
          <a:off x="16631149" y="3289300"/>
          <a:ext cx="107347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1136</a:t>
          </a:r>
        </a:p>
      </xdr:txBody>
    </xdr:sp>
    <xdr:clientData/>
  </xdr:twoCellAnchor>
  <xdr:twoCellAnchor>
    <xdr:from>
      <xdr:col>16</xdr:col>
      <xdr:colOff>5004727</xdr:colOff>
      <xdr:row>16</xdr:row>
      <xdr:rowOff>12700</xdr:rowOff>
    </xdr:from>
    <xdr:to>
      <xdr:col>16</xdr:col>
      <xdr:colOff>5758985</xdr:colOff>
      <xdr:row>16</xdr:row>
      <xdr:rowOff>177800</xdr:rowOff>
    </xdr:to>
    <xdr:sp macro="" textlink="">
      <xdr:nvSpPr>
        <xdr:cNvPr id="168168" name="Скругленный прямоугольник 168167">
          <a:extLst>
            <a:ext uri="{FF2B5EF4-FFF2-40B4-BE49-F238E27FC236}">
              <a16:creationId xmlns:a16="http://schemas.microsoft.com/office/drawing/2014/main" id="{00000000-0008-0000-0500-0000E8900200}"/>
            </a:ext>
          </a:extLst>
        </xdr:cNvPr>
        <xdr:cNvSpPr/>
      </xdr:nvSpPr>
      <xdr:spPr>
        <a:xfrm>
          <a:off x="17739652" y="3289300"/>
          <a:ext cx="75425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D7FF" mc:Ignorable="a14" a14:legacySpreadsheetColorIndex="4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ECFF" mc:Ignorable="a14" a14:legacySpreadsheetColorIndex="4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87AA" mc:Ignorable="a14" a14:legacySpreadsheetColorIndex="4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806</a:t>
          </a:r>
        </a:p>
      </xdr:txBody>
    </xdr:sp>
    <xdr:clientData/>
  </xdr:twoCellAnchor>
  <xdr:twoCellAnchor>
    <xdr:from>
      <xdr:col>16</xdr:col>
      <xdr:colOff>0</xdr:colOff>
      <xdr:row>17</xdr:row>
      <xdr:rowOff>12700</xdr:rowOff>
    </xdr:from>
    <xdr:to>
      <xdr:col>16</xdr:col>
      <xdr:colOff>1353993</xdr:colOff>
      <xdr:row>17</xdr:row>
      <xdr:rowOff>177800</xdr:rowOff>
    </xdr:to>
    <xdr:sp macro="" textlink="">
      <xdr:nvSpPr>
        <xdr:cNvPr id="168169" name="Скругленный прямоугольник 168168">
          <a:extLst>
            <a:ext uri="{FF2B5EF4-FFF2-40B4-BE49-F238E27FC236}">
              <a16:creationId xmlns:a16="http://schemas.microsoft.com/office/drawing/2014/main" id="{00000000-0008-0000-0500-0000E9900200}"/>
            </a:ext>
          </a:extLst>
        </xdr:cNvPr>
        <xdr:cNvSpPr/>
      </xdr:nvSpPr>
      <xdr:spPr>
        <a:xfrm>
          <a:off x="12734925" y="3479800"/>
          <a:ext cx="135399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7C96" mc:Ignorable="a14" a14:legacySpreadsheetColorIndex="2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CBD3" mc:Ignorable="a14" a14:legacySpreadsheetColorIndex="2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0041" mc:Ignorable="a14" a14:legacySpreadsheetColorIndex="2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1426</a:t>
          </a:r>
        </a:p>
      </xdr:txBody>
    </xdr:sp>
    <xdr:clientData/>
  </xdr:twoCellAnchor>
  <xdr:twoCellAnchor>
    <xdr:from>
      <xdr:col>16</xdr:col>
      <xdr:colOff>1389024</xdr:colOff>
      <xdr:row>17</xdr:row>
      <xdr:rowOff>12700</xdr:rowOff>
    </xdr:from>
    <xdr:to>
      <xdr:col>16</xdr:col>
      <xdr:colOff>2713997</xdr:colOff>
      <xdr:row>17</xdr:row>
      <xdr:rowOff>177800</xdr:rowOff>
    </xdr:to>
    <xdr:sp macro="" textlink="">
      <xdr:nvSpPr>
        <xdr:cNvPr id="168170" name="Скругленный прямоугольник 168169">
          <a:extLst>
            <a:ext uri="{FF2B5EF4-FFF2-40B4-BE49-F238E27FC236}">
              <a16:creationId xmlns:a16="http://schemas.microsoft.com/office/drawing/2014/main" id="{00000000-0008-0000-0500-0000EA900200}"/>
            </a:ext>
          </a:extLst>
        </xdr:cNvPr>
        <xdr:cNvSpPr/>
      </xdr:nvSpPr>
      <xdr:spPr>
        <a:xfrm>
          <a:off x="14123949" y="3479800"/>
          <a:ext cx="132497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6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6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6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1396</a:t>
          </a:r>
        </a:p>
      </xdr:txBody>
    </xdr:sp>
    <xdr:clientData/>
  </xdr:twoCellAnchor>
  <xdr:twoCellAnchor>
    <xdr:from>
      <xdr:col>16</xdr:col>
      <xdr:colOff>2749029</xdr:colOff>
      <xdr:row>17</xdr:row>
      <xdr:rowOff>12700</xdr:rowOff>
    </xdr:from>
    <xdr:to>
      <xdr:col>16</xdr:col>
      <xdr:colOff>3996618</xdr:colOff>
      <xdr:row>17</xdr:row>
      <xdr:rowOff>177800</xdr:rowOff>
    </xdr:to>
    <xdr:sp macro="" textlink="">
      <xdr:nvSpPr>
        <xdr:cNvPr id="168171" name="Скругленный прямоугольник 168170">
          <a:extLst>
            <a:ext uri="{FF2B5EF4-FFF2-40B4-BE49-F238E27FC236}">
              <a16:creationId xmlns:a16="http://schemas.microsoft.com/office/drawing/2014/main" id="{00000000-0008-0000-0500-0000EB900200}"/>
            </a:ext>
          </a:extLst>
        </xdr:cNvPr>
        <xdr:cNvSpPr/>
      </xdr:nvSpPr>
      <xdr:spPr>
        <a:xfrm>
          <a:off x="15483954" y="3479800"/>
          <a:ext cx="12475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1316</a:t>
          </a:r>
        </a:p>
      </xdr:txBody>
    </xdr:sp>
    <xdr:clientData/>
  </xdr:twoCellAnchor>
  <xdr:twoCellAnchor>
    <xdr:from>
      <xdr:col>16</xdr:col>
      <xdr:colOff>4031648</xdr:colOff>
      <xdr:row>17</xdr:row>
      <xdr:rowOff>12700</xdr:rowOff>
    </xdr:from>
    <xdr:to>
      <xdr:col>16</xdr:col>
      <xdr:colOff>5085773</xdr:colOff>
      <xdr:row>17</xdr:row>
      <xdr:rowOff>177800</xdr:rowOff>
    </xdr:to>
    <xdr:sp macro="" textlink="">
      <xdr:nvSpPr>
        <xdr:cNvPr id="168172" name="Скругленный прямоугольник 168171">
          <a:extLst>
            <a:ext uri="{FF2B5EF4-FFF2-40B4-BE49-F238E27FC236}">
              <a16:creationId xmlns:a16="http://schemas.microsoft.com/office/drawing/2014/main" id="{00000000-0008-0000-0500-0000EC900200}"/>
            </a:ext>
          </a:extLst>
        </xdr:cNvPr>
        <xdr:cNvSpPr/>
      </xdr:nvSpPr>
      <xdr:spPr>
        <a:xfrm>
          <a:off x="16766573" y="3479800"/>
          <a:ext cx="10541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A4" mc:Ignorable="a14" a14:legacySpreadsheetColorIndex="3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D8" mc:Ignorable="a14" a14:legacySpreadsheetColorIndex="3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53" mc:Ignorable="a14" a14:legacySpreadsheetColorIndex="3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1116</a:t>
          </a:r>
        </a:p>
      </xdr:txBody>
    </xdr:sp>
    <xdr:clientData/>
  </xdr:twoCellAnchor>
  <xdr:twoCellAnchor>
    <xdr:from>
      <xdr:col>16</xdr:col>
      <xdr:colOff>5120805</xdr:colOff>
      <xdr:row>17</xdr:row>
      <xdr:rowOff>12700</xdr:rowOff>
    </xdr:from>
    <xdr:to>
      <xdr:col>16</xdr:col>
      <xdr:colOff>5758985</xdr:colOff>
      <xdr:row>17</xdr:row>
      <xdr:rowOff>177800</xdr:rowOff>
    </xdr:to>
    <xdr:sp macro="" textlink="">
      <xdr:nvSpPr>
        <xdr:cNvPr id="168173" name="Скругленный прямоугольник 168172">
          <a:extLst>
            <a:ext uri="{FF2B5EF4-FFF2-40B4-BE49-F238E27FC236}">
              <a16:creationId xmlns:a16="http://schemas.microsoft.com/office/drawing/2014/main" id="{00000000-0008-0000-0500-0000ED900200}"/>
            </a:ext>
          </a:extLst>
        </xdr:cNvPr>
        <xdr:cNvSpPr/>
      </xdr:nvSpPr>
      <xdr:spPr>
        <a:xfrm>
          <a:off x="17855730" y="3479800"/>
          <a:ext cx="63818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686</a:t>
          </a:r>
        </a:p>
      </xdr:txBody>
    </xdr:sp>
    <xdr:clientData/>
  </xdr:twoCellAnchor>
  <xdr:twoCellAnchor>
    <xdr:from>
      <xdr:col>16</xdr:col>
      <xdr:colOff>0</xdr:colOff>
      <xdr:row>18</xdr:row>
      <xdr:rowOff>12700</xdr:rowOff>
    </xdr:from>
    <xdr:to>
      <xdr:col>16</xdr:col>
      <xdr:colOff>1353993</xdr:colOff>
      <xdr:row>18</xdr:row>
      <xdr:rowOff>177800</xdr:rowOff>
    </xdr:to>
    <xdr:sp macro="" textlink="">
      <xdr:nvSpPr>
        <xdr:cNvPr id="168174" name="Скругленный прямоугольник 168173">
          <a:extLst>
            <a:ext uri="{FF2B5EF4-FFF2-40B4-BE49-F238E27FC236}">
              <a16:creationId xmlns:a16="http://schemas.microsoft.com/office/drawing/2014/main" id="{00000000-0008-0000-0500-0000EE900200}"/>
            </a:ext>
          </a:extLst>
        </xdr:cNvPr>
        <xdr:cNvSpPr/>
      </xdr:nvSpPr>
      <xdr:spPr>
        <a:xfrm>
          <a:off x="12734925" y="3670300"/>
          <a:ext cx="135399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7C96" mc:Ignorable="a14" a14:legacySpreadsheetColorIndex="2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CBD3" mc:Ignorable="a14" a14:legacySpreadsheetColorIndex="2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0041" mc:Ignorable="a14" a14:legacySpreadsheetColorIndex="2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1426</a:t>
          </a:r>
        </a:p>
      </xdr:txBody>
    </xdr:sp>
    <xdr:clientData/>
  </xdr:twoCellAnchor>
  <xdr:twoCellAnchor>
    <xdr:from>
      <xdr:col>16</xdr:col>
      <xdr:colOff>1389024</xdr:colOff>
      <xdr:row>18</xdr:row>
      <xdr:rowOff>12700</xdr:rowOff>
    </xdr:from>
    <xdr:to>
      <xdr:col>16</xdr:col>
      <xdr:colOff>2723671</xdr:colOff>
      <xdr:row>18</xdr:row>
      <xdr:rowOff>177800</xdr:rowOff>
    </xdr:to>
    <xdr:sp macro="" textlink="">
      <xdr:nvSpPr>
        <xdr:cNvPr id="168175" name="Скругленный прямоугольник 168174">
          <a:extLst>
            <a:ext uri="{FF2B5EF4-FFF2-40B4-BE49-F238E27FC236}">
              <a16:creationId xmlns:a16="http://schemas.microsoft.com/office/drawing/2014/main" id="{00000000-0008-0000-0500-0000EF900200}"/>
            </a:ext>
          </a:extLst>
        </xdr:cNvPr>
        <xdr:cNvSpPr/>
      </xdr:nvSpPr>
      <xdr:spPr>
        <a:xfrm>
          <a:off x="14123949" y="3670300"/>
          <a:ext cx="13346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6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6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2758703</xdr:colOff>
      <xdr:row>18</xdr:row>
      <xdr:rowOff>12700</xdr:rowOff>
    </xdr:from>
    <xdr:to>
      <xdr:col>16</xdr:col>
      <xdr:colOff>4083676</xdr:colOff>
      <xdr:row>18</xdr:row>
      <xdr:rowOff>177800</xdr:rowOff>
    </xdr:to>
    <xdr:sp macro="" textlink="">
      <xdr:nvSpPr>
        <xdr:cNvPr id="168176" name="Скругленный прямоугольник 168175">
          <a:extLst>
            <a:ext uri="{FF2B5EF4-FFF2-40B4-BE49-F238E27FC236}">
              <a16:creationId xmlns:a16="http://schemas.microsoft.com/office/drawing/2014/main" id="{00000000-0008-0000-0500-0000F0900200}"/>
            </a:ext>
          </a:extLst>
        </xdr:cNvPr>
        <xdr:cNvSpPr/>
      </xdr:nvSpPr>
      <xdr:spPr>
        <a:xfrm>
          <a:off x="15493628" y="3670300"/>
          <a:ext cx="132497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6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6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6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1396</a:t>
          </a:r>
        </a:p>
      </xdr:txBody>
    </xdr:sp>
    <xdr:clientData/>
  </xdr:twoCellAnchor>
  <xdr:twoCellAnchor>
    <xdr:from>
      <xdr:col>16</xdr:col>
      <xdr:colOff>4118707</xdr:colOff>
      <xdr:row>18</xdr:row>
      <xdr:rowOff>12700</xdr:rowOff>
    </xdr:from>
    <xdr:to>
      <xdr:col>16</xdr:col>
      <xdr:colOff>5018061</xdr:colOff>
      <xdr:row>18</xdr:row>
      <xdr:rowOff>177800</xdr:rowOff>
    </xdr:to>
    <xdr:sp macro="" textlink="">
      <xdr:nvSpPr>
        <xdr:cNvPr id="168177" name="Скругленный прямоугольник 168176">
          <a:extLst>
            <a:ext uri="{FF2B5EF4-FFF2-40B4-BE49-F238E27FC236}">
              <a16:creationId xmlns:a16="http://schemas.microsoft.com/office/drawing/2014/main" id="{00000000-0008-0000-0500-0000F1900200}"/>
            </a:ext>
          </a:extLst>
        </xdr:cNvPr>
        <xdr:cNvSpPr/>
      </xdr:nvSpPr>
      <xdr:spPr>
        <a:xfrm>
          <a:off x="16853632" y="3670300"/>
          <a:ext cx="89935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956</a:t>
          </a:r>
        </a:p>
      </xdr:txBody>
    </xdr:sp>
    <xdr:clientData/>
  </xdr:twoCellAnchor>
  <xdr:twoCellAnchor>
    <xdr:from>
      <xdr:col>16</xdr:col>
      <xdr:colOff>5053093</xdr:colOff>
      <xdr:row>18</xdr:row>
      <xdr:rowOff>12700</xdr:rowOff>
    </xdr:from>
    <xdr:to>
      <xdr:col>16</xdr:col>
      <xdr:colOff>5758985</xdr:colOff>
      <xdr:row>18</xdr:row>
      <xdr:rowOff>177800</xdr:rowOff>
    </xdr:to>
    <xdr:sp macro="" textlink="">
      <xdr:nvSpPr>
        <xdr:cNvPr id="168416" name="Скругленный прямоугольник 168415">
          <a:extLst>
            <a:ext uri="{FF2B5EF4-FFF2-40B4-BE49-F238E27FC236}">
              <a16:creationId xmlns:a16="http://schemas.microsoft.com/office/drawing/2014/main" id="{00000000-0008-0000-0500-0000E0910200}"/>
            </a:ext>
          </a:extLst>
        </xdr:cNvPr>
        <xdr:cNvSpPr/>
      </xdr:nvSpPr>
      <xdr:spPr>
        <a:xfrm>
          <a:off x="17788018" y="3670300"/>
          <a:ext cx="70589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B4FF" mc:Ignorable="a14" a14:legacySpreadsheetColorIndex="4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DEFF" mc:Ignorable="a14" a14:legacySpreadsheetColorIndex="4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64AA" mc:Ignorable="a14" a14:legacySpreadsheetColorIndex="4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756</a:t>
          </a:r>
        </a:p>
      </xdr:txBody>
    </xdr:sp>
    <xdr:clientData/>
  </xdr:twoCellAnchor>
  <xdr:twoCellAnchor>
    <xdr:from>
      <xdr:col>16</xdr:col>
      <xdr:colOff>0</xdr:colOff>
      <xdr:row>19</xdr:row>
      <xdr:rowOff>12700</xdr:rowOff>
    </xdr:from>
    <xdr:to>
      <xdr:col>16</xdr:col>
      <xdr:colOff>1353993</xdr:colOff>
      <xdr:row>19</xdr:row>
      <xdr:rowOff>177800</xdr:rowOff>
    </xdr:to>
    <xdr:sp macro="" textlink="">
      <xdr:nvSpPr>
        <xdr:cNvPr id="168417" name="Скругленный прямоугольник 168416">
          <a:extLst>
            <a:ext uri="{FF2B5EF4-FFF2-40B4-BE49-F238E27FC236}">
              <a16:creationId xmlns:a16="http://schemas.microsoft.com/office/drawing/2014/main" id="{00000000-0008-0000-0500-0000E1910200}"/>
            </a:ext>
          </a:extLst>
        </xdr:cNvPr>
        <xdr:cNvSpPr/>
      </xdr:nvSpPr>
      <xdr:spPr>
        <a:xfrm>
          <a:off x="12734925" y="3860800"/>
          <a:ext cx="135399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7C96" mc:Ignorable="a14" a14:legacySpreadsheetColorIndex="2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CBD3" mc:Ignorable="a14" a14:legacySpreadsheetColorIndex="2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0041" mc:Ignorable="a14" a14:legacySpreadsheetColorIndex="2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1426</a:t>
          </a:r>
        </a:p>
      </xdr:txBody>
    </xdr:sp>
    <xdr:clientData/>
  </xdr:twoCellAnchor>
  <xdr:twoCellAnchor>
    <xdr:from>
      <xdr:col>16</xdr:col>
      <xdr:colOff>1389024</xdr:colOff>
      <xdr:row>19</xdr:row>
      <xdr:rowOff>12700</xdr:rowOff>
    </xdr:from>
    <xdr:to>
      <xdr:col>16</xdr:col>
      <xdr:colOff>2733345</xdr:colOff>
      <xdr:row>19</xdr:row>
      <xdr:rowOff>177800</xdr:rowOff>
    </xdr:to>
    <xdr:sp macro="" textlink="">
      <xdr:nvSpPr>
        <xdr:cNvPr id="168418" name="Скругленный прямоугольник 168417">
          <a:extLst>
            <a:ext uri="{FF2B5EF4-FFF2-40B4-BE49-F238E27FC236}">
              <a16:creationId xmlns:a16="http://schemas.microsoft.com/office/drawing/2014/main" id="{00000000-0008-0000-0500-0000E2910200}"/>
            </a:ext>
          </a:extLst>
        </xdr:cNvPr>
        <xdr:cNvSpPr/>
      </xdr:nvSpPr>
      <xdr:spPr>
        <a:xfrm>
          <a:off x="14123949" y="3860800"/>
          <a:ext cx="134432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8383" mc:Ignorable="a14" a14:legacySpreadsheetColorIndex="6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CDCD" mc:Ignorable="a14" a14:legacySpreadsheetColorIndex="6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1E1E" mc:Ignorable="a14" a14:legacySpreadsheetColorIndex="6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1416</a:t>
          </a:r>
        </a:p>
      </xdr:txBody>
    </xdr:sp>
    <xdr:clientData/>
  </xdr:twoCellAnchor>
  <xdr:twoCellAnchor>
    <xdr:from>
      <xdr:col>16</xdr:col>
      <xdr:colOff>2768375</xdr:colOff>
      <xdr:row>19</xdr:row>
      <xdr:rowOff>12700</xdr:rowOff>
    </xdr:from>
    <xdr:to>
      <xdr:col>16</xdr:col>
      <xdr:colOff>4035310</xdr:colOff>
      <xdr:row>19</xdr:row>
      <xdr:rowOff>177800</xdr:rowOff>
    </xdr:to>
    <xdr:sp macro="" textlink="">
      <xdr:nvSpPr>
        <xdr:cNvPr id="168419" name="Скругленный прямоугольник 168418">
          <a:extLst>
            <a:ext uri="{FF2B5EF4-FFF2-40B4-BE49-F238E27FC236}">
              <a16:creationId xmlns:a16="http://schemas.microsoft.com/office/drawing/2014/main" id="{00000000-0008-0000-0500-0000E3910200}"/>
            </a:ext>
          </a:extLst>
        </xdr:cNvPr>
        <xdr:cNvSpPr/>
      </xdr:nvSpPr>
      <xdr:spPr>
        <a:xfrm>
          <a:off x="15503300" y="38608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3F3F3" mc:Ignorable="a14" a14:legacySpreadsheetColorIndex="6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9F9F9" mc:Ignorable="a14" a14:legacySpreadsheetColorIndex="6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9F9F9F" mc:Ignorable="a14" a14:legacySpreadsheetColorIndex="6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4070342</xdr:colOff>
      <xdr:row>19</xdr:row>
      <xdr:rowOff>12700</xdr:rowOff>
    </xdr:from>
    <xdr:to>
      <xdr:col>16</xdr:col>
      <xdr:colOff>5308257</xdr:colOff>
      <xdr:row>19</xdr:row>
      <xdr:rowOff>177800</xdr:rowOff>
    </xdr:to>
    <xdr:sp macro="" textlink="">
      <xdr:nvSpPr>
        <xdr:cNvPr id="168420" name="Скругленный прямоугольник 168419">
          <a:extLst>
            <a:ext uri="{FF2B5EF4-FFF2-40B4-BE49-F238E27FC236}">
              <a16:creationId xmlns:a16="http://schemas.microsoft.com/office/drawing/2014/main" id="{00000000-0008-0000-0500-0000E4910200}"/>
            </a:ext>
          </a:extLst>
        </xdr:cNvPr>
        <xdr:cNvSpPr/>
      </xdr:nvSpPr>
      <xdr:spPr>
        <a:xfrm>
          <a:off x="16805267" y="38608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6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6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6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5343288</xdr:colOff>
      <xdr:row>19</xdr:row>
      <xdr:rowOff>12700</xdr:rowOff>
    </xdr:from>
    <xdr:to>
      <xdr:col>16</xdr:col>
      <xdr:colOff>5758985</xdr:colOff>
      <xdr:row>19</xdr:row>
      <xdr:rowOff>177800</xdr:rowOff>
    </xdr:to>
    <xdr:sp macro="" textlink="">
      <xdr:nvSpPr>
        <xdr:cNvPr id="168421" name="Скругленный прямоугольник 168420">
          <a:extLst>
            <a:ext uri="{FF2B5EF4-FFF2-40B4-BE49-F238E27FC236}">
              <a16:creationId xmlns:a16="http://schemas.microsoft.com/office/drawing/2014/main" id="{00000000-0008-0000-0500-0000E5910200}"/>
            </a:ext>
          </a:extLst>
        </xdr:cNvPr>
        <xdr:cNvSpPr/>
      </xdr:nvSpPr>
      <xdr:spPr>
        <a:xfrm>
          <a:off x="18078213" y="3860800"/>
          <a:ext cx="41569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D7B4" mc:Ignorable="a14" a14:legacySpreadsheetColorIndex="4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ECDE" mc:Ignorable="a14" a14:legacySpreadsheetColorIndex="4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8764" mc:Ignorable="a14" a14:legacySpreadsheetColorIndex="4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456</a:t>
          </a:r>
        </a:p>
      </xdr:txBody>
    </xdr:sp>
    <xdr:clientData/>
  </xdr:twoCellAnchor>
  <xdr:twoCellAnchor>
    <xdr:from>
      <xdr:col>16</xdr:col>
      <xdr:colOff>0</xdr:colOff>
      <xdr:row>20</xdr:row>
      <xdr:rowOff>12700</xdr:rowOff>
    </xdr:from>
    <xdr:to>
      <xdr:col>16</xdr:col>
      <xdr:colOff>1363667</xdr:colOff>
      <xdr:row>20</xdr:row>
      <xdr:rowOff>177800</xdr:rowOff>
    </xdr:to>
    <xdr:sp macro="" textlink="">
      <xdr:nvSpPr>
        <xdr:cNvPr id="168422" name="Скругленный прямоугольник 168421">
          <a:extLst>
            <a:ext uri="{FF2B5EF4-FFF2-40B4-BE49-F238E27FC236}">
              <a16:creationId xmlns:a16="http://schemas.microsoft.com/office/drawing/2014/main" id="{00000000-0008-0000-0500-0000E6910200}"/>
            </a:ext>
          </a:extLst>
        </xdr:cNvPr>
        <xdr:cNvSpPr/>
      </xdr:nvSpPr>
      <xdr:spPr>
        <a:xfrm>
          <a:off x="12734925" y="4051300"/>
          <a:ext cx="136366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1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1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1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1436</a:t>
          </a:r>
        </a:p>
      </xdr:txBody>
    </xdr:sp>
    <xdr:clientData/>
  </xdr:twoCellAnchor>
  <xdr:twoCellAnchor>
    <xdr:from>
      <xdr:col>16</xdr:col>
      <xdr:colOff>1398698</xdr:colOff>
      <xdr:row>20</xdr:row>
      <xdr:rowOff>12700</xdr:rowOff>
    </xdr:from>
    <xdr:to>
      <xdr:col>16</xdr:col>
      <xdr:colOff>2723671</xdr:colOff>
      <xdr:row>20</xdr:row>
      <xdr:rowOff>177800</xdr:rowOff>
    </xdr:to>
    <xdr:sp macro="" textlink="">
      <xdr:nvSpPr>
        <xdr:cNvPr id="168423" name="Скругленный прямоугольник 168422">
          <a:extLst>
            <a:ext uri="{FF2B5EF4-FFF2-40B4-BE49-F238E27FC236}">
              <a16:creationId xmlns:a16="http://schemas.microsoft.com/office/drawing/2014/main" id="{00000000-0008-0000-0500-0000E7910200}"/>
            </a:ext>
          </a:extLst>
        </xdr:cNvPr>
        <xdr:cNvSpPr/>
      </xdr:nvSpPr>
      <xdr:spPr>
        <a:xfrm>
          <a:off x="14133623" y="4051300"/>
          <a:ext cx="132497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6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6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6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1396</a:t>
          </a:r>
        </a:p>
      </xdr:txBody>
    </xdr:sp>
    <xdr:clientData/>
  </xdr:twoCellAnchor>
  <xdr:twoCellAnchor>
    <xdr:from>
      <xdr:col>16</xdr:col>
      <xdr:colOff>2758703</xdr:colOff>
      <xdr:row>20</xdr:row>
      <xdr:rowOff>12700</xdr:rowOff>
    </xdr:from>
    <xdr:to>
      <xdr:col>16</xdr:col>
      <xdr:colOff>4025638</xdr:colOff>
      <xdr:row>20</xdr:row>
      <xdr:rowOff>177800</xdr:rowOff>
    </xdr:to>
    <xdr:sp macro="" textlink="">
      <xdr:nvSpPr>
        <xdr:cNvPr id="168424" name="Скругленный прямоугольник 168423">
          <a:extLst>
            <a:ext uri="{FF2B5EF4-FFF2-40B4-BE49-F238E27FC236}">
              <a16:creationId xmlns:a16="http://schemas.microsoft.com/office/drawing/2014/main" id="{00000000-0008-0000-0500-0000E8910200}"/>
            </a:ext>
          </a:extLst>
        </xdr:cNvPr>
        <xdr:cNvSpPr/>
      </xdr:nvSpPr>
      <xdr:spPr>
        <a:xfrm>
          <a:off x="15493628" y="40513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3F3F3" mc:Ignorable="a14" a14:legacySpreadsheetColorIndex="6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9F9F9" mc:Ignorable="a14" a14:legacySpreadsheetColorIndex="6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9F9F9F" mc:Ignorable="a14" a14:legacySpreadsheetColorIndex="6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4060668</xdr:colOff>
      <xdr:row>20</xdr:row>
      <xdr:rowOff>12700</xdr:rowOff>
    </xdr:from>
    <xdr:to>
      <xdr:col>16</xdr:col>
      <xdr:colOff>5018063</xdr:colOff>
      <xdr:row>20</xdr:row>
      <xdr:rowOff>177800</xdr:rowOff>
    </xdr:to>
    <xdr:sp macro="" textlink="">
      <xdr:nvSpPr>
        <xdr:cNvPr id="168425" name="Скругленный прямоугольник 168424">
          <a:extLst>
            <a:ext uri="{FF2B5EF4-FFF2-40B4-BE49-F238E27FC236}">
              <a16:creationId xmlns:a16="http://schemas.microsoft.com/office/drawing/2014/main" id="{00000000-0008-0000-0500-0000E9910200}"/>
            </a:ext>
          </a:extLst>
        </xdr:cNvPr>
        <xdr:cNvSpPr/>
      </xdr:nvSpPr>
      <xdr:spPr>
        <a:xfrm>
          <a:off x="16795593" y="4051300"/>
          <a:ext cx="95739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A4" mc:Ignorable="a14" a14:legacySpreadsheetColorIndex="3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D8" mc:Ignorable="a14" a14:legacySpreadsheetColorIndex="3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53" mc:Ignorable="a14" a14:legacySpreadsheetColorIndex="3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1016</a:t>
          </a:r>
        </a:p>
      </xdr:txBody>
    </xdr:sp>
    <xdr:clientData/>
  </xdr:twoCellAnchor>
  <xdr:twoCellAnchor>
    <xdr:from>
      <xdr:col>16</xdr:col>
      <xdr:colOff>5053093</xdr:colOff>
      <xdr:row>20</xdr:row>
      <xdr:rowOff>12700</xdr:rowOff>
    </xdr:from>
    <xdr:to>
      <xdr:col>16</xdr:col>
      <xdr:colOff>5758985</xdr:colOff>
      <xdr:row>20</xdr:row>
      <xdr:rowOff>177800</xdr:rowOff>
    </xdr:to>
    <xdr:sp macro="" textlink="">
      <xdr:nvSpPr>
        <xdr:cNvPr id="168426" name="Скругленный прямоугольник 168425">
          <a:extLst>
            <a:ext uri="{FF2B5EF4-FFF2-40B4-BE49-F238E27FC236}">
              <a16:creationId xmlns:a16="http://schemas.microsoft.com/office/drawing/2014/main" id="{00000000-0008-0000-0500-0000EA910200}"/>
            </a:ext>
          </a:extLst>
        </xdr:cNvPr>
        <xdr:cNvSpPr/>
      </xdr:nvSpPr>
      <xdr:spPr>
        <a:xfrm>
          <a:off x="17788018" y="4051300"/>
          <a:ext cx="70589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B4FF" mc:Ignorable="a14" a14:legacySpreadsheetColorIndex="4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DEFF" mc:Ignorable="a14" a14:legacySpreadsheetColorIndex="4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64AA" mc:Ignorable="a14" a14:legacySpreadsheetColorIndex="4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756</a:t>
          </a:r>
        </a:p>
      </xdr:txBody>
    </xdr:sp>
    <xdr:clientData/>
  </xdr:twoCellAnchor>
  <xdr:twoCellAnchor>
    <xdr:from>
      <xdr:col>16</xdr:col>
      <xdr:colOff>0</xdr:colOff>
      <xdr:row>21</xdr:row>
      <xdr:rowOff>12700</xdr:rowOff>
    </xdr:from>
    <xdr:to>
      <xdr:col>16</xdr:col>
      <xdr:colOff>1363667</xdr:colOff>
      <xdr:row>21</xdr:row>
      <xdr:rowOff>177800</xdr:rowOff>
    </xdr:to>
    <xdr:sp macro="" textlink="">
      <xdr:nvSpPr>
        <xdr:cNvPr id="168427" name="Скругленный прямоугольник 168426">
          <a:extLst>
            <a:ext uri="{FF2B5EF4-FFF2-40B4-BE49-F238E27FC236}">
              <a16:creationId xmlns:a16="http://schemas.microsoft.com/office/drawing/2014/main" id="{00000000-0008-0000-0500-0000EB910200}"/>
            </a:ext>
          </a:extLst>
        </xdr:cNvPr>
        <xdr:cNvSpPr/>
      </xdr:nvSpPr>
      <xdr:spPr>
        <a:xfrm>
          <a:off x="12734925" y="4241800"/>
          <a:ext cx="136366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1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1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1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1436</a:t>
          </a:r>
        </a:p>
      </xdr:txBody>
    </xdr:sp>
    <xdr:clientData/>
  </xdr:twoCellAnchor>
  <xdr:twoCellAnchor>
    <xdr:from>
      <xdr:col>16</xdr:col>
      <xdr:colOff>1398698</xdr:colOff>
      <xdr:row>21</xdr:row>
      <xdr:rowOff>12700</xdr:rowOff>
    </xdr:from>
    <xdr:to>
      <xdr:col>16</xdr:col>
      <xdr:colOff>2733345</xdr:colOff>
      <xdr:row>21</xdr:row>
      <xdr:rowOff>177800</xdr:rowOff>
    </xdr:to>
    <xdr:sp macro="" textlink="">
      <xdr:nvSpPr>
        <xdr:cNvPr id="168428" name="Скругленный прямоугольник 168427">
          <a:extLst>
            <a:ext uri="{FF2B5EF4-FFF2-40B4-BE49-F238E27FC236}">
              <a16:creationId xmlns:a16="http://schemas.microsoft.com/office/drawing/2014/main" id="{00000000-0008-0000-0500-0000EC910200}"/>
            </a:ext>
          </a:extLst>
        </xdr:cNvPr>
        <xdr:cNvSpPr/>
      </xdr:nvSpPr>
      <xdr:spPr>
        <a:xfrm>
          <a:off x="14133623" y="4241800"/>
          <a:ext cx="13346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6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6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2768375</xdr:colOff>
      <xdr:row>21</xdr:row>
      <xdr:rowOff>12700</xdr:rowOff>
    </xdr:from>
    <xdr:to>
      <xdr:col>16</xdr:col>
      <xdr:colOff>4035310</xdr:colOff>
      <xdr:row>21</xdr:row>
      <xdr:rowOff>177800</xdr:rowOff>
    </xdr:to>
    <xdr:sp macro="" textlink="">
      <xdr:nvSpPr>
        <xdr:cNvPr id="168429" name="Скругленный прямоугольник 168428">
          <a:extLst>
            <a:ext uri="{FF2B5EF4-FFF2-40B4-BE49-F238E27FC236}">
              <a16:creationId xmlns:a16="http://schemas.microsoft.com/office/drawing/2014/main" id="{00000000-0008-0000-0500-0000ED910200}"/>
            </a:ext>
          </a:extLst>
        </xdr:cNvPr>
        <xdr:cNvSpPr/>
      </xdr:nvSpPr>
      <xdr:spPr>
        <a:xfrm>
          <a:off x="15503300" y="42418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3F3F3" mc:Ignorable="a14" a14:legacySpreadsheetColorIndex="6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9F9F9" mc:Ignorable="a14" a14:legacySpreadsheetColorIndex="6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9F9F9F" mc:Ignorable="a14" a14:legacySpreadsheetColorIndex="6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4070342</xdr:colOff>
      <xdr:row>21</xdr:row>
      <xdr:rowOff>12700</xdr:rowOff>
    </xdr:from>
    <xdr:to>
      <xdr:col>16</xdr:col>
      <xdr:colOff>5027737</xdr:colOff>
      <xdr:row>21</xdr:row>
      <xdr:rowOff>177800</xdr:rowOff>
    </xdr:to>
    <xdr:sp macro="" textlink="">
      <xdr:nvSpPr>
        <xdr:cNvPr id="168430" name="Скругленный прямоугольник 168429">
          <a:extLst>
            <a:ext uri="{FF2B5EF4-FFF2-40B4-BE49-F238E27FC236}">
              <a16:creationId xmlns:a16="http://schemas.microsoft.com/office/drawing/2014/main" id="{00000000-0008-0000-0500-0000EE910200}"/>
            </a:ext>
          </a:extLst>
        </xdr:cNvPr>
        <xdr:cNvSpPr/>
      </xdr:nvSpPr>
      <xdr:spPr>
        <a:xfrm>
          <a:off x="16805267" y="4241800"/>
          <a:ext cx="95739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A4" mc:Ignorable="a14" a14:legacySpreadsheetColorIndex="3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D8" mc:Ignorable="a14" a14:legacySpreadsheetColorIndex="3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53" mc:Ignorable="a14" a14:legacySpreadsheetColorIndex="3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1016</a:t>
          </a:r>
        </a:p>
      </xdr:txBody>
    </xdr:sp>
    <xdr:clientData/>
  </xdr:twoCellAnchor>
  <xdr:twoCellAnchor>
    <xdr:from>
      <xdr:col>16</xdr:col>
      <xdr:colOff>5062765</xdr:colOff>
      <xdr:row>21</xdr:row>
      <xdr:rowOff>12700</xdr:rowOff>
    </xdr:from>
    <xdr:to>
      <xdr:col>16</xdr:col>
      <xdr:colOff>5758983</xdr:colOff>
      <xdr:row>21</xdr:row>
      <xdr:rowOff>177800</xdr:rowOff>
    </xdr:to>
    <xdr:sp macro="" textlink="">
      <xdr:nvSpPr>
        <xdr:cNvPr id="168431" name="Скругленный прямоугольник 168430">
          <a:extLst>
            <a:ext uri="{FF2B5EF4-FFF2-40B4-BE49-F238E27FC236}">
              <a16:creationId xmlns:a16="http://schemas.microsoft.com/office/drawing/2014/main" id="{00000000-0008-0000-0500-0000EF910200}"/>
            </a:ext>
          </a:extLst>
        </xdr:cNvPr>
        <xdr:cNvSpPr/>
      </xdr:nvSpPr>
      <xdr:spPr>
        <a:xfrm>
          <a:off x="17797690" y="4241800"/>
          <a:ext cx="69621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B4D7" mc:Ignorable="a14" a14:legacySpreadsheetColorIndex="4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EEC" mc:Ignorable="a14" a14:legacySpreadsheetColorIndex="4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6487" mc:Ignorable="a14" a14:legacySpreadsheetColorIndex="4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746</a:t>
          </a:r>
        </a:p>
      </xdr:txBody>
    </xdr:sp>
    <xdr:clientData/>
  </xdr:twoCellAnchor>
  <xdr:twoCellAnchor>
    <xdr:from>
      <xdr:col>16</xdr:col>
      <xdr:colOff>0</xdr:colOff>
      <xdr:row>22</xdr:row>
      <xdr:rowOff>12700</xdr:rowOff>
    </xdr:from>
    <xdr:to>
      <xdr:col>16</xdr:col>
      <xdr:colOff>1363667</xdr:colOff>
      <xdr:row>22</xdr:row>
      <xdr:rowOff>177800</xdr:rowOff>
    </xdr:to>
    <xdr:sp macro="" textlink="">
      <xdr:nvSpPr>
        <xdr:cNvPr id="168432" name="Скругленный прямоугольник 168431">
          <a:extLst>
            <a:ext uri="{FF2B5EF4-FFF2-40B4-BE49-F238E27FC236}">
              <a16:creationId xmlns:a16="http://schemas.microsoft.com/office/drawing/2014/main" id="{00000000-0008-0000-0500-0000F0910200}"/>
            </a:ext>
          </a:extLst>
        </xdr:cNvPr>
        <xdr:cNvSpPr/>
      </xdr:nvSpPr>
      <xdr:spPr>
        <a:xfrm>
          <a:off x="12734925" y="4432300"/>
          <a:ext cx="136366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1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1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1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1436</a:t>
          </a:r>
        </a:p>
      </xdr:txBody>
    </xdr:sp>
    <xdr:clientData/>
  </xdr:twoCellAnchor>
  <xdr:twoCellAnchor>
    <xdr:from>
      <xdr:col>16</xdr:col>
      <xdr:colOff>1398698</xdr:colOff>
      <xdr:row>22</xdr:row>
      <xdr:rowOff>12700</xdr:rowOff>
    </xdr:from>
    <xdr:to>
      <xdr:col>16</xdr:col>
      <xdr:colOff>2752691</xdr:colOff>
      <xdr:row>22</xdr:row>
      <xdr:rowOff>177800</xdr:rowOff>
    </xdr:to>
    <xdr:sp macro="" textlink="">
      <xdr:nvSpPr>
        <xdr:cNvPr id="168433" name="Скругленный прямоугольник 168432">
          <a:extLst>
            <a:ext uri="{FF2B5EF4-FFF2-40B4-BE49-F238E27FC236}">
              <a16:creationId xmlns:a16="http://schemas.microsoft.com/office/drawing/2014/main" id="{00000000-0008-0000-0500-0000F1910200}"/>
            </a:ext>
          </a:extLst>
        </xdr:cNvPr>
        <xdr:cNvSpPr/>
      </xdr:nvSpPr>
      <xdr:spPr>
        <a:xfrm>
          <a:off x="14133623" y="4432300"/>
          <a:ext cx="135399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7C96" mc:Ignorable="a14" a14:legacySpreadsheetColorIndex="2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CBD3" mc:Ignorable="a14" a14:legacySpreadsheetColorIndex="2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0041" mc:Ignorable="a14" a14:legacySpreadsheetColorIndex="2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1426</a:t>
          </a:r>
        </a:p>
      </xdr:txBody>
    </xdr:sp>
    <xdr:clientData/>
  </xdr:twoCellAnchor>
  <xdr:twoCellAnchor>
    <xdr:from>
      <xdr:col>16</xdr:col>
      <xdr:colOff>2787721</xdr:colOff>
      <xdr:row>22</xdr:row>
      <xdr:rowOff>12700</xdr:rowOff>
    </xdr:from>
    <xdr:to>
      <xdr:col>16</xdr:col>
      <xdr:colOff>4054656</xdr:colOff>
      <xdr:row>22</xdr:row>
      <xdr:rowOff>177800</xdr:rowOff>
    </xdr:to>
    <xdr:sp macro="" textlink="">
      <xdr:nvSpPr>
        <xdr:cNvPr id="168434" name="Скругленный прямоугольник 168433">
          <a:extLst>
            <a:ext uri="{FF2B5EF4-FFF2-40B4-BE49-F238E27FC236}">
              <a16:creationId xmlns:a16="http://schemas.microsoft.com/office/drawing/2014/main" id="{00000000-0008-0000-0500-0000F2910200}"/>
            </a:ext>
          </a:extLst>
        </xdr:cNvPr>
        <xdr:cNvSpPr/>
      </xdr:nvSpPr>
      <xdr:spPr>
        <a:xfrm>
          <a:off x="15522646" y="44323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3F3F3" mc:Ignorable="a14" a14:legacySpreadsheetColorIndex="6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9F9F9" mc:Ignorable="a14" a14:legacySpreadsheetColorIndex="6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9F9F9F" mc:Ignorable="a14" a14:legacySpreadsheetColorIndex="6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4089688</xdr:colOff>
      <xdr:row>22</xdr:row>
      <xdr:rowOff>12700</xdr:rowOff>
    </xdr:from>
    <xdr:to>
      <xdr:col>16</xdr:col>
      <xdr:colOff>5095447</xdr:colOff>
      <xdr:row>22</xdr:row>
      <xdr:rowOff>177800</xdr:rowOff>
    </xdr:to>
    <xdr:sp macro="" textlink="">
      <xdr:nvSpPr>
        <xdr:cNvPr id="168435" name="Скругленный прямоугольник 168434">
          <a:extLst>
            <a:ext uri="{FF2B5EF4-FFF2-40B4-BE49-F238E27FC236}">
              <a16:creationId xmlns:a16="http://schemas.microsoft.com/office/drawing/2014/main" id="{00000000-0008-0000-0500-0000F3910200}"/>
            </a:ext>
          </a:extLst>
        </xdr:cNvPr>
        <xdr:cNvSpPr/>
      </xdr:nvSpPr>
      <xdr:spPr>
        <a:xfrm>
          <a:off x="16824613" y="4432300"/>
          <a:ext cx="100575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1066</a:t>
          </a:r>
        </a:p>
      </xdr:txBody>
    </xdr:sp>
    <xdr:clientData/>
  </xdr:twoCellAnchor>
  <xdr:twoCellAnchor>
    <xdr:from>
      <xdr:col>16</xdr:col>
      <xdr:colOff>5130478</xdr:colOff>
      <xdr:row>22</xdr:row>
      <xdr:rowOff>12700</xdr:rowOff>
    </xdr:from>
    <xdr:to>
      <xdr:col>16</xdr:col>
      <xdr:colOff>5758983</xdr:colOff>
      <xdr:row>22</xdr:row>
      <xdr:rowOff>177800</xdr:rowOff>
    </xdr:to>
    <xdr:sp macro="" textlink="">
      <xdr:nvSpPr>
        <xdr:cNvPr id="168436" name="Скругленный прямоугольник 168435">
          <a:extLst>
            <a:ext uri="{FF2B5EF4-FFF2-40B4-BE49-F238E27FC236}">
              <a16:creationId xmlns:a16="http://schemas.microsoft.com/office/drawing/2014/main" id="{00000000-0008-0000-0500-0000F4910200}"/>
            </a:ext>
          </a:extLst>
        </xdr:cNvPr>
        <xdr:cNvSpPr/>
      </xdr:nvSpPr>
      <xdr:spPr>
        <a:xfrm>
          <a:off x="17865403" y="4432300"/>
          <a:ext cx="62850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676</a:t>
          </a:r>
        </a:p>
      </xdr:txBody>
    </xdr:sp>
    <xdr:clientData/>
  </xdr:twoCellAnchor>
  <xdr:twoCellAnchor>
    <xdr:from>
      <xdr:col>16</xdr:col>
      <xdr:colOff>0</xdr:colOff>
      <xdr:row>23</xdr:row>
      <xdr:rowOff>12700</xdr:rowOff>
    </xdr:from>
    <xdr:to>
      <xdr:col>16</xdr:col>
      <xdr:colOff>1383013</xdr:colOff>
      <xdr:row>23</xdr:row>
      <xdr:rowOff>177800</xdr:rowOff>
    </xdr:to>
    <xdr:sp macro="" textlink="">
      <xdr:nvSpPr>
        <xdr:cNvPr id="168437" name="Скругленный прямоугольник 168436">
          <a:extLst>
            <a:ext uri="{FF2B5EF4-FFF2-40B4-BE49-F238E27FC236}">
              <a16:creationId xmlns:a16="http://schemas.microsoft.com/office/drawing/2014/main" id="{00000000-0008-0000-0500-0000F5910200}"/>
            </a:ext>
          </a:extLst>
        </xdr:cNvPr>
        <xdr:cNvSpPr/>
      </xdr:nvSpPr>
      <xdr:spPr>
        <a:xfrm>
          <a:off x="12734925" y="4622800"/>
          <a:ext cx="138301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1456</a:t>
          </a:r>
        </a:p>
      </xdr:txBody>
    </xdr:sp>
    <xdr:clientData/>
  </xdr:twoCellAnchor>
  <xdr:twoCellAnchor>
    <xdr:from>
      <xdr:col>16</xdr:col>
      <xdr:colOff>1418044</xdr:colOff>
      <xdr:row>23</xdr:row>
      <xdr:rowOff>12700</xdr:rowOff>
    </xdr:from>
    <xdr:to>
      <xdr:col>16</xdr:col>
      <xdr:colOff>2675305</xdr:colOff>
      <xdr:row>23</xdr:row>
      <xdr:rowOff>177800</xdr:rowOff>
    </xdr:to>
    <xdr:sp macro="" textlink="">
      <xdr:nvSpPr>
        <xdr:cNvPr id="168438" name="Скругленный прямоугольник 168437">
          <a:extLst>
            <a:ext uri="{FF2B5EF4-FFF2-40B4-BE49-F238E27FC236}">
              <a16:creationId xmlns:a16="http://schemas.microsoft.com/office/drawing/2014/main" id="{00000000-0008-0000-0500-0000F6910200}"/>
            </a:ext>
          </a:extLst>
        </xdr:cNvPr>
        <xdr:cNvSpPr/>
      </xdr:nvSpPr>
      <xdr:spPr>
        <a:xfrm>
          <a:off x="14152969" y="4622800"/>
          <a:ext cx="12572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6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6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2710337</xdr:colOff>
      <xdr:row>23</xdr:row>
      <xdr:rowOff>12700</xdr:rowOff>
    </xdr:from>
    <xdr:to>
      <xdr:col>16</xdr:col>
      <xdr:colOff>3890214</xdr:colOff>
      <xdr:row>23</xdr:row>
      <xdr:rowOff>177800</xdr:rowOff>
    </xdr:to>
    <xdr:sp macro="" textlink="">
      <xdr:nvSpPr>
        <xdr:cNvPr id="168439" name="Скругленный прямоугольник 168438">
          <a:extLst>
            <a:ext uri="{FF2B5EF4-FFF2-40B4-BE49-F238E27FC236}">
              <a16:creationId xmlns:a16="http://schemas.microsoft.com/office/drawing/2014/main" id="{00000000-0008-0000-0500-0000F7910200}"/>
            </a:ext>
          </a:extLst>
        </xdr:cNvPr>
        <xdr:cNvSpPr/>
      </xdr:nvSpPr>
      <xdr:spPr>
        <a:xfrm>
          <a:off x="15445262" y="4622800"/>
          <a:ext cx="117987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1246</a:t>
          </a:r>
        </a:p>
      </xdr:txBody>
    </xdr:sp>
    <xdr:clientData/>
  </xdr:twoCellAnchor>
  <xdr:twoCellAnchor>
    <xdr:from>
      <xdr:col>16</xdr:col>
      <xdr:colOff>3925244</xdr:colOff>
      <xdr:row>23</xdr:row>
      <xdr:rowOff>12700</xdr:rowOff>
    </xdr:from>
    <xdr:to>
      <xdr:col>16</xdr:col>
      <xdr:colOff>5027735</xdr:colOff>
      <xdr:row>23</xdr:row>
      <xdr:rowOff>177800</xdr:rowOff>
    </xdr:to>
    <xdr:sp macro="" textlink="">
      <xdr:nvSpPr>
        <xdr:cNvPr id="168440" name="Скругленный прямоугольник 168439">
          <a:extLst>
            <a:ext uri="{FF2B5EF4-FFF2-40B4-BE49-F238E27FC236}">
              <a16:creationId xmlns:a16="http://schemas.microsoft.com/office/drawing/2014/main" id="{00000000-0008-0000-0500-0000F8910200}"/>
            </a:ext>
          </a:extLst>
        </xdr:cNvPr>
        <xdr:cNvSpPr/>
      </xdr:nvSpPr>
      <xdr:spPr>
        <a:xfrm>
          <a:off x="16660169" y="46228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5062765</xdr:colOff>
      <xdr:row>23</xdr:row>
      <xdr:rowOff>12700</xdr:rowOff>
    </xdr:from>
    <xdr:to>
      <xdr:col>16</xdr:col>
      <xdr:colOff>5758983</xdr:colOff>
      <xdr:row>23</xdr:row>
      <xdr:rowOff>177800</xdr:rowOff>
    </xdr:to>
    <xdr:sp macro="" textlink="">
      <xdr:nvSpPr>
        <xdr:cNvPr id="168441" name="Скругленный прямоугольник 168440">
          <a:extLst>
            <a:ext uri="{FF2B5EF4-FFF2-40B4-BE49-F238E27FC236}">
              <a16:creationId xmlns:a16="http://schemas.microsoft.com/office/drawing/2014/main" id="{00000000-0008-0000-0500-0000F9910200}"/>
            </a:ext>
          </a:extLst>
        </xdr:cNvPr>
        <xdr:cNvSpPr/>
      </xdr:nvSpPr>
      <xdr:spPr>
        <a:xfrm>
          <a:off x="17797690" y="4622800"/>
          <a:ext cx="69621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B4D7" mc:Ignorable="a14" a14:legacySpreadsheetColorIndex="4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EEC" mc:Ignorable="a14" a14:legacySpreadsheetColorIndex="4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6487" mc:Ignorable="a14" a14:legacySpreadsheetColorIndex="4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746</a:t>
          </a:r>
        </a:p>
      </xdr:txBody>
    </xdr:sp>
    <xdr:clientData/>
  </xdr:twoCellAnchor>
  <xdr:twoCellAnchor>
    <xdr:from>
      <xdr:col>16</xdr:col>
      <xdr:colOff>0</xdr:colOff>
      <xdr:row>24</xdr:row>
      <xdr:rowOff>12700</xdr:rowOff>
    </xdr:from>
    <xdr:to>
      <xdr:col>16</xdr:col>
      <xdr:colOff>1402359</xdr:colOff>
      <xdr:row>24</xdr:row>
      <xdr:rowOff>177800</xdr:rowOff>
    </xdr:to>
    <xdr:sp macro="" textlink="">
      <xdr:nvSpPr>
        <xdr:cNvPr id="168442" name="Скругленный прямоугольник 168441">
          <a:extLst>
            <a:ext uri="{FF2B5EF4-FFF2-40B4-BE49-F238E27FC236}">
              <a16:creationId xmlns:a16="http://schemas.microsoft.com/office/drawing/2014/main" id="{00000000-0008-0000-0500-0000FA910200}"/>
            </a:ext>
          </a:extLst>
        </xdr:cNvPr>
        <xdr:cNvSpPr/>
      </xdr:nvSpPr>
      <xdr:spPr>
        <a:xfrm>
          <a:off x="12734925" y="4813300"/>
          <a:ext cx="140235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FF" mc:Ignorable="a14" a14:legacySpreadsheetColorIndex="2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FF" mc:Ignorable="a14" a14:legacySpreadsheetColorIndex="2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AA" mc:Ignorable="a14" a14:legacySpreadsheetColorIndex="2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1476</a:t>
          </a:r>
        </a:p>
      </xdr:txBody>
    </xdr:sp>
    <xdr:clientData/>
  </xdr:twoCellAnchor>
  <xdr:twoCellAnchor>
    <xdr:from>
      <xdr:col>16</xdr:col>
      <xdr:colOff>1437390</xdr:colOff>
      <xdr:row>24</xdr:row>
      <xdr:rowOff>12700</xdr:rowOff>
    </xdr:from>
    <xdr:to>
      <xdr:col>16</xdr:col>
      <xdr:colOff>2694651</xdr:colOff>
      <xdr:row>24</xdr:row>
      <xdr:rowOff>177800</xdr:rowOff>
    </xdr:to>
    <xdr:sp macro="" textlink="">
      <xdr:nvSpPr>
        <xdr:cNvPr id="168443" name="Скругленный прямоугольник 168442">
          <a:extLst>
            <a:ext uri="{FF2B5EF4-FFF2-40B4-BE49-F238E27FC236}">
              <a16:creationId xmlns:a16="http://schemas.microsoft.com/office/drawing/2014/main" id="{00000000-0008-0000-0500-0000FB910200}"/>
            </a:ext>
          </a:extLst>
        </xdr:cNvPr>
        <xdr:cNvSpPr/>
      </xdr:nvSpPr>
      <xdr:spPr>
        <a:xfrm>
          <a:off x="14172315" y="4813300"/>
          <a:ext cx="12572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6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6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2729683</xdr:colOff>
      <xdr:row>24</xdr:row>
      <xdr:rowOff>12700</xdr:rowOff>
    </xdr:from>
    <xdr:to>
      <xdr:col>16</xdr:col>
      <xdr:colOff>3986944</xdr:colOff>
      <xdr:row>24</xdr:row>
      <xdr:rowOff>177800</xdr:rowOff>
    </xdr:to>
    <xdr:sp macro="" textlink="">
      <xdr:nvSpPr>
        <xdr:cNvPr id="168444" name="Скругленный прямоугольник 168443">
          <a:extLst>
            <a:ext uri="{FF2B5EF4-FFF2-40B4-BE49-F238E27FC236}">
              <a16:creationId xmlns:a16="http://schemas.microsoft.com/office/drawing/2014/main" id="{00000000-0008-0000-0500-0000FC910200}"/>
            </a:ext>
          </a:extLst>
        </xdr:cNvPr>
        <xdr:cNvSpPr/>
      </xdr:nvSpPr>
      <xdr:spPr>
        <a:xfrm>
          <a:off x="15464608" y="4813300"/>
          <a:ext cx="12572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6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6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4021976</xdr:colOff>
      <xdr:row>24</xdr:row>
      <xdr:rowOff>12700</xdr:rowOff>
    </xdr:from>
    <xdr:to>
      <xdr:col>16</xdr:col>
      <xdr:colOff>4940677</xdr:colOff>
      <xdr:row>24</xdr:row>
      <xdr:rowOff>177800</xdr:rowOff>
    </xdr:to>
    <xdr:sp macro="" textlink="">
      <xdr:nvSpPr>
        <xdr:cNvPr id="168445" name="Скругленный прямоугольник 168444">
          <a:extLst>
            <a:ext uri="{FF2B5EF4-FFF2-40B4-BE49-F238E27FC236}">
              <a16:creationId xmlns:a16="http://schemas.microsoft.com/office/drawing/2014/main" id="{00000000-0008-0000-0500-0000FD910200}"/>
            </a:ext>
          </a:extLst>
        </xdr:cNvPr>
        <xdr:cNvSpPr/>
      </xdr:nvSpPr>
      <xdr:spPr>
        <a:xfrm>
          <a:off x="16756901" y="4813300"/>
          <a:ext cx="91870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3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3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3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976</a:t>
          </a:r>
        </a:p>
      </xdr:txBody>
    </xdr:sp>
    <xdr:clientData/>
  </xdr:twoCellAnchor>
  <xdr:twoCellAnchor>
    <xdr:from>
      <xdr:col>16</xdr:col>
      <xdr:colOff>4975707</xdr:colOff>
      <xdr:row>24</xdr:row>
      <xdr:rowOff>12700</xdr:rowOff>
    </xdr:from>
    <xdr:to>
      <xdr:col>16</xdr:col>
      <xdr:colOff>5758983</xdr:colOff>
      <xdr:row>24</xdr:row>
      <xdr:rowOff>177800</xdr:rowOff>
    </xdr:to>
    <xdr:sp macro="" textlink="">
      <xdr:nvSpPr>
        <xdr:cNvPr id="168446" name="Скругленный прямоугольник 168445">
          <a:extLst>
            <a:ext uri="{FF2B5EF4-FFF2-40B4-BE49-F238E27FC236}">
              <a16:creationId xmlns:a16="http://schemas.microsoft.com/office/drawing/2014/main" id="{00000000-0008-0000-0500-0000FE910200}"/>
            </a:ext>
          </a:extLst>
        </xdr:cNvPr>
        <xdr:cNvSpPr/>
      </xdr:nvSpPr>
      <xdr:spPr>
        <a:xfrm>
          <a:off x="17710632" y="4813300"/>
          <a:ext cx="78327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D7FF" mc:Ignorable="a14" a14:legacySpreadsheetColorIndex="4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ECFF" mc:Ignorable="a14" a14:legacySpreadsheetColorIndex="4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87AA" mc:Ignorable="a14" a14:legacySpreadsheetColorIndex="4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836</a:t>
          </a:r>
        </a:p>
      </xdr:txBody>
    </xdr:sp>
    <xdr:clientData/>
  </xdr:twoCellAnchor>
  <xdr:twoCellAnchor>
    <xdr:from>
      <xdr:col>16</xdr:col>
      <xdr:colOff>0</xdr:colOff>
      <xdr:row>25</xdr:row>
      <xdr:rowOff>12700</xdr:rowOff>
    </xdr:from>
    <xdr:to>
      <xdr:col>16</xdr:col>
      <xdr:colOff>1402359</xdr:colOff>
      <xdr:row>25</xdr:row>
      <xdr:rowOff>177800</xdr:rowOff>
    </xdr:to>
    <xdr:sp macro="" textlink="">
      <xdr:nvSpPr>
        <xdr:cNvPr id="168447" name="Скругленный прямоугольник 168446">
          <a:extLst>
            <a:ext uri="{FF2B5EF4-FFF2-40B4-BE49-F238E27FC236}">
              <a16:creationId xmlns:a16="http://schemas.microsoft.com/office/drawing/2014/main" id="{00000000-0008-0000-0500-0000FF910200}"/>
            </a:ext>
          </a:extLst>
        </xdr:cNvPr>
        <xdr:cNvSpPr/>
      </xdr:nvSpPr>
      <xdr:spPr>
        <a:xfrm>
          <a:off x="12734925" y="5003800"/>
          <a:ext cx="140235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FF" mc:Ignorable="a14" a14:legacySpreadsheetColorIndex="2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FF" mc:Ignorable="a14" a14:legacySpreadsheetColorIndex="2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AA" mc:Ignorable="a14" a14:legacySpreadsheetColorIndex="2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1476</a:t>
          </a:r>
        </a:p>
      </xdr:txBody>
    </xdr:sp>
    <xdr:clientData/>
  </xdr:twoCellAnchor>
  <xdr:twoCellAnchor>
    <xdr:from>
      <xdr:col>16</xdr:col>
      <xdr:colOff>1437390</xdr:colOff>
      <xdr:row>25</xdr:row>
      <xdr:rowOff>12700</xdr:rowOff>
    </xdr:from>
    <xdr:to>
      <xdr:col>16</xdr:col>
      <xdr:colOff>2820403</xdr:colOff>
      <xdr:row>25</xdr:row>
      <xdr:rowOff>177800</xdr:rowOff>
    </xdr:to>
    <xdr:sp macro="" textlink="">
      <xdr:nvSpPr>
        <xdr:cNvPr id="168448" name="Скругленный прямоугольник 168447">
          <a:extLst>
            <a:ext uri="{FF2B5EF4-FFF2-40B4-BE49-F238E27FC236}">
              <a16:creationId xmlns:a16="http://schemas.microsoft.com/office/drawing/2014/main" id="{00000000-0008-0000-0500-000000920200}"/>
            </a:ext>
          </a:extLst>
        </xdr:cNvPr>
        <xdr:cNvSpPr/>
      </xdr:nvSpPr>
      <xdr:spPr>
        <a:xfrm>
          <a:off x="14172315" y="5003800"/>
          <a:ext cx="138301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1456</a:t>
          </a:r>
        </a:p>
      </xdr:txBody>
    </xdr:sp>
    <xdr:clientData/>
  </xdr:twoCellAnchor>
  <xdr:twoCellAnchor>
    <xdr:from>
      <xdr:col>16</xdr:col>
      <xdr:colOff>2855433</xdr:colOff>
      <xdr:row>25</xdr:row>
      <xdr:rowOff>12700</xdr:rowOff>
    </xdr:from>
    <xdr:to>
      <xdr:col>16</xdr:col>
      <xdr:colOff>3977270</xdr:colOff>
      <xdr:row>25</xdr:row>
      <xdr:rowOff>177800</xdr:rowOff>
    </xdr:to>
    <xdr:sp macro="" textlink="">
      <xdr:nvSpPr>
        <xdr:cNvPr id="168449" name="Скругленный прямоугольник 168448">
          <a:extLst>
            <a:ext uri="{FF2B5EF4-FFF2-40B4-BE49-F238E27FC236}">
              <a16:creationId xmlns:a16="http://schemas.microsoft.com/office/drawing/2014/main" id="{00000000-0008-0000-0500-000001920200}"/>
            </a:ext>
          </a:extLst>
        </xdr:cNvPr>
        <xdr:cNvSpPr/>
      </xdr:nvSpPr>
      <xdr:spPr>
        <a:xfrm>
          <a:off x="15590358" y="5003800"/>
          <a:ext cx="112183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3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3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3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1186</a:t>
          </a:r>
        </a:p>
      </xdr:txBody>
    </xdr:sp>
    <xdr:clientData/>
  </xdr:twoCellAnchor>
  <xdr:twoCellAnchor>
    <xdr:from>
      <xdr:col>16</xdr:col>
      <xdr:colOff>4012302</xdr:colOff>
      <xdr:row>25</xdr:row>
      <xdr:rowOff>12700</xdr:rowOff>
    </xdr:from>
    <xdr:to>
      <xdr:col>16</xdr:col>
      <xdr:colOff>5018063</xdr:colOff>
      <xdr:row>25</xdr:row>
      <xdr:rowOff>177800</xdr:rowOff>
    </xdr:to>
    <xdr:sp macro="" textlink="">
      <xdr:nvSpPr>
        <xdr:cNvPr id="168450" name="Скругленный прямоугольник 168449">
          <a:extLst>
            <a:ext uri="{FF2B5EF4-FFF2-40B4-BE49-F238E27FC236}">
              <a16:creationId xmlns:a16="http://schemas.microsoft.com/office/drawing/2014/main" id="{00000000-0008-0000-0500-000002920200}"/>
            </a:ext>
          </a:extLst>
        </xdr:cNvPr>
        <xdr:cNvSpPr/>
      </xdr:nvSpPr>
      <xdr:spPr>
        <a:xfrm>
          <a:off x="16747227" y="5003800"/>
          <a:ext cx="10057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1066</a:t>
          </a:r>
        </a:p>
      </xdr:txBody>
    </xdr:sp>
    <xdr:clientData/>
  </xdr:twoCellAnchor>
  <xdr:twoCellAnchor>
    <xdr:from>
      <xdr:col>16</xdr:col>
      <xdr:colOff>5053093</xdr:colOff>
      <xdr:row>25</xdr:row>
      <xdr:rowOff>12700</xdr:rowOff>
    </xdr:from>
    <xdr:to>
      <xdr:col>16</xdr:col>
      <xdr:colOff>5758985</xdr:colOff>
      <xdr:row>25</xdr:row>
      <xdr:rowOff>177800</xdr:rowOff>
    </xdr:to>
    <xdr:sp macro="" textlink="">
      <xdr:nvSpPr>
        <xdr:cNvPr id="168451" name="Скругленный прямоугольник 168450">
          <a:extLst>
            <a:ext uri="{FF2B5EF4-FFF2-40B4-BE49-F238E27FC236}">
              <a16:creationId xmlns:a16="http://schemas.microsoft.com/office/drawing/2014/main" id="{00000000-0008-0000-0500-000003920200}"/>
            </a:ext>
          </a:extLst>
        </xdr:cNvPr>
        <xdr:cNvSpPr/>
      </xdr:nvSpPr>
      <xdr:spPr>
        <a:xfrm>
          <a:off x="17788018" y="5003800"/>
          <a:ext cx="70589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B4FF" mc:Ignorable="a14" a14:legacySpreadsheetColorIndex="4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DEFF" mc:Ignorable="a14" a14:legacySpreadsheetColorIndex="4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64AA" mc:Ignorable="a14" a14:legacySpreadsheetColorIndex="4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756</a:t>
          </a:r>
        </a:p>
      </xdr:txBody>
    </xdr:sp>
    <xdr:clientData/>
  </xdr:twoCellAnchor>
  <xdr:twoCellAnchor>
    <xdr:from>
      <xdr:col>16</xdr:col>
      <xdr:colOff>0</xdr:colOff>
      <xdr:row>26</xdr:row>
      <xdr:rowOff>12700</xdr:rowOff>
    </xdr:from>
    <xdr:to>
      <xdr:col>16</xdr:col>
      <xdr:colOff>1421705</xdr:colOff>
      <xdr:row>26</xdr:row>
      <xdr:rowOff>177800</xdr:rowOff>
    </xdr:to>
    <xdr:sp macro="" textlink="">
      <xdr:nvSpPr>
        <xdr:cNvPr id="168452" name="Скругленный прямоугольник 168451">
          <a:extLst>
            <a:ext uri="{FF2B5EF4-FFF2-40B4-BE49-F238E27FC236}">
              <a16:creationId xmlns:a16="http://schemas.microsoft.com/office/drawing/2014/main" id="{00000000-0008-0000-0500-000004920200}"/>
            </a:ext>
          </a:extLst>
        </xdr:cNvPr>
        <xdr:cNvSpPr/>
      </xdr:nvSpPr>
      <xdr:spPr>
        <a:xfrm>
          <a:off x="12734925" y="5194300"/>
          <a:ext cx="142170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1496</a:t>
          </a:r>
        </a:p>
      </xdr:txBody>
    </xdr:sp>
    <xdr:clientData/>
  </xdr:twoCellAnchor>
  <xdr:twoCellAnchor>
    <xdr:from>
      <xdr:col>16</xdr:col>
      <xdr:colOff>1456736</xdr:colOff>
      <xdr:row>26</xdr:row>
      <xdr:rowOff>12700</xdr:rowOff>
    </xdr:from>
    <xdr:to>
      <xdr:col>16</xdr:col>
      <xdr:colOff>2713997</xdr:colOff>
      <xdr:row>26</xdr:row>
      <xdr:rowOff>177800</xdr:rowOff>
    </xdr:to>
    <xdr:sp macro="" textlink="">
      <xdr:nvSpPr>
        <xdr:cNvPr id="168453" name="Скругленный прямоугольник 168452">
          <a:extLst>
            <a:ext uri="{FF2B5EF4-FFF2-40B4-BE49-F238E27FC236}">
              <a16:creationId xmlns:a16="http://schemas.microsoft.com/office/drawing/2014/main" id="{00000000-0008-0000-0500-000005920200}"/>
            </a:ext>
          </a:extLst>
        </xdr:cNvPr>
        <xdr:cNvSpPr/>
      </xdr:nvSpPr>
      <xdr:spPr>
        <a:xfrm>
          <a:off x="14191661" y="5194300"/>
          <a:ext cx="12572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6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6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2749029</xdr:colOff>
      <xdr:row>26</xdr:row>
      <xdr:rowOff>12700</xdr:rowOff>
    </xdr:from>
    <xdr:to>
      <xdr:col>16</xdr:col>
      <xdr:colOff>3851520</xdr:colOff>
      <xdr:row>26</xdr:row>
      <xdr:rowOff>177800</xdr:rowOff>
    </xdr:to>
    <xdr:sp macro="" textlink="">
      <xdr:nvSpPr>
        <xdr:cNvPr id="168454" name="Скругленный прямоугольник 168453">
          <a:extLst>
            <a:ext uri="{FF2B5EF4-FFF2-40B4-BE49-F238E27FC236}">
              <a16:creationId xmlns:a16="http://schemas.microsoft.com/office/drawing/2014/main" id="{00000000-0008-0000-0500-000006920200}"/>
            </a:ext>
          </a:extLst>
        </xdr:cNvPr>
        <xdr:cNvSpPr/>
      </xdr:nvSpPr>
      <xdr:spPr>
        <a:xfrm>
          <a:off x="15483954" y="51943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3886552</xdr:colOff>
      <xdr:row>26</xdr:row>
      <xdr:rowOff>12700</xdr:rowOff>
    </xdr:from>
    <xdr:to>
      <xdr:col>16</xdr:col>
      <xdr:colOff>4805252</xdr:colOff>
      <xdr:row>26</xdr:row>
      <xdr:rowOff>177800</xdr:rowOff>
    </xdr:to>
    <xdr:sp macro="" textlink="">
      <xdr:nvSpPr>
        <xdr:cNvPr id="168455" name="Скругленный прямоугольник 168454">
          <a:extLst>
            <a:ext uri="{FF2B5EF4-FFF2-40B4-BE49-F238E27FC236}">
              <a16:creationId xmlns:a16="http://schemas.microsoft.com/office/drawing/2014/main" id="{00000000-0008-0000-0500-000007920200}"/>
            </a:ext>
          </a:extLst>
        </xdr:cNvPr>
        <xdr:cNvSpPr/>
      </xdr:nvSpPr>
      <xdr:spPr>
        <a:xfrm>
          <a:off x="16621477" y="5194300"/>
          <a:ext cx="91870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3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3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3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976</a:t>
          </a:r>
        </a:p>
      </xdr:txBody>
    </xdr:sp>
    <xdr:clientData/>
  </xdr:twoCellAnchor>
  <xdr:twoCellAnchor>
    <xdr:from>
      <xdr:col>16</xdr:col>
      <xdr:colOff>4840283</xdr:colOff>
      <xdr:row>26</xdr:row>
      <xdr:rowOff>12700</xdr:rowOff>
    </xdr:from>
    <xdr:to>
      <xdr:col>16</xdr:col>
      <xdr:colOff>5758983</xdr:colOff>
      <xdr:row>26</xdr:row>
      <xdr:rowOff>177800</xdr:rowOff>
    </xdr:to>
    <xdr:sp macro="" textlink="">
      <xdr:nvSpPr>
        <xdr:cNvPr id="168456" name="Скругленный прямоугольник 168455">
          <a:extLst>
            <a:ext uri="{FF2B5EF4-FFF2-40B4-BE49-F238E27FC236}">
              <a16:creationId xmlns:a16="http://schemas.microsoft.com/office/drawing/2014/main" id="{00000000-0008-0000-0500-000008920200}"/>
            </a:ext>
          </a:extLst>
        </xdr:cNvPr>
        <xdr:cNvSpPr/>
      </xdr:nvSpPr>
      <xdr:spPr>
        <a:xfrm>
          <a:off x="17575208" y="5194300"/>
          <a:ext cx="91870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3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3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3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976</a:t>
          </a:r>
        </a:p>
      </xdr:txBody>
    </xdr:sp>
    <xdr:clientData/>
  </xdr:twoCellAnchor>
  <xdr:twoCellAnchor>
    <xdr:from>
      <xdr:col>16</xdr:col>
      <xdr:colOff>0</xdr:colOff>
      <xdr:row>27</xdr:row>
      <xdr:rowOff>12700</xdr:rowOff>
    </xdr:from>
    <xdr:to>
      <xdr:col>16</xdr:col>
      <xdr:colOff>1431379</xdr:colOff>
      <xdr:row>27</xdr:row>
      <xdr:rowOff>177800</xdr:rowOff>
    </xdr:to>
    <xdr:sp macro="" textlink="">
      <xdr:nvSpPr>
        <xdr:cNvPr id="168457" name="Скругленный прямоугольник 168456">
          <a:extLst>
            <a:ext uri="{FF2B5EF4-FFF2-40B4-BE49-F238E27FC236}">
              <a16:creationId xmlns:a16="http://schemas.microsoft.com/office/drawing/2014/main" id="{00000000-0008-0000-0500-000009920200}"/>
            </a:ext>
          </a:extLst>
        </xdr:cNvPr>
        <xdr:cNvSpPr/>
      </xdr:nvSpPr>
      <xdr:spPr>
        <a:xfrm>
          <a:off x="12734925" y="5384800"/>
          <a:ext cx="14313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83B4" mc:Ignorable="a14" a14:legacySpreadsheetColorIndex="6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CDDE" mc:Ignorable="a14" a14:legacySpreadsheetColorIndex="6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1E64" mc:Ignorable="a14" a14:legacySpreadsheetColorIndex="6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1506</a:t>
          </a:r>
        </a:p>
      </xdr:txBody>
    </xdr:sp>
    <xdr:clientData/>
  </xdr:twoCellAnchor>
  <xdr:twoCellAnchor>
    <xdr:from>
      <xdr:col>16</xdr:col>
      <xdr:colOff>1466410</xdr:colOff>
      <xdr:row>27</xdr:row>
      <xdr:rowOff>12700</xdr:rowOff>
    </xdr:from>
    <xdr:to>
      <xdr:col>16</xdr:col>
      <xdr:colOff>2723671</xdr:colOff>
      <xdr:row>27</xdr:row>
      <xdr:rowOff>177800</xdr:rowOff>
    </xdr:to>
    <xdr:sp macro="" textlink="">
      <xdr:nvSpPr>
        <xdr:cNvPr id="168458" name="Скругленный прямоугольник 168457">
          <a:extLst>
            <a:ext uri="{FF2B5EF4-FFF2-40B4-BE49-F238E27FC236}">
              <a16:creationId xmlns:a16="http://schemas.microsoft.com/office/drawing/2014/main" id="{00000000-0008-0000-0500-00000A920200}"/>
            </a:ext>
          </a:extLst>
        </xdr:cNvPr>
        <xdr:cNvSpPr/>
      </xdr:nvSpPr>
      <xdr:spPr>
        <a:xfrm>
          <a:off x="14201335" y="5384800"/>
          <a:ext cx="12572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6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6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2758703</xdr:colOff>
      <xdr:row>27</xdr:row>
      <xdr:rowOff>12700</xdr:rowOff>
    </xdr:from>
    <xdr:to>
      <xdr:col>16</xdr:col>
      <xdr:colOff>3996618</xdr:colOff>
      <xdr:row>27</xdr:row>
      <xdr:rowOff>177800</xdr:rowOff>
    </xdr:to>
    <xdr:sp macro="" textlink="">
      <xdr:nvSpPr>
        <xdr:cNvPr id="168459" name="Скругленный прямоугольник 168458">
          <a:extLst>
            <a:ext uri="{FF2B5EF4-FFF2-40B4-BE49-F238E27FC236}">
              <a16:creationId xmlns:a16="http://schemas.microsoft.com/office/drawing/2014/main" id="{00000000-0008-0000-0500-00000B920200}"/>
            </a:ext>
          </a:extLst>
        </xdr:cNvPr>
        <xdr:cNvSpPr/>
      </xdr:nvSpPr>
      <xdr:spPr>
        <a:xfrm>
          <a:off x="15493628" y="53848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6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6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6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4031648</xdr:colOff>
      <xdr:row>27</xdr:row>
      <xdr:rowOff>12700</xdr:rowOff>
    </xdr:from>
    <xdr:to>
      <xdr:col>16</xdr:col>
      <xdr:colOff>4931003</xdr:colOff>
      <xdr:row>27</xdr:row>
      <xdr:rowOff>177800</xdr:rowOff>
    </xdr:to>
    <xdr:sp macro="" textlink="">
      <xdr:nvSpPr>
        <xdr:cNvPr id="168460" name="Скругленный прямоугольник 168459">
          <a:extLst>
            <a:ext uri="{FF2B5EF4-FFF2-40B4-BE49-F238E27FC236}">
              <a16:creationId xmlns:a16="http://schemas.microsoft.com/office/drawing/2014/main" id="{00000000-0008-0000-0500-00000C920200}"/>
            </a:ext>
          </a:extLst>
        </xdr:cNvPr>
        <xdr:cNvSpPr/>
      </xdr:nvSpPr>
      <xdr:spPr>
        <a:xfrm>
          <a:off x="16766573" y="5384800"/>
          <a:ext cx="89935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956</a:t>
          </a:r>
        </a:p>
      </xdr:txBody>
    </xdr:sp>
    <xdr:clientData/>
  </xdr:twoCellAnchor>
  <xdr:twoCellAnchor>
    <xdr:from>
      <xdr:col>16</xdr:col>
      <xdr:colOff>4966035</xdr:colOff>
      <xdr:row>27</xdr:row>
      <xdr:rowOff>12700</xdr:rowOff>
    </xdr:from>
    <xdr:to>
      <xdr:col>16</xdr:col>
      <xdr:colOff>5758985</xdr:colOff>
      <xdr:row>27</xdr:row>
      <xdr:rowOff>177800</xdr:rowOff>
    </xdr:to>
    <xdr:sp macro="" textlink="">
      <xdr:nvSpPr>
        <xdr:cNvPr id="168461" name="Скругленный прямоугольник 168460">
          <a:extLst>
            <a:ext uri="{FF2B5EF4-FFF2-40B4-BE49-F238E27FC236}">
              <a16:creationId xmlns:a16="http://schemas.microsoft.com/office/drawing/2014/main" id="{00000000-0008-0000-0500-00000D920200}"/>
            </a:ext>
          </a:extLst>
        </xdr:cNvPr>
        <xdr:cNvSpPr/>
      </xdr:nvSpPr>
      <xdr:spPr>
        <a:xfrm>
          <a:off x="17700960" y="5384800"/>
          <a:ext cx="79295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FF" mc:Ignorable="a14" a14:legacySpreadsheetColorIndex="4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FF" mc:Ignorable="a14" a14:legacySpreadsheetColorIndex="4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AA" mc:Ignorable="a14" a14:legacySpreadsheetColorIndex="4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846</a:t>
          </a:r>
        </a:p>
      </xdr:txBody>
    </xdr:sp>
    <xdr:clientData/>
  </xdr:twoCellAnchor>
  <xdr:twoCellAnchor>
    <xdr:from>
      <xdr:col>16</xdr:col>
      <xdr:colOff>0</xdr:colOff>
      <xdr:row>28</xdr:row>
      <xdr:rowOff>12700</xdr:rowOff>
    </xdr:from>
    <xdr:to>
      <xdr:col>16</xdr:col>
      <xdr:colOff>1431379</xdr:colOff>
      <xdr:row>28</xdr:row>
      <xdr:rowOff>177800</xdr:rowOff>
    </xdr:to>
    <xdr:sp macro="" textlink="">
      <xdr:nvSpPr>
        <xdr:cNvPr id="168462" name="Скругленный прямоугольник 168461">
          <a:extLst>
            <a:ext uri="{FF2B5EF4-FFF2-40B4-BE49-F238E27FC236}">
              <a16:creationId xmlns:a16="http://schemas.microsoft.com/office/drawing/2014/main" id="{00000000-0008-0000-0500-00000E920200}"/>
            </a:ext>
          </a:extLst>
        </xdr:cNvPr>
        <xdr:cNvSpPr/>
      </xdr:nvSpPr>
      <xdr:spPr>
        <a:xfrm>
          <a:off x="12734925" y="5575300"/>
          <a:ext cx="14313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83B4" mc:Ignorable="a14" a14:legacySpreadsheetColorIndex="6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CDDE" mc:Ignorable="a14" a14:legacySpreadsheetColorIndex="6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1E64" mc:Ignorable="a14" a14:legacySpreadsheetColorIndex="6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1506</a:t>
          </a:r>
        </a:p>
      </xdr:txBody>
    </xdr:sp>
    <xdr:clientData/>
  </xdr:twoCellAnchor>
  <xdr:twoCellAnchor>
    <xdr:from>
      <xdr:col>16</xdr:col>
      <xdr:colOff>1466410</xdr:colOff>
      <xdr:row>28</xdr:row>
      <xdr:rowOff>12700</xdr:rowOff>
    </xdr:from>
    <xdr:to>
      <xdr:col>16</xdr:col>
      <xdr:colOff>2781711</xdr:colOff>
      <xdr:row>28</xdr:row>
      <xdr:rowOff>177800</xdr:rowOff>
    </xdr:to>
    <xdr:sp macro="" textlink="">
      <xdr:nvSpPr>
        <xdr:cNvPr id="168463" name="Скругленный прямоугольник 168462">
          <a:extLst>
            <a:ext uri="{FF2B5EF4-FFF2-40B4-BE49-F238E27FC236}">
              <a16:creationId xmlns:a16="http://schemas.microsoft.com/office/drawing/2014/main" id="{00000000-0008-0000-0500-00000F920200}"/>
            </a:ext>
          </a:extLst>
        </xdr:cNvPr>
        <xdr:cNvSpPr/>
      </xdr:nvSpPr>
      <xdr:spPr>
        <a:xfrm>
          <a:off x="14201335" y="5575300"/>
          <a:ext cx="131530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B4FF" mc:Ignorable="a14" a14:legacySpreadsheetColorIndex="2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DEFF" mc:Ignorable="a14" a14:legacySpreadsheetColorIndex="2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64AA" mc:Ignorable="a14" a14:legacySpreadsheetColorIndex="2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1386</a:t>
          </a:r>
        </a:p>
      </xdr:txBody>
    </xdr:sp>
    <xdr:clientData/>
  </xdr:twoCellAnchor>
  <xdr:twoCellAnchor>
    <xdr:from>
      <xdr:col>16</xdr:col>
      <xdr:colOff>2816741</xdr:colOff>
      <xdr:row>28</xdr:row>
      <xdr:rowOff>12700</xdr:rowOff>
    </xdr:from>
    <xdr:to>
      <xdr:col>16</xdr:col>
      <xdr:colOff>4025638</xdr:colOff>
      <xdr:row>28</xdr:row>
      <xdr:rowOff>177800</xdr:rowOff>
    </xdr:to>
    <xdr:sp macro="" textlink="">
      <xdr:nvSpPr>
        <xdr:cNvPr id="168464" name="Скругленный прямоугольник 168463">
          <a:extLst>
            <a:ext uri="{FF2B5EF4-FFF2-40B4-BE49-F238E27FC236}">
              <a16:creationId xmlns:a16="http://schemas.microsoft.com/office/drawing/2014/main" id="{00000000-0008-0000-0500-000010920200}"/>
            </a:ext>
          </a:extLst>
        </xdr:cNvPr>
        <xdr:cNvSpPr/>
      </xdr:nvSpPr>
      <xdr:spPr>
        <a:xfrm>
          <a:off x="15551666" y="5575300"/>
          <a:ext cx="120889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8B8B8" mc:Ignorable="a14" a14:legacySpreadsheetColorIndex="7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FDFDF" mc:Ignorable="a14" a14:legacySpreadsheetColorIndex="7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96969" mc:Ignorable="a14" a14:legacySpreadsheetColorIndex="7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1276</a:t>
          </a:r>
        </a:p>
      </xdr:txBody>
    </xdr:sp>
    <xdr:clientData/>
  </xdr:twoCellAnchor>
  <xdr:twoCellAnchor>
    <xdr:from>
      <xdr:col>16</xdr:col>
      <xdr:colOff>4060668</xdr:colOff>
      <xdr:row>28</xdr:row>
      <xdr:rowOff>12700</xdr:rowOff>
    </xdr:from>
    <xdr:to>
      <xdr:col>16</xdr:col>
      <xdr:colOff>5163159</xdr:colOff>
      <xdr:row>28</xdr:row>
      <xdr:rowOff>177800</xdr:rowOff>
    </xdr:to>
    <xdr:sp macro="" textlink="">
      <xdr:nvSpPr>
        <xdr:cNvPr id="168465" name="Скругленный прямоугольник 168464">
          <a:extLst>
            <a:ext uri="{FF2B5EF4-FFF2-40B4-BE49-F238E27FC236}">
              <a16:creationId xmlns:a16="http://schemas.microsoft.com/office/drawing/2014/main" id="{00000000-0008-0000-0500-000011920200}"/>
            </a:ext>
          </a:extLst>
        </xdr:cNvPr>
        <xdr:cNvSpPr/>
      </xdr:nvSpPr>
      <xdr:spPr>
        <a:xfrm>
          <a:off x="16795593" y="55753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5198190</xdr:colOff>
      <xdr:row>28</xdr:row>
      <xdr:rowOff>12700</xdr:rowOff>
    </xdr:from>
    <xdr:to>
      <xdr:col>16</xdr:col>
      <xdr:colOff>5758983</xdr:colOff>
      <xdr:row>28</xdr:row>
      <xdr:rowOff>177800</xdr:rowOff>
    </xdr:to>
    <xdr:sp macro="" textlink="">
      <xdr:nvSpPr>
        <xdr:cNvPr id="168466" name="Скругленный прямоугольник 168465">
          <a:extLst>
            <a:ext uri="{FF2B5EF4-FFF2-40B4-BE49-F238E27FC236}">
              <a16:creationId xmlns:a16="http://schemas.microsoft.com/office/drawing/2014/main" id="{00000000-0008-0000-0500-000012920200}"/>
            </a:ext>
          </a:extLst>
        </xdr:cNvPr>
        <xdr:cNvSpPr/>
      </xdr:nvSpPr>
      <xdr:spPr>
        <a:xfrm>
          <a:off x="17933115" y="5575300"/>
          <a:ext cx="56079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D7D7" mc:Ignorable="a14" a14:legacySpreadsheetColorIndex="4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ECEC" mc:Ignorable="a14" a14:legacySpreadsheetColorIndex="4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8787" mc:Ignorable="a14" a14:legacySpreadsheetColorIndex="4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606</a:t>
          </a:r>
        </a:p>
      </xdr:txBody>
    </xdr:sp>
    <xdr:clientData/>
  </xdr:twoCellAnchor>
  <xdr:twoCellAnchor>
    <xdr:from>
      <xdr:col>16</xdr:col>
      <xdr:colOff>0</xdr:colOff>
      <xdr:row>29</xdr:row>
      <xdr:rowOff>12700</xdr:rowOff>
    </xdr:from>
    <xdr:to>
      <xdr:col>16</xdr:col>
      <xdr:colOff>1450725</xdr:colOff>
      <xdr:row>29</xdr:row>
      <xdr:rowOff>177800</xdr:rowOff>
    </xdr:to>
    <xdr:sp macro="" textlink="">
      <xdr:nvSpPr>
        <xdr:cNvPr id="168467" name="Скругленный прямоугольник 168466">
          <a:extLst>
            <a:ext uri="{FF2B5EF4-FFF2-40B4-BE49-F238E27FC236}">
              <a16:creationId xmlns:a16="http://schemas.microsoft.com/office/drawing/2014/main" id="{00000000-0008-0000-0500-000013920200}"/>
            </a:ext>
          </a:extLst>
        </xdr:cNvPr>
        <xdr:cNvSpPr/>
      </xdr:nvSpPr>
      <xdr:spPr>
        <a:xfrm>
          <a:off x="12734925" y="5765800"/>
          <a:ext cx="14507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7C" mc:Ignorable="a14" a14:legacySpreadsheetColorIndex="1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CB" mc:Ignorable="a14" a14:legacySpreadsheetColorIndex="1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00" mc:Ignorable="a14" a14:legacySpreadsheetColorIndex="1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1485756</xdr:colOff>
      <xdr:row>29</xdr:row>
      <xdr:rowOff>12700</xdr:rowOff>
    </xdr:from>
    <xdr:to>
      <xdr:col>16</xdr:col>
      <xdr:colOff>2578574</xdr:colOff>
      <xdr:row>29</xdr:row>
      <xdr:rowOff>177800</xdr:rowOff>
    </xdr:to>
    <xdr:sp macro="" textlink="">
      <xdr:nvSpPr>
        <xdr:cNvPr id="168468" name="Скругленный прямоугольник 168467">
          <a:extLst>
            <a:ext uri="{FF2B5EF4-FFF2-40B4-BE49-F238E27FC236}">
              <a16:creationId xmlns:a16="http://schemas.microsoft.com/office/drawing/2014/main" id="{00000000-0008-0000-0500-000014920200}"/>
            </a:ext>
          </a:extLst>
        </xdr:cNvPr>
        <xdr:cNvSpPr/>
      </xdr:nvSpPr>
      <xdr:spPr>
        <a:xfrm>
          <a:off x="14220681" y="5765800"/>
          <a:ext cx="109281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3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3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3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1156</a:t>
          </a:r>
        </a:p>
      </xdr:txBody>
    </xdr:sp>
    <xdr:clientData/>
  </xdr:twoCellAnchor>
  <xdr:twoCellAnchor>
    <xdr:from>
      <xdr:col>16</xdr:col>
      <xdr:colOff>2613605</xdr:colOff>
      <xdr:row>29</xdr:row>
      <xdr:rowOff>12700</xdr:rowOff>
    </xdr:from>
    <xdr:to>
      <xdr:col>16</xdr:col>
      <xdr:colOff>3706423</xdr:colOff>
      <xdr:row>29</xdr:row>
      <xdr:rowOff>177800</xdr:rowOff>
    </xdr:to>
    <xdr:sp macro="" textlink="">
      <xdr:nvSpPr>
        <xdr:cNvPr id="168469" name="Скругленный прямоугольник 168468">
          <a:extLst>
            <a:ext uri="{FF2B5EF4-FFF2-40B4-BE49-F238E27FC236}">
              <a16:creationId xmlns:a16="http://schemas.microsoft.com/office/drawing/2014/main" id="{00000000-0008-0000-0500-000015920200}"/>
            </a:ext>
          </a:extLst>
        </xdr:cNvPr>
        <xdr:cNvSpPr/>
      </xdr:nvSpPr>
      <xdr:spPr>
        <a:xfrm>
          <a:off x="15348530" y="5765800"/>
          <a:ext cx="109281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3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3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3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1156</a:t>
          </a:r>
        </a:p>
      </xdr:txBody>
    </xdr:sp>
    <xdr:clientData/>
  </xdr:twoCellAnchor>
  <xdr:twoCellAnchor>
    <xdr:from>
      <xdr:col>16</xdr:col>
      <xdr:colOff>3741454</xdr:colOff>
      <xdr:row>29</xdr:row>
      <xdr:rowOff>12700</xdr:rowOff>
    </xdr:from>
    <xdr:to>
      <xdr:col>16</xdr:col>
      <xdr:colOff>4805252</xdr:colOff>
      <xdr:row>29</xdr:row>
      <xdr:rowOff>177800</xdr:rowOff>
    </xdr:to>
    <xdr:sp macro="" textlink="">
      <xdr:nvSpPr>
        <xdr:cNvPr id="168470" name="Скругленный прямоугольник 168469">
          <a:extLst>
            <a:ext uri="{FF2B5EF4-FFF2-40B4-BE49-F238E27FC236}">
              <a16:creationId xmlns:a16="http://schemas.microsoft.com/office/drawing/2014/main" id="{00000000-0008-0000-0500-000016920200}"/>
            </a:ext>
          </a:extLst>
        </xdr:cNvPr>
        <xdr:cNvSpPr/>
      </xdr:nvSpPr>
      <xdr:spPr>
        <a:xfrm>
          <a:off x="16476379" y="5765800"/>
          <a:ext cx="106379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5D5D5" mc:Ignorable="a14" a14:legacySpreadsheetColorIndex="7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BEBEB" mc:Ignorable="a14" a14:legacySpreadsheetColorIndex="7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48484" mc:Ignorable="a14" a14:legacySpreadsheetColorIndex="7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1126</a:t>
          </a:r>
        </a:p>
      </xdr:txBody>
    </xdr:sp>
    <xdr:clientData/>
  </xdr:twoCellAnchor>
  <xdr:twoCellAnchor>
    <xdr:from>
      <xdr:col>16</xdr:col>
      <xdr:colOff>4840283</xdr:colOff>
      <xdr:row>29</xdr:row>
      <xdr:rowOff>12700</xdr:rowOff>
    </xdr:from>
    <xdr:to>
      <xdr:col>16</xdr:col>
      <xdr:colOff>5758983</xdr:colOff>
      <xdr:row>29</xdr:row>
      <xdr:rowOff>177800</xdr:rowOff>
    </xdr:to>
    <xdr:sp macro="" textlink="">
      <xdr:nvSpPr>
        <xdr:cNvPr id="168471" name="Скругленный прямоугольник 168470">
          <a:extLst>
            <a:ext uri="{FF2B5EF4-FFF2-40B4-BE49-F238E27FC236}">
              <a16:creationId xmlns:a16="http://schemas.microsoft.com/office/drawing/2014/main" id="{00000000-0008-0000-0500-000017920200}"/>
            </a:ext>
          </a:extLst>
        </xdr:cNvPr>
        <xdr:cNvSpPr/>
      </xdr:nvSpPr>
      <xdr:spPr>
        <a:xfrm>
          <a:off x="17575208" y="5765800"/>
          <a:ext cx="91870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3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3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3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976</a:t>
          </a:r>
        </a:p>
      </xdr:txBody>
    </xdr:sp>
    <xdr:clientData/>
  </xdr:twoCellAnchor>
  <xdr:twoCellAnchor>
    <xdr:from>
      <xdr:col>16</xdr:col>
      <xdr:colOff>0</xdr:colOff>
      <xdr:row>30</xdr:row>
      <xdr:rowOff>12700</xdr:rowOff>
    </xdr:from>
    <xdr:to>
      <xdr:col>16</xdr:col>
      <xdr:colOff>1450725</xdr:colOff>
      <xdr:row>30</xdr:row>
      <xdr:rowOff>177800</xdr:rowOff>
    </xdr:to>
    <xdr:sp macro="" textlink="">
      <xdr:nvSpPr>
        <xdr:cNvPr id="168472" name="Скругленный прямоугольник 168471">
          <a:extLst>
            <a:ext uri="{FF2B5EF4-FFF2-40B4-BE49-F238E27FC236}">
              <a16:creationId xmlns:a16="http://schemas.microsoft.com/office/drawing/2014/main" id="{00000000-0008-0000-0500-000018920200}"/>
            </a:ext>
          </a:extLst>
        </xdr:cNvPr>
        <xdr:cNvSpPr/>
      </xdr:nvSpPr>
      <xdr:spPr>
        <a:xfrm>
          <a:off x="12734925" y="5956300"/>
          <a:ext cx="14507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7C" mc:Ignorable="a14" a14:legacySpreadsheetColorIndex="1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CB" mc:Ignorable="a14" a14:legacySpreadsheetColorIndex="1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00" mc:Ignorable="a14" a14:legacySpreadsheetColorIndex="1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1485756</xdr:colOff>
      <xdr:row>30</xdr:row>
      <xdr:rowOff>12700</xdr:rowOff>
    </xdr:from>
    <xdr:to>
      <xdr:col>16</xdr:col>
      <xdr:colOff>2752691</xdr:colOff>
      <xdr:row>30</xdr:row>
      <xdr:rowOff>177800</xdr:rowOff>
    </xdr:to>
    <xdr:sp macro="" textlink="">
      <xdr:nvSpPr>
        <xdr:cNvPr id="168473" name="Скругленный прямоугольник 168472">
          <a:extLst>
            <a:ext uri="{FF2B5EF4-FFF2-40B4-BE49-F238E27FC236}">
              <a16:creationId xmlns:a16="http://schemas.microsoft.com/office/drawing/2014/main" id="{00000000-0008-0000-0500-000019920200}"/>
            </a:ext>
          </a:extLst>
        </xdr:cNvPr>
        <xdr:cNvSpPr/>
      </xdr:nvSpPr>
      <xdr:spPr>
        <a:xfrm>
          <a:off x="14220681" y="59563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3F3F3" mc:Ignorable="a14" a14:legacySpreadsheetColorIndex="6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9F9F9" mc:Ignorable="a14" a14:legacySpreadsheetColorIndex="6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9F9F9F" mc:Ignorable="a14" a14:legacySpreadsheetColorIndex="6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2787721</xdr:colOff>
      <xdr:row>30</xdr:row>
      <xdr:rowOff>12700</xdr:rowOff>
    </xdr:from>
    <xdr:to>
      <xdr:col>16</xdr:col>
      <xdr:colOff>3890212</xdr:colOff>
      <xdr:row>30</xdr:row>
      <xdr:rowOff>177800</xdr:rowOff>
    </xdr:to>
    <xdr:sp macro="" textlink="">
      <xdr:nvSpPr>
        <xdr:cNvPr id="168474" name="Скругленный прямоугольник 168473">
          <a:extLst>
            <a:ext uri="{FF2B5EF4-FFF2-40B4-BE49-F238E27FC236}">
              <a16:creationId xmlns:a16="http://schemas.microsoft.com/office/drawing/2014/main" id="{00000000-0008-0000-0500-00001A920200}"/>
            </a:ext>
          </a:extLst>
        </xdr:cNvPr>
        <xdr:cNvSpPr/>
      </xdr:nvSpPr>
      <xdr:spPr>
        <a:xfrm>
          <a:off x="15522646" y="59563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3925244</xdr:colOff>
      <xdr:row>30</xdr:row>
      <xdr:rowOff>12700</xdr:rowOff>
    </xdr:from>
    <xdr:to>
      <xdr:col>16</xdr:col>
      <xdr:colOff>4998715</xdr:colOff>
      <xdr:row>30</xdr:row>
      <xdr:rowOff>177800</xdr:rowOff>
    </xdr:to>
    <xdr:sp macro="" textlink="">
      <xdr:nvSpPr>
        <xdr:cNvPr id="168475" name="Скругленный прямоугольник 168474">
          <a:extLst>
            <a:ext uri="{FF2B5EF4-FFF2-40B4-BE49-F238E27FC236}">
              <a16:creationId xmlns:a16="http://schemas.microsoft.com/office/drawing/2014/main" id="{00000000-0008-0000-0500-00001B920200}"/>
            </a:ext>
          </a:extLst>
        </xdr:cNvPr>
        <xdr:cNvSpPr/>
      </xdr:nvSpPr>
      <xdr:spPr>
        <a:xfrm>
          <a:off x="16660169" y="5956300"/>
          <a:ext cx="107347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1136</a:t>
          </a:r>
        </a:p>
      </xdr:txBody>
    </xdr:sp>
    <xdr:clientData/>
  </xdr:twoCellAnchor>
  <xdr:twoCellAnchor>
    <xdr:from>
      <xdr:col>16</xdr:col>
      <xdr:colOff>5033747</xdr:colOff>
      <xdr:row>30</xdr:row>
      <xdr:rowOff>12700</xdr:rowOff>
    </xdr:from>
    <xdr:to>
      <xdr:col>16</xdr:col>
      <xdr:colOff>5758985</xdr:colOff>
      <xdr:row>30</xdr:row>
      <xdr:rowOff>177800</xdr:rowOff>
    </xdr:to>
    <xdr:sp macro="" textlink="">
      <xdr:nvSpPr>
        <xdr:cNvPr id="168476" name="Скругленный прямоугольник 168475">
          <a:extLst>
            <a:ext uri="{FF2B5EF4-FFF2-40B4-BE49-F238E27FC236}">
              <a16:creationId xmlns:a16="http://schemas.microsoft.com/office/drawing/2014/main" id="{00000000-0008-0000-0500-00001C920200}"/>
            </a:ext>
          </a:extLst>
        </xdr:cNvPr>
        <xdr:cNvSpPr/>
      </xdr:nvSpPr>
      <xdr:spPr>
        <a:xfrm>
          <a:off x="17768672" y="5956300"/>
          <a:ext cx="72523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D7" mc:Ignorable="a14" a14:legacySpreadsheetColorIndex="4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EC" mc:Ignorable="a14" a14:legacySpreadsheetColorIndex="4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87" mc:Ignorable="a14" a14:legacySpreadsheetColorIndex="4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776</a:t>
          </a:r>
        </a:p>
      </xdr:txBody>
    </xdr:sp>
    <xdr:clientData/>
  </xdr:twoCellAnchor>
  <xdr:twoCellAnchor>
    <xdr:from>
      <xdr:col>16</xdr:col>
      <xdr:colOff>0</xdr:colOff>
      <xdr:row>31</xdr:row>
      <xdr:rowOff>12700</xdr:rowOff>
    </xdr:from>
    <xdr:to>
      <xdr:col>16</xdr:col>
      <xdr:colOff>1450725</xdr:colOff>
      <xdr:row>31</xdr:row>
      <xdr:rowOff>177800</xdr:rowOff>
    </xdr:to>
    <xdr:sp macro="" textlink="">
      <xdr:nvSpPr>
        <xdr:cNvPr id="168477" name="Скругленный прямоугольник 168476">
          <a:extLst>
            <a:ext uri="{FF2B5EF4-FFF2-40B4-BE49-F238E27FC236}">
              <a16:creationId xmlns:a16="http://schemas.microsoft.com/office/drawing/2014/main" id="{00000000-0008-0000-0500-00001D920200}"/>
            </a:ext>
          </a:extLst>
        </xdr:cNvPr>
        <xdr:cNvSpPr/>
      </xdr:nvSpPr>
      <xdr:spPr>
        <a:xfrm>
          <a:off x="12734925" y="6146800"/>
          <a:ext cx="14507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7C" mc:Ignorable="a14" a14:legacySpreadsheetColorIndex="1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CB" mc:Ignorable="a14" a14:legacySpreadsheetColorIndex="1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00" mc:Ignorable="a14" a14:legacySpreadsheetColorIndex="1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1485756</xdr:colOff>
      <xdr:row>31</xdr:row>
      <xdr:rowOff>12700</xdr:rowOff>
    </xdr:from>
    <xdr:to>
      <xdr:col>16</xdr:col>
      <xdr:colOff>2762365</xdr:colOff>
      <xdr:row>31</xdr:row>
      <xdr:rowOff>177800</xdr:rowOff>
    </xdr:to>
    <xdr:sp macro="" textlink="">
      <xdr:nvSpPr>
        <xdr:cNvPr id="168478" name="Скругленный прямоугольник 168477">
          <a:extLst>
            <a:ext uri="{FF2B5EF4-FFF2-40B4-BE49-F238E27FC236}">
              <a16:creationId xmlns:a16="http://schemas.microsoft.com/office/drawing/2014/main" id="{00000000-0008-0000-0500-00001E920200}"/>
            </a:ext>
          </a:extLst>
        </xdr:cNvPr>
        <xdr:cNvSpPr/>
      </xdr:nvSpPr>
      <xdr:spPr>
        <a:xfrm>
          <a:off x="14220681" y="6146800"/>
          <a:ext cx="127660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6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6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6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1346</a:t>
          </a:r>
        </a:p>
      </xdr:txBody>
    </xdr:sp>
    <xdr:clientData/>
  </xdr:twoCellAnchor>
  <xdr:twoCellAnchor>
    <xdr:from>
      <xdr:col>16</xdr:col>
      <xdr:colOff>2797395</xdr:colOff>
      <xdr:row>31</xdr:row>
      <xdr:rowOff>12700</xdr:rowOff>
    </xdr:from>
    <xdr:to>
      <xdr:col>16</xdr:col>
      <xdr:colOff>3928906</xdr:colOff>
      <xdr:row>31</xdr:row>
      <xdr:rowOff>177800</xdr:rowOff>
    </xdr:to>
    <xdr:sp macro="" textlink="">
      <xdr:nvSpPr>
        <xdr:cNvPr id="168479" name="Скругленный прямоугольник 168478">
          <a:extLst>
            <a:ext uri="{FF2B5EF4-FFF2-40B4-BE49-F238E27FC236}">
              <a16:creationId xmlns:a16="http://schemas.microsoft.com/office/drawing/2014/main" id="{00000000-0008-0000-0500-00001F920200}"/>
            </a:ext>
          </a:extLst>
        </xdr:cNvPr>
        <xdr:cNvSpPr/>
      </xdr:nvSpPr>
      <xdr:spPr>
        <a:xfrm>
          <a:off x="15532320" y="6146800"/>
          <a:ext cx="113151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D7FF" mc:Ignorable="a14" a14:legacySpreadsheetColorIndex="3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ECFF" mc:Ignorable="a14" a14:legacySpreadsheetColorIndex="3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87AA" mc:Ignorable="a14" a14:legacySpreadsheetColorIndex="3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1196</a:t>
          </a:r>
        </a:p>
      </xdr:txBody>
    </xdr:sp>
    <xdr:clientData/>
  </xdr:twoCellAnchor>
  <xdr:twoCellAnchor>
    <xdr:from>
      <xdr:col>16</xdr:col>
      <xdr:colOff>3963936</xdr:colOff>
      <xdr:row>31</xdr:row>
      <xdr:rowOff>12700</xdr:rowOff>
    </xdr:from>
    <xdr:to>
      <xdr:col>16</xdr:col>
      <xdr:colOff>5066427</xdr:colOff>
      <xdr:row>31</xdr:row>
      <xdr:rowOff>177800</xdr:rowOff>
    </xdr:to>
    <xdr:sp macro="" textlink="">
      <xdr:nvSpPr>
        <xdr:cNvPr id="168480" name="Скругленный прямоугольник 168479">
          <a:extLst>
            <a:ext uri="{FF2B5EF4-FFF2-40B4-BE49-F238E27FC236}">
              <a16:creationId xmlns:a16="http://schemas.microsoft.com/office/drawing/2014/main" id="{00000000-0008-0000-0500-000020920200}"/>
            </a:ext>
          </a:extLst>
        </xdr:cNvPr>
        <xdr:cNvSpPr/>
      </xdr:nvSpPr>
      <xdr:spPr>
        <a:xfrm>
          <a:off x="16698861" y="61468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5101459</xdr:colOff>
      <xdr:row>31</xdr:row>
      <xdr:rowOff>12700</xdr:rowOff>
    </xdr:from>
    <xdr:to>
      <xdr:col>16</xdr:col>
      <xdr:colOff>5758985</xdr:colOff>
      <xdr:row>31</xdr:row>
      <xdr:rowOff>177800</xdr:rowOff>
    </xdr:to>
    <xdr:sp macro="" textlink="">
      <xdr:nvSpPr>
        <xdr:cNvPr id="168481" name="Скругленный прямоугольник 168480">
          <a:extLst>
            <a:ext uri="{FF2B5EF4-FFF2-40B4-BE49-F238E27FC236}">
              <a16:creationId xmlns:a16="http://schemas.microsoft.com/office/drawing/2014/main" id="{00000000-0008-0000-0500-000021920200}"/>
            </a:ext>
          </a:extLst>
        </xdr:cNvPr>
        <xdr:cNvSpPr/>
      </xdr:nvSpPr>
      <xdr:spPr>
        <a:xfrm>
          <a:off x="17836384" y="6146800"/>
          <a:ext cx="65752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706</a:t>
          </a:r>
        </a:p>
      </xdr:txBody>
    </xdr:sp>
    <xdr:clientData/>
  </xdr:twoCellAnchor>
  <xdr:twoCellAnchor>
    <xdr:from>
      <xdr:col>16</xdr:col>
      <xdr:colOff>0</xdr:colOff>
      <xdr:row>32</xdr:row>
      <xdr:rowOff>12700</xdr:rowOff>
    </xdr:from>
    <xdr:to>
      <xdr:col>16</xdr:col>
      <xdr:colOff>1450725</xdr:colOff>
      <xdr:row>32</xdr:row>
      <xdr:rowOff>177800</xdr:rowOff>
    </xdr:to>
    <xdr:sp macro="" textlink="">
      <xdr:nvSpPr>
        <xdr:cNvPr id="168482" name="Скругленный прямоугольник 168481">
          <a:extLst>
            <a:ext uri="{FF2B5EF4-FFF2-40B4-BE49-F238E27FC236}">
              <a16:creationId xmlns:a16="http://schemas.microsoft.com/office/drawing/2014/main" id="{00000000-0008-0000-0500-000022920200}"/>
            </a:ext>
          </a:extLst>
        </xdr:cNvPr>
        <xdr:cNvSpPr/>
      </xdr:nvSpPr>
      <xdr:spPr>
        <a:xfrm>
          <a:off x="12734925" y="6337300"/>
          <a:ext cx="14507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7C" mc:Ignorable="a14" a14:legacySpreadsheetColorIndex="1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CB" mc:Ignorable="a14" a14:legacySpreadsheetColorIndex="1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00" mc:Ignorable="a14" a14:legacySpreadsheetColorIndex="1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1485756</xdr:colOff>
      <xdr:row>32</xdr:row>
      <xdr:rowOff>12700</xdr:rowOff>
    </xdr:from>
    <xdr:to>
      <xdr:col>16</xdr:col>
      <xdr:colOff>2801057</xdr:colOff>
      <xdr:row>32</xdr:row>
      <xdr:rowOff>177800</xdr:rowOff>
    </xdr:to>
    <xdr:sp macro="" textlink="">
      <xdr:nvSpPr>
        <xdr:cNvPr id="168483" name="Скругленный прямоугольник 168482">
          <a:extLst>
            <a:ext uri="{FF2B5EF4-FFF2-40B4-BE49-F238E27FC236}">
              <a16:creationId xmlns:a16="http://schemas.microsoft.com/office/drawing/2014/main" id="{00000000-0008-0000-0500-000023920200}"/>
            </a:ext>
          </a:extLst>
        </xdr:cNvPr>
        <xdr:cNvSpPr/>
      </xdr:nvSpPr>
      <xdr:spPr>
        <a:xfrm>
          <a:off x="14220681" y="6337300"/>
          <a:ext cx="131530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B4FF" mc:Ignorable="a14" a14:legacySpreadsheetColorIndex="2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DEFF" mc:Ignorable="a14" a14:legacySpreadsheetColorIndex="2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64AA" mc:Ignorable="a14" a14:legacySpreadsheetColorIndex="2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1386</a:t>
          </a:r>
        </a:p>
      </xdr:txBody>
    </xdr:sp>
    <xdr:clientData/>
  </xdr:twoCellAnchor>
  <xdr:twoCellAnchor>
    <xdr:from>
      <xdr:col>16</xdr:col>
      <xdr:colOff>2836087</xdr:colOff>
      <xdr:row>32</xdr:row>
      <xdr:rowOff>12700</xdr:rowOff>
    </xdr:from>
    <xdr:to>
      <xdr:col>16</xdr:col>
      <xdr:colOff>4083676</xdr:colOff>
      <xdr:row>32</xdr:row>
      <xdr:rowOff>177800</xdr:rowOff>
    </xdr:to>
    <xdr:sp macro="" textlink="">
      <xdr:nvSpPr>
        <xdr:cNvPr id="168484" name="Скругленный прямоугольник 168483">
          <a:extLst>
            <a:ext uri="{FF2B5EF4-FFF2-40B4-BE49-F238E27FC236}">
              <a16:creationId xmlns:a16="http://schemas.microsoft.com/office/drawing/2014/main" id="{00000000-0008-0000-0500-000024920200}"/>
            </a:ext>
          </a:extLst>
        </xdr:cNvPr>
        <xdr:cNvSpPr/>
      </xdr:nvSpPr>
      <xdr:spPr>
        <a:xfrm>
          <a:off x="15571012" y="6337300"/>
          <a:ext cx="12475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1316</a:t>
          </a:r>
        </a:p>
      </xdr:txBody>
    </xdr:sp>
    <xdr:clientData/>
  </xdr:twoCellAnchor>
  <xdr:twoCellAnchor>
    <xdr:from>
      <xdr:col>16</xdr:col>
      <xdr:colOff>4118707</xdr:colOff>
      <xdr:row>32</xdr:row>
      <xdr:rowOff>12700</xdr:rowOff>
    </xdr:from>
    <xdr:to>
      <xdr:col>16</xdr:col>
      <xdr:colOff>4931003</xdr:colOff>
      <xdr:row>32</xdr:row>
      <xdr:rowOff>177800</xdr:rowOff>
    </xdr:to>
    <xdr:sp macro="" textlink="">
      <xdr:nvSpPr>
        <xdr:cNvPr id="168485" name="Скругленный прямоугольник 168484">
          <a:extLst>
            <a:ext uri="{FF2B5EF4-FFF2-40B4-BE49-F238E27FC236}">
              <a16:creationId xmlns:a16="http://schemas.microsoft.com/office/drawing/2014/main" id="{00000000-0008-0000-0500-000025920200}"/>
            </a:ext>
          </a:extLst>
        </xdr:cNvPr>
        <xdr:cNvSpPr/>
      </xdr:nvSpPr>
      <xdr:spPr>
        <a:xfrm>
          <a:off x="16853632" y="6337300"/>
          <a:ext cx="81229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0E0" mc:Ignorable="a14" a14:legacySpreadsheetColorIndex="7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6F0" mc:Ignorable="a14" a14:legacySpreadsheetColorIndex="7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D8E" mc:Ignorable="a14" a14:legacySpreadsheetColorIndex="7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866</a:t>
          </a:r>
        </a:p>
      </xdr:txBody>
    </xdr:sp>
    <xdr:clientData/>
  </xdr:twoCellAnchor>
  <xdr:twoCellAnchor>
    <xdr:from>
      <xdr:col>16</xdr:col>
      <xdr:colOff>4966035</xdr:colOff>
      <xdr:row>32</xdr:row>
      <xdr:rowOff>12700</xdr:rowOff>
    </xdr:from>
    <xdr:to>
      <xdr:col>16</xdr:col>
      <xdr:colOff>5758985</xdr:colOff>
      <xdr:row>32</xdr:row>
      <xdr:rowOff>177800</xdr:rowOff>
    </xdr:to>
    <xdr:sp macro="" textlink="">
      <xdr:nvSpPr>
        <xdr:cNvPr id="168486" name="Скругленный прямоугольник 168485">
          <a:extLst>
            <a:ext uri="{FF2B5EF4-FFF2-40B4-BE49-F238E27FC236}">
              <a16:creationId xmlns:a16="http://schemas.microsoft.com/office/drawing/2014/main" id="{00000000-0008-0000-0500-000026920200}"/>
            </a:ext>
          </a:extLst>
        </xdr:cNvPr>
        <xdr:cNvSpPr/>
      </xdr:nvSpPr>
      <xdr:spPr>
        <a:xfrm>
          <a:off x="17700960" y="6337300"/>
          <a:ext cx="79295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FF" mc:Ignorable="a14" a14:legacySpreadsheetColorIndex="4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FF" mc:Ignorable="a14" a14:legacySpreadsheetColorIndex="4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AA" mc:Ignorable="a14" a14:legacySpreadsheetColorIndex="4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846</a:t>
          </a:r>
        </a:p>
      </xdr:txBody>
    </xdr:sp>
    <xdr:clientData/>
  </xdr:twoCellAnchor>
  <xdr:twoCellAnchor>
    <xdr:from>
      <xdr:col>16</xdr:col>
      <xdr:colOff>0</xdr:colOff>
      <xdr:row>33</xdr:row>
      <xdr:rowOff>12700</xdr:rowOff>
    </xdr:from>
    <xdr:to>
      <xdr:col>16</xdr:col>
      <xdr:colOff>1450725</xdr:colOff>
      <xdr:row>33</xdr:row>
      <xdr:rowOff>177800</xdr:rowOff>
    </xdr:to>
    <xdr:sp macro="" textlink="">
      <xdr:nvSpPr>
        <xdr:cNvPr id="168487" name="Скругленный прямоугольник 168486">
          <a:extLst>
            <a:ext uri="{FF2B5EF4-FFF2-40B4-BE49-F238E27FC236}">
              <a16:creationId xmlns:a16="http://schemas.microsoft.com/office/drawing/2014/main" id="{00000000-0008-0000-0500-000027920200}"/>
            </a:ext>
          </a:extLst>
        </xdr:cNvPr>
        <xdr:cNvSpPr/>
      </xdr:nvSpPr>
      <xdr:spPr>
        <a:xfrm>
          <a:off x="12734925" y="6527800"/>
          <a:ext cx="14507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7C" mc:Ignorable="a14" a14:legacySpreadsheetColorIndex="1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CB" mc:Ignorable="a14" a14:legacySpreadsheetColorIndex="1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00" mc:Ignorable="a14" a14:legacySpreadsheetColorIndex="1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1485756</xdr:colOff>
      <xdr:row>33</xdr:row>
      <xdr:rowOff>12700</xdr:rowOff>
    </xdr:from>
    <xdr:to>
      <xdr:col>16</xdr:col>
      <xdr:colOff>2820403</xdr:colOff>
      <xdr:row>33</xdr:row>
      <xdr:rowOff>177800</xdr:rowOff>
    </xdr:to>
    <xdr:sp macro="" textlink="">
      <xdr:nvSpPr>
        <xdr:cNvPr id="168488" name="Скругленный прямоугольник 168487">
          <a:extLst>
            <a:ext uri="{FF2B5EF4-FFF2-40B4-BE49-F238E27FC236}">
              <a16:creationId xmlns:a16="http://schemas.microsoft.com/office/drawing/2014/main" id="{00000000-0008-0000-0500-000028920200}"/>
            </a:ext>
          </a:extLst>
        </xdr:cNvPr>
        <xdr:cNvSpPr/>
      </xdr:nvSpPr>
      <xdr:spPr>
        <a:xfrm>
          <a:off x="14220681" y="6527800"/>
          <a:ext cx="13346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6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6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2855433</xdr:colOff>
      <xdr:row>33</xdr:row>
      <xdr:rowOff>12700</xdr:rowOff>
    </xdr:from>
    <xdr:to>
      <xdr:col>16</xdr:col>
      <xdr:colOff>4122369</xdr:colOff>
      <xdr:row>33</xdr:row>
      <xdr:rowOff>177800</xdr:rowOff>
    </xdr:to>
    <xdr:sp macro="" textlink="">
      <xdr:nvSpPr>
        <xdr:cNvPr id="168489" name="Скругленный прямоугольник 168488">
          <a:extLst>
            <a:ext uri="{FF2B5EF4-FFF2-40B4-BE49-F238E27FC236}">
              <a16:creationId xmlns:a16="http://schemas.microsoft.com/office/drawing/2014/main" id="{00000000-0008-0000-0500-000029920200}"/>
            </a:ext>
          </a:extLst>
        </xdr:cNvPr>
        <xdr:cNvSpPr/>
      </xdr:nvSpPr>
      <xdr:spPr>
        <a:xfrm>
          <a:off x="15590358" y="6527800"/>
          <a:ext cx="126693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3F3F3" mc:Ignorable="a14" a14:legacySpreadsheetColorIndex="6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9F9F9" mc:Ignorable="a14" a14:legacySpreadsheetColorIndex="6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9F9F9F" mc:Ignorable="a14" a14:legacySpreadsheetColorIndex="6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4157401</xdr:colOff>
      <xdr:row>33</xdr:row>
      <xdr:rowOff>12700</xdr:rowOff>
    </xdr:from>
    <xdr:to>
      <xdr:col>16</xdr:col>
      <xdr:colOff>5076101</xdr:colOff>
      <xdr:row>33</xdr:row>
      <xdr:rowOff>177800</xdr:rowOff>
    </xdr:to>
    <xdr:sp macro="" textlink="">
      <xdr:nvSpPr>
        <xdr:cNvPr id="168490" name="Скругленный прямоугольник 168489">
          <a:extLst>
            <a:ext uri="{FF2B5EF4-FFF2-40B4-BE49-F238E27FC236}">
              <a16:creationId xmlns:a16="http://schemas.microsoft.com/office/drawing/2014/main" id="{00000000-0008-0000-0500-00002A920200}"/>
            </a:ext>
          </a:extLst>
        </xdr:cNvPr>
        <xdr:cNvSpPr/>
      </xdr:nvSpPr>
      <xdr:spPr>
        <a:xfrm>
          <a:off x="16892326" y="6527800"/>
          <a:ext cx="91870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3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3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3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976</a:t>
          </a:r>
        </a:p>
      </xdr:txBody>
    </xdr:sp>
    <xdr:clientData/>
  </xdr:twoCellAnchor>
  <xdr:twoCellAnchor>
    <xdr:from>
      <xdr:col>16</xdr:col>
      <xdr:colOff>5111131</xdr:colOff>
      <xdr:row>33</xdr:row>
      <xdr:rowOff>12700</xdr:rowOff>
    </xdr:from>
    <xdr:to>
      <xdr:col>16</xdr:col>
      <xdr:colOff>5758983</xdr:colOff>
      <xdr:row>33</xdr:row>
      <xdr:rowOff>177800</xdr:rowOff>
    </xdr:to>
    <xdr:sp macro="" textlink="">
      <xdr:nvSpPr>
        <xdr:cNvPr id="168491" name="Скругленный прямоугольник 168490">
          <a:extLst>
            <a:ext uri="{FF2B5EF4-FFF2-40B4-BE49-F238E27FC236}">
              <a16:creationId xmlns:a16="http://schemas.microsoft.com/office/drawing/2014/main" id="{00000000-0008-0000-0500-00002B920200}"/>
            </a:ext>
          </a:extLst>
        </xdr:cNvPr>
        <xdr:cNvSpPr/>
      </xdr:nvSpPr>
      <xdr:spPr>
        <a:xfrm>
          <a:off x="17846056" y="6527800"/>
          <a:ext cx="64785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696</a:t>
          </a:r>
        </a:p>
      </xdr:txBody>
    </xdr:sp>
    <xdr:clientData/>
  </xdr:twoCellAnchor>
  <xdr:twoCellAnchor>
    <xdr:from>
      <xdr:col>16</xdr:col>
      <xdr:colOff>0</xdr:colOff>
      <xdr:row>34</xdr:row>
      <xdr:rowOff>12700</xdr:rowOff>
    </xdr:from>
    <xdr:to>
      <xdr:col>16</xdr:col>
      <xdr:colOff>1450725</xdr:colOff>
      <xdr:row>34</xdr:row>
      <xdr:rowOff>177800</xdr:rowOff>
    </xdr:to>
    <xdr:sp macro="" textlink="">
      <xdr:nvSpPr>
        <xdr:cNvPr id="168492" name="Скругленный прямоугольник 168491">
          <a:extLst>
            <a:ext uri="{FF2B5EF4-FFF2-40B4-BE49-F238E27FC236}">
              <a16:creationId xmlns:a16="http://schemas.microsoft.com/office/drawing/2014/main" id="{00000000-0008-0000-0500-00002C920200}"/>
            </a:ext>
          </a:extLst>
        </xdr:cNvPr>
        <xdr:cNvSpPr/>
      </xdr:nvSpPr>
      <xdr:spPr>
        <a:xfrm>
          <a:off x="12734925" y="6718300"/>
          <a:ext cx="14507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7C" mc:Ignorable="a14" a14:legacySpreadsheetColorIndex="1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CB" mc:Ignorable="a14" a14:legacySpreadsheetColorIndex="1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00" mc:Ignorable="a14" a14:legacySpreadsheetColorIndex="1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1485756</xdr:colOff>
      <xdr:row>34</xdr:row>
      <xdr:rowOff>12700</xdr:rowOff>
    </xdr:from>
    <xdr:to>
      <xdr:col>16</xdr:col>
      <xdr:colOff>2849423</xdr:colOff>
      <xdr:row>34</xdr:row>
      <xdr:rowOff>177800</xdr:rowOff>
    </xdr:to>
    <xdr:sp macro="" textlink="">
      <xdr:nvSpPr>
        <xdr:cNvPr id="168493" name="Скругленный прямоугольник 168492">
          <a:extLst>
            <a:ext uri="{FF2B5EF4-FFF2-40B4-BE49-F238E27FC236}">
              <a16:creationId xmlns:a16="http://schemas.microsoft.com/office/drawing/2014/main" id="{00000000-0008-0000-0500-00002D920200}"/>
            </a:ext>
          </a:extLst>
        </xdr:cNvPr>
        <xdr:cNvSpPr/>
      </xdr:nvSpPr>
      <xdr:spPr>
        <a:xfrm>
          <a:off x="14220681" y="6718300"/>
          <a:ext cx="136366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1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1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1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1436</a:t>
          </a:r>
        </a:p>
      </xdr:txBody>
    </xdr:sp>
    <xdr:clientData/>
  </xdr:twoCellAnchor>
  <xdr:twoCellAnchor>
    <xdr:from>
      <xdr:col>16</xdr:col>
      <xdr:colOff>2884453</xdr:colOff>
      <xdr:row>34</xdr:row>
      <xdr:rowOff>12700</xdr:rowOff>
    </xdr:from>
    <xdr:to>
      <xdr:col>16</xdr:col>
      <xdr:colOff>3996618</xdr:colOff>
      <xdr:row>34</xdr:row>
      <xdr:rowOff>177800</xdr:rowOff>
    </xdr:to>
    <xdr:sp macro="" textlink="">
      <xdr:nvSpPr>
        <xdr:cNvPr id="168494" name="Скругленный прямоугольник 168493">
          <a:extLst>
            <a:ext uri="{FF2B5EF4-FFF2-40B4-BE49-F238E27FC236}">
              <a16:creationId xmlns:a16="http://schemas.microsoft.com/office/drawing/2014/main" id="{00000000-0008-0000-0500-00002E920200}"/>
            </a:ext>
          </a:extLst>
        </xdr:cNvPr>
        <xdr:cNvSpPr/>
      </xdr:nvSpPr>
      <xdr:spPr>
        <a:xfrm>
          <a:off x="15619378" y="6718300"/>
          <a:ext cx="111216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3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3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3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1176</a:t>
          </a:r>
        </a:p>
      </xdr:txBody>
    </xdr:sp>
    <xdr:clientData/>
  </xdr:twoCellAnchor>
  <xdr:twoCellAnchor>
    <xdr:from>
      <xdr:col>16</xdr:col>
      <xdr:colOff>4031648</xdr:colOff>
      <xdr:row>34</xdr:row>
      <xdr:rowOff>12700</xdr:rowOff>
    </xdr:from>
    <xdr:to>
      <xdr:col>16</xdr:col>
      <xdr:colOff>5134139</xdr:colOff>
      <xdr:row>34</xdr:row>
      <xdr:rowOff>177800</xdr:rowOff>
    </xdr:to>
    <xdr:sp macro="" textlink="">
      <xdr:nvSpPr>
        <xdr:cNvPr id="168495" name="Скругленный прямоугольник 168494">
          <a:extLst>
            <a:ext uri="{FF2B5EF4-FFF2-40B4-BE49-F238E27FC236}">
              <a16:creationId xmlns:a16="http://schemas.microsoft.com/office/drawing/2014/main" id="{00000000-0008-0000-0500-00002F920200}"/>
            </a:ext>
          </a:extLst>
        </xdr:cNvPr>
        <xdr:cNvSpPr/>
      </xdr:nvSpPr>
      <xdr:spPr>
        <a:xfrm>
          <a:off x="16766573" y="67183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5169171</xdr:colOff>
      <xdr:row>34</xdr:row>
      <xdr:rowOff>12700</xdr:rowOff>
    </xdr:from>
    <xdr:to>
      <xdr:col>16</xdr:col>
      <xdr:colOff>5758985</xdr:colOff>
      <xdr:row>34</xdr:row>
      <xdr:rowOff>177800</xdr:rowOff>
    </xdr:to>
    <xdr:sp macro="" textlink="">
      <xdr:nvSpPr>
        <xdr:cNvPr id="168496" name="Скругленный прямоугольник 168495">
          <a:extLst>
            <a:ext uri="{FF2B5EF4-FFF2-40B4-BE49-F238E27FC236}">
              <a16:creationId xmlns:a16="http://schemas.microsoft.com/office/drawing/2014/main" id="{00000000-0008-0000-0500-000030920200}"/>
            </a:ext>
          </a:extLst>
        </xdr:cNvPr>
        <xdr:cNvSpPr/>
      </xdr:nvSpPr>
      <xdr:spPr>
        <a:xfrm>
          <a:off x="17904096" y="6718300"/>
          <a:ext cx="58981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636</a:t>
          </a:r>
        </a:p>
      </xdr:txBody>
    </xdr:sp>
    <xdr:clientData/>
  </xdr:twoCellAnchor>
  <xdr:twoCellAnchor>
    <xdr:from>
      <xdr:col>16</xdr:col>
      <xdr:colOff>0</xdr:colOff>
      <xdr:row>35</xdr:row>
      <xdr:rowOff>12700</xdr:rowOff>
    </xdr:from>
    <xdr:to>
      <xdr:col>16</xdr:col>
      <xdr:colOff>1450725</xdr:colOff>
      <xdr:row>35</xdr:row>
      <xdr:rowOff>177800</xdr:rowOff>
    </xdr:to>
    <xdr:sp macro="" textlink="">
      <xdr:nvSpPr>
        <xdr:cNvPr id="168497" name="Скругленный прямоугольник 168496">
          <a:extLst>
            <a:ext uri="{FF2B5EF4-FFF2-40B4-BE49-F238E27FC236}">
              <a16:creationId xmlns:a16="http://schemas.microsoft.com/office/drawing/2014/main" id="{00000000-0008-0000-0500-000031920200}"/>
            </a:ext>
          </a:extLst>
        </xdr:cNvPr>
        <xdr:cNvSpPr/>
      </xdr:nvSpPr>
      <xdr:spPr>
        <a:xfrm>
          <a:off x="12734925" y="6908800"/>
          <a:ext cx="14507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7C" mc:Ignorable="a14" a14:legacySpreadsheetColorIndex="1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CB" mc:Ignorable="a14" a14:legacySpreadsheetColorIndex="1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00" mc:Ignorable="a14" a14:legacySpreadsheetColorIndex="1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1485756</xdr:colOff>
      <xdr:row>35</xdr:row>
      <xdr:rowOff>12700</xdr:rowOff>
    </xdr:from>
    <xdr:to>
      <xdr:col>16</xdr:col>
      <xdr:colOff>2917135</xdr:colOff>
      <xdr:row>35</xdr:row>
      <xdr:rowOff>177800</xdr:rowOff>
    </xdr:to>
    <xdr:sp macro="" textlink="">
      <xdr:nvSpPr>
        <xdr:cNvPr id="168498" name="Скругленный прямоугольник 168497">
          <a:extLst>
            <a:ext uri="{FF2B5EF4-FFF2-40B4-BE49-F238E27FC236}">
              <a16:creationId xmlns:a16="http://schemas.microsoft.com/office/drawing/2014/main" id="{00000000-0008-0000-0500-000032920200}"/>
            </a:ext>
          </a:extLst>
        </xdr:cNvPr>
        <xdr:cNvSpPr/>
      </xdr:nvSpPr>
      <xdr:spPr>
        <a:xfrm>
          <a:off x="14220681" y="6908800"/>
          <a:ext cx="14313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83B4" mc:Ignorable="a14" a14:legacySpreadsheetColorIndex="6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CDDE" mc:Ignorable="a14" a14:legacySpreadsheetColorIndex="6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1E64" mc:Ignorable="a14" a14:legacySpreadsheetColorIndex="6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1506</a:t>
          </a:r>
        </a:p>
      </xdr:txBody>
    </xdr:sp>
    <xdr:clientData/>
  </xdr:twoCellAnchor>
  <xdr:twoCellAnchor>
    <xdr:from>
      <xdr:col>16</xdr:col>
      <xdr:colOff>2952166</xdr:colOff>
      <xdr:row>35</xdr:row>
      <xdr:rowOff>12700</xdr:rowOff>
    </xdr:from>
    <xdr:to>
      <xdr:col>16</xdr:col>
      <xdr:colOff>4296487</xdr:colOff>
      <xdr:row>35</xdr:row>
      <xdr:rowOff>177800</xdr:rowOff>
    </xdr:to>
    <xdr:sp macro="" textlink="">
      <xdr:nvSpPr>
        <xdr:cNvPr id="168499" name="Скругленный прямоугольник 168498">
          <a:extLst>
            <a:ext uri="{FF2B5EF4-FFF2-40B4-BE49-F238E27FC236}">
              <a16:creationId xmlns:a16="http://schemas.microsoft.com/office/drawing/2014/main" id="{00000000-0008-0000-0500-000033920200}"/>
            </a:ext>
          </a:extLst>
        </xdr:cNvPr>
        <xdr:cNvSpPr/>
      </xdr:nvSpPr>
      <xdr:spPr>
        <a:xfrm>
          <a:off x="15687091" y="6908800"/>
          <a:ext cx="134432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8383" mc:Ignorable="a14" a14:legacySpreadsheetColorIndex="6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CDCD" mc:Ignorable="a14" a14:legacySpreadsheetColorIndex="6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1E1E" mc:Ignorable="a14" a14:legacySpreadsheetColorIndex="6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1416</a:t>
          </a:r>
        </a:p>
      </xdr:txBody>
    </xdr:sp>
    <xdr:clientData/>
  </xdr:twoCellAnchor>
  <xdr:twoCellAnchor>
    <xdr:from>
      <xdr:col>16</xdr:col>
      <xdr:colOff>4331517</xdr:colOff>
      <xdr:row>35</xdr:row>
      <xdr:rowOff>12700</xdr:rowOff>
    </xdr:from>
    <xdr:to>
      <xdr:col>16</xdr:col>
      <xdr:colOff>5076101</xdr:colOff>
      <xdr:row>35</xdr:row>
      <xdr:rowOff>177800</xdr:rowOff>
    </xdr:to>
    <xdr:sp macro="" textlink="">
      <xdr:nvSpPr>
        <xdr:cNvPr id="168500" name="Скругленный прямоугольник 168499">
          <a:extLst>
            <a:ext uri="{FF2B5EF4-FFF2-40B4-BE49-F238E27FC236}">
              <a16:creationId xmlns:a16="http://schemas.microsoft.com/office/drawing/2014/main" id="{00000000-0008-0000-0500-000034920200}"/>
            </a:ext>
          </a:extLst>
        </xdr:cNvPr>
        <xdr:cNvSpPr/>
      </xdr:nvSpPr>
      <xdr:spPr>
        <a:xfrm>
          <a:off x="17066442" y="6908800"/>
          <a:ext cx="74458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B4" mc:Ignorable="a14" a14:legacySpreadsheetColorIndex="4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DE" mc:Ignorable="a14" a14:legacySpreadsheetColorIndex="4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64" mc:Ignorable="a14" a14:legacySpreadsheetColorIndex="4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796</a:t>
          </a:r>
        </a:p>
      </xdr:txBody>
    </xdr:sp>
    <xdr:clientData/>
  </xdr:twoCellAnchor>
  <xdr:twoCellAnchor>
    <xdr:from>
      <xdr:col>16</xdr:col>
      <xdr:colOff>5111131</xdr:colOff>
      <xdr:row>35</xdr:row>
      <xdr:rowOff>12700</xdr:rowOff>
    </xdr:from>
    <xdr:to>
      <xdr:col>16</xdr:col>
      <xdr:colOff>5758983</xdr:colOff>
      <xdr:row>35</xdr:row>
      <xdr:rowOff>177800</xdr:rowOff>
    </xdr:to>
    <xdr:sp macro="" textlink="">
      <xdr:nvSpPr>
        <xdr:cNvPr id="168501" name="Скругленный прямоугольник 168500">
          <a:extLst>
            <a:ext uri="{FF2B5EF4-FFF2-40B4-BE49-F238E27FC236}">
              <a16:creationId xmlns:a16="http://schemas.microsoft.com/office/drawing/2014/main" id="{00000000-0008-0000-0500-000035920200}"/>
            </a:ext>
          </a:extLst>
        </xdr:cNvPr>
        <xdr:cNvSpPr/>
      </xdr:nvSpPr>
      <xdr:spPr>
        <a:xfrm>
          <a:off x="17846056" y="6908800"/>
          <a:ext cx="64785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696</a:t>
          </a:r>
        </a:p>
      </xdr:txBody>
    </xdr:sp>
    <xdr:clientData/>
  </xdr:twoCellAnchor>
  <xdr:twoCellAnchor>
    <xdr:from>
      <xdr:col>16</xdr:col>
      <xdr:colOff>0</xdr:colOff>
      <xdr:row>36</xdr:row>
      <xdr:rowOff>12700</xdr:rowOff>
    </xdr:from>
    <xdr:to>
      <xdr:col>16</xdr:col>
      <xdr:colOff>1450725</xdr:colOff>
      <xdr:row>36</xdr:row>
      <xdr:rowOff>177800</xdr:rowOff>
    </xdr:to>
    <xdr:sp macro="" textlink="">
      <xdr:nvSpPr>
        <xdr:cNvPr id="168502" name="Скругленный прямоугольник 168501">
          <a:extLst>
            <a:ext uri="{FF2B5EF4-FFF2-40B4-BE49-F238E27FC236}">
              <a16:creationId xmlns:a16="http://schemas.microsoft.com/office/drawing/2014/main" id="{00000000-0008-0000-0500-000036920200}"/>
            </a:ext>
          </a:extLst>
        </xdr:cNvPr>
        <xdr:cNvSpPr/>
      </xdr:nvSpPr>
      <xdr:spPr>
        <a:xfrm>
          <a:off x="12734925" y="7099300"/>
          <a:ext cx="14507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7C" mc:Ignorable="a14" a14:legacySpreadsheetColorIndex="1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CB" mc:Ignorable="a14" a14:legacySpreadsheetColorIndex="1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00" mc:Ignorable="a14" a14:legacySpreadsheetColorIndex="1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1485756</xdr:colOff>
      <xdr:row>36</xdr:row>
      <xdr:rowOff>12700</xdr:rowOff>
    </xdr:from>
    <xdr:to>
      <xdr:col>16</xdr:col>
      <xdr:colOff>2936481</xdr:colOff>
      <xdr:row>36</xdr:row>
      <xdr:rowOff>177800</xdr:rowOff>
    </xdr:to>
    <xdr:sp macro="" textlink="">
      <xdr:nvSpPr>
        <xdr:cNvPr id="168503" name="Скругленный прямоугольник 168502">
          <a:extLst>
            <a:ext uri="{FF2B5EF4-FFF2-40B4-BE49-F238E27FC236}">
              <a16:creationId xmlns:a16="http://schemas.microsoft.com/office/drawing/2014/main" id="{00000000-0008-0000-0500-000037920200}"/>
            </a:ext>
          </a:extLst>
        </xdr:cNvPr>
        <xdr:cNvSpPr/>
      </xdr:nvSpPr>
      <xdr:spPr>
        <a:xfrm>
          <a:off x="14220681" y="7099300"/>
          <a:ext cx="14507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7C" mc:Ignorable="a14" a14:legacySpreadsheetColorIndex="1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CB" mc:Ignorable="a14" a14:legacySpreadsheetColorIndex="1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00" mc:Ignorable="a14" a14:legacySpreadsheetColorIndex="1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2971512</xdr:colOff>
      <xdr:row>36</xdr:row>
      <xdr:rowOff>12700</xdr:rowOff>
    </xdr:from>
    <xdr:to>
      <xdr:col>16</xdr:col>
      <xdr:colOff>4248121</xdr:colOff>
      <xdr:row>36</xdr:row>
      <xdr:rowOff>177800</xdr:rowOff>
    </xdr:to>
    <xdr:sp macro="" textlink="">
      <xdr:nvSpPr>
        <xdr:cNvPr id="168504" name="Скругленный прямоугольник 168503">
          <a:extLst>
            <a:ext uri="{FF2B5EF4-FFF2-40B4-BE49-F238E27FC236}">
              <a16:creationId xmlns:a16="http://schemas.microsoft.com/office/drawing/2014/main" id="{00000000-0008-0000-0500-000038920200}"/>
            </a:ext>
          </a:extLst>
        </xdr:cNvPr>
        <xdr:cNvSpPr/>
      </xdr:nvSpPr>
      <xdr:spPr>
        <a:xfrm>
          <a:off x="15706437" y="7099300"/>
          <a:ext cx="127660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6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6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6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1346</a:t>
          </a:r>
        </a:p>
      </xdr:txBody>
    </xdr:sp>
    <xdr:clientData/>
  </xdr:twoCellAnchor>
  <xdr:twoCellAnchor>
    <xdr:from>
      <xdr:col>16</xdr:col>
      <xdr:colOff>4283151</xdr:colOff>
      <xdr:row>36</xdr:row>
      <xdr:rowOff>12700</xdr:rowOff>
    </xdr:from>
    <xdr:to>
      <xdr:col>16</xdr:col>
      <xdr:colOff>5066427</xdr:colOff>
      <xdr:row>36</xdr:row>
      <xdr:rowOff>177800</xdr:rowOff>
    </xdr:to>
    <xdr:sp macro="" textlink="">
      <xdr:nvSpPr>
        <xdr:cNvPr id="168505" name="Скругленный прямоугольник 168504">
          <a:extLst>
            <a:ext uri="{FF2B5EF4-FFF2-40B4-BE49-F238E27FC236}">
              <a16:creationId xmlns:a16="http://schemas.microsoft.com/office/drawing/2014/main" id="{00000000-0008-0000-0500-000039920200}"/>
            </a:ext>
          </a:extLst>
        </xdr:cNvPr>
        <xdr:cNvSpPr/>
      </xdr:nvSpPr>
      <xdr:spPr>
        <a:xfrm>
          <a:off x="17018076" y="7099300"/>
          <a:ext cx="78327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D7FF" mc:Ignorable="a14" a14:legacySpreadsheetColorIndex="4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ECFF" mc:Ignorable="a14" a14:legacySpreadsheetColorIndex="4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87AA" mc:Ignorable="a14" a14:legacySpreadsheetColorIndex="4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836</a:t>
          </a:r>
        </a:p>
      </xdr:txBody>
    </xdr:sp>
    <xdr:clientData/>
  </xdr:twoCellAnchor>
  <xdr:twoCellAnchor>
    <xdr:from>
      <xdr:col>16</xdr:col>
      <xdr:colOff>5101459</xdr:colOff>
      <xdr:row>36</xdr:row>
      <xdr:rowOff>12700</xdr:rowOff>
    </xdr:from>
    <xdr:to>
      <xdr:col>16</xdr:col>
      <xdr:colOff>5758985</xdr:colOff>
      <xdr:row>36</xdr:row>
      <xdr:rowOff>177800</xdr:rowOff>
    </xdr:to>
    <xdr:sp macro="" textlink="">
      <xdr:nvSpPr>
        <xdr:cNvPr id="168506" name="Скругленный прямоугольник 168505">
          <a:extLst>
            <a:ext uri="{FF2B5EF4-FFF2-40B4-BE49-F238E27FC236}">
              <a16:creationId xmlns:a16="http://schemas.microsoft.com/office/drawing/2014/main" id="{00000000-0008-0000-0500-00003A920200}"/>
            </a:ext>
          </a:extLst>
        </xdr:cNvPr>
        <xdr:cNvSpPr/>
      </xdr:nvSpPr>
      <xdr:spPr>
        <a:xfrm>
          <a:off x="17836384" y="7099300"/>
          <a:ext cx="65752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706</a:t>
          </a:r>
        </a:p>
      </xdr:txBody>
    </xdr:sp>
    <xdr:clientData/>
  </xdr:twoCellAnchor>
  <xdr:twoCellAnchor>
    <xdr:from>
      <xdr:col>16</xdr:col>
      <xdr:colOff>0</xdr:colOff>
      <xdr:row>37</xdr:row>
      <xdr:rowOff>12700</xdr:rowOff>
    </xdr:from>
    <xdr:to>
      <xdr:col>16</xdr:col>
      <xdr:colOff>1499091</xdr:colOff>
      <xdr:row>37</xdr:row>
      <xdr:rowOff>177800</xdr:rowOff>
    </xdr:to>
    <xdr:sp macro="" textlink="">
      <xdr:nvSpPr>
        <xdr:cNvPr id="168507" name="Скругленный прямоугольник 168506">
          <a:extLst>
            <a:ext uri="{FF2B5EF4-FFF2-40B4-BE49-F238E27FC236}">
              <a16:creationId xmlns:a16="http://schemas.microsoft.com/office/drawing/2014/main" id="{00000000-0008-0000-0500-00003B920200}"/>
            </a:ext>
          </a:extLst>
        </xdr:cNvPr>
        <xdr:cNvSpPr/>
      </xdr:nvSpPr>
      <xdr:spPr>
        <a:xfrm>
          <a:off x="12734925" y="7289800"/>
          <a:ext cx="14990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A4" mc:Ignorable="a14" a14:legacySpreadsheetColorIndex="2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D8" mc:Ignorable="a14" a14:legacySpreadsheetColorIndex="2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53" mc:Ignorable="a14" a14:legacySpreadsheetColorIndex="2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1576</a:t>
          </a:r>
        </a:p>
      </xdr:txBody>
    </xdr:sp>
    <xdr:clientData/>
  </xdr:twoCellAnchor>
  <xdr:twoCellAnchor>
    <xdr:from>
      <xdr:col>16</xdr:col>
      <xdr:colOff>1534122</xdr:colOff>
      <xdr:row>37</xdr:row>
      <xdr:rowOff>12700</xdr:rowOff>
    </xdr:from>
    <xdr:to>
      <xdr:col>16</xdr:col>
      <xdr:colOff>2781711</xdr:colOff>
      <xdr:row>37</xdr:row>
      <xdr:rowOff>177800</xdr:rowOff>
    </xdr:to>
    <xdr:sp macro="" textlink="">
      <xdr:nvSpPr>
        <xdr:cNvPr id="168508" name="Скругленный прямоугольник 168507">
          <a:extLst>
            <a:ext uri="{FF2B5EF4-FFF2-40B4-BE49-F238E27FC236}">
              <a16:creationId xmlns:a16="http://schemas.microsoft.com/office/drawing/2014/main" id="{00000000-0008-0000-0500-00003C920200}"/>
            </a:ext>
          </a:extLst>
        </xdr:cNvPr>
        <xdr:cNvSpPr/>
      </xdr:nvSpPr>
      <xdr:spPr>
        <a:xfrm>
          <a:off x="14269047" y="7289800"/>
          <a:ext cx="12475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1316</a:t>
          </a:r>
        </a:p>
      </xdr:txBody>
    </xdr:sp>
    <xdr:clientData/>
  </xdr:twoCellAnchor>
  <xdr:twoCellAnchor>
    <xdr:from>
      <xdr:col>16</xdr:col>
      <xdr:colOff>2816741</xdr:colOff>
      <xdr:row>37</xdr:row>
      <xdr:rowOff>12700</xdr:rowOff>
    </xdr:from>
    <xdr:to>
      <xdr:col>16</xdr:col>
      <xdr:colOff>3948252</xdr:colOff>
      <xdr:row>37</xdr:row>
      <xdr:rowOff>177800</xdr:rowOff>
    </xdr:to>
    <xdr:sp macro="" textlink="">
      <xdr:nvSpPr>
        <xdr:cNvPr id="168509" name="Скругленный прямоугольник 168508">
          <a:extLst>
            <a:ext uri="{FF2B5EF4-FFF2-40B4-BE49-F238E27FC236}">
              <a16:creationId xmlns:a16="http://schemas.microsoft.com/office/drawing/2014/main" id="{00000000-0008-0000-0500-00003D920200}"/>
            </a:ext>
          </a:extLst>
        </xdr:cNvPr>
        <xdr:cNvSpPr/>
      </xdr:nvSpPr>
      <xdr:spPr>
        <a:xfrm>
          <a:off x="15551666" y="7289800"/>
          <a:ext cx="113151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D7FF" mc:Ignorable="a14" a14:legacySpreadsheetColorIndex="3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ECFF" mc:Ignorable="a14" a14:legacySpreadsheetColorIndex="3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87AA" mc:Ignorable="a14" a14:legacySpreadsheetColorIndex="3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1196</a:t>
          </a:r>
        </a:p>
      </xdr:txBody>
    </xdr:sp>
    <xdr:clientData/>
  </xdr:twoCellAnchor>
  <xdr:twoCellAnchor>
    <xdr:from>
      <xdr:col>16</xdr:col>
      <xdr:colOff>3983282</xdr:colOff>
      <xdr:row>37</xdr:row>
      <xdr:rowOff>12700</xdr:rowOff>
    </xdr:from>
    <xdr:to>
      <xdr:col>16</xdr:col>
      <xdr:colOff>5105119</xdr:colOff>
      <xdr:row>37</xdr:row>
      <xdr:rowOff>177800</xdr:rowOff>
    </xdr:to>
    <xdr:sp macro="" textlink="">
      <xdr:nvSpPr>
        <xdr:cNvPr id="168510" name="Скругленный прямоугольник 168509">
          <a:extLst>
            <a:ext uri="{FF2B5EF4-FFF2-40B4-BE49-F238E27FC236}">
              <a16:creationId xmlns:a16="http://schemas.microsoft.com/office/drawing/2014/main" id="{00000000-0008-0000-0500-00003E920200}"/>
            </a:ext>
          </a:extLst>
        </xdr:cNvPr>
        <xdr:cNvSpPr/>
      </xdr:nvSpPr>
      <xdr:spPr>
        <a:xfrm>
          <a:off x="16718207" y="7289800"/>
          <a:ext cx="112183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3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3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3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1186</a:t>
          </a:r>
        </a:p>
      </xdr:txBody>
    </xdr:sp>
    <xdr:clientData/>
  </xdr:twoCellAnchor>
  <xdr:twoCellAnchor>
    <xdr:from>
      <xdr:col>16</xdr:col>
      <xdr:colOff>5140151</xdr:colOff>
      <xdr:row>37</xdr:row>
      <xdr:rowOff>12700</xdr:rowOff>
    </xdr:from>
    <xdr:to>
      <xdr:col>16</xdr:col>
      <xdr:colOff>5758985</xdr:colOff>
      <xdr:row>37</xdr:row>
      <xdr:rowOff>177800</xdr:rowOff>
    </xdr:to>
    <xdr:sp macro="" textlink="">
      <xdr:nvSpPr>
        <xdr:cNvPr id="168511" name="Скругленный прямоугольник 168510">
          <a:extLst>
            <a:ext uri="{FF2B5EF4-FFF2-40B4-BE49-F238E27FC236}">
              <a16:creationId xmlns:a16="http://schemas.microsoft.com/office/drawing/2014/main" id="{00000000-0008-0000-0500-00003F920200}"/>
            </a:ext>
          </a:extLst>
        </xdr:cNvPr>
        <xdr:cNvSpPr/>
      </xdr:nvSpPr>
      <xdr:spPr>
        <a:xfrm>
          <a:off x="17875076" y="7289800"/>
          <a:ext cx="61883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48484" mc:Ignorable="a14" a14:legacySpreadsheetColorIndex="7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ECECE" mc:Ignorable="a14" a14:legacySpreadsheetColorIndex="7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212121" mc:Ignorable="a14" a14:legacySpreadsheetColorIndex="7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666</a:t>
          </a:r>
        </a:p>
      </xdr:txBody>
    </xdr:sp>
    <xdr:clientData/>
  </xdr:twoCellAnchor>
  <xdr:twoCellAnchor>
    <xdr:from>
      <xdr:col>16</xdr:col>
      <xdr:colOff>0</xdr:colOff>
      <xdr:row>38</xdr:row>
      <xdr:rowOff>12700</xdr:rowOff>
    </xdr:from>
    <xdr:to>
      <xdr:col>16</xdr:col>
      <xdr:colOff>1499091</xdr:colOff>
      <xdr:row>38</xdr:row>
      <xdr:rowOff>177800</xdr:rowOff>
    </xdr:to>
    <xdr:sp macro="" textlink="">
      <xdr:nvSpPr>
        <xdr:cNvPr id="168512" name="Скругленный прямоугольник 168511">
          <a:extLst>
            <a:ext uri="{FF2B5EF4-FFF2-40B4-BE49-F238E27FC236}">
              <a16:creationId xmlns:a16="http://schemas.microsoft.com/office/drawing/2014/main" id="{00000000-0008-0000-0500-000040920200}"/>
            </a:ext>
          </a:extLst>
        </xdr:cNvPr>
        <xdr:cNvSpPr/>
      </xdr:nvSpPr>
      <xdr:spPr>
        <a:xfrm>
          <a:off x="12734925" y="7480300"/>
          <a:ext cx="14990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A4" mc:Ignorable="a14" a14:legacySpreadsheetColorIndex="2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D8" mc:Ignorable="a14" a14:legacySpreadsheetColorIndex="2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53" mc:Ignorable="a14" a14:legacySpreadsheetColorIndex="2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1576</a:t>
          </a:r>
        </a:p>
      </xdr:txBody>
    </xdr:sp>
    <xdr:clientData/>
  </xdr:twoCellAnchor>
  <xdr:twoCellAnchor>
    <xdr:from>
      <xdr:col>16</xdr:col>
      <xdr:colOff>1534122</xdr:colOff>
      <xdr:row>38</xdr:row>
      <xdr:rowOff>12700</xdr:rowOff>
    </xdr:from>
    <xdr:to>
      <xdr:col>16</xdr:col>
      <xdr:colOff>2801057</xdr:colOff>
      <xdr:row>38</xdr:row>
      <xdr:rowOff>177800</xdr:rowOff>
    </xdr:to>
    <xdr:sp macro="" textlink="">
      <xdr:nvSpPr>
        <xdr:cNvPr id="168513" name="Скругленный прямоугольник 168512">
          <a:extLst>
            <a:ext uri="{FF2B5EF4-FFF2-40B4-BE49-F238E27FC236}">
              <a16:creationId xmlns:a16="http://schemas.microsoft.com/office/drawing/2014/main" id="{00000000-0008-0000-0500-000041920200}"/>
            </a:ext>
          </a:extLst>
        </xdr:cNvPr>
        <xdr:cNvSpPr/>
      </xdr:nvSpPr>
      <xdr:spPr>
        <a:xfrm>
          <a:off x="14269047" y="74803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3F3F3" mc:Ignorable="a14" a14:legacySpreadsheetColorIndex="6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9F9F9" mc:Ignorable="a14" a14:legacySpreadsheetColorIndex="6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9F9F9F" mc:Ignorable="a14" a14:legacySpreadsheetColorIndex="6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2836087</xdr:colOff>
      <xdr:row>38</xdr:row>
      <xdr:rowOff>12700</xdr:rowOff>
    </xdr:from>
    <xdr:to>
      <xdr:col>16</xdr:col>
      <xdr:colOff>3938578</xdr:colOff>
      <xdr:row>38</xdr:row>
      <xdr:rowOff>177800</xdr:rowOff>
    </xdr:to>
    <xdr:sp macro="" textlink="">
      <xdr:nvSpPr>
        <xdr:cNvPr id="168514" name="Скругленный прямоугольник 168513">
          <a:extLst>
            <a:ext uri="{FF2B5EF4-FFF2-40B4-BE49-F238E27FC236}">
              <a16:creationId xmlns:a16="http://schemas.microsoft.com/office/drawing/2014/main" id="{00000000-0008-0000-0500-000042920200}"/>
            </a:ext>
          </a:extLst>
        </xdr:cNvPr>
        <xdr:cNvSpPr/>
      </xdr:nvSpPr>
      <xdr:spPr>
        <a:xfrm>
          <a:off x="15571012" y="74803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3973610</xdr:colOff>
      <xdr:row>38</xdr:row>
      <xdr:rowOff>12700</xdr:rowOff>
    </xdr:from>
    <xdr:to>
      <xdr:col>16</xdr:col>
      <xdr:colOff>4979370</xdr:colOff>
      <xdr:row>38</xdr:row>
      <xdr:rowOff>177800</xdr:rowOff>
    </xdr:to>
    <xdr:sp macro="" textlink="">
      <xdr:nvSpPr>
        <xdr:cNvPr id="168515" name="Скругленный прямоугольник 168514">
          <a:extLst>
            <a:ext uri="{FF2B5EF4-FFF2-40B4-BE49-F238E27FC236}">
              <a16:creationId xmlns:a16="http://schemas.microsoft.com/office/drawing/2014/main" id="{00000000-0008-0000-0500-000043920200}"/>
            </a:ext>
          </a:extLst>
        </xdr:cNvPr>
        <xdr:cNvSpPr/>
      </xdr:nvSpPr>
      <xdr:spPr>
        <a:xfrm>
          <a:off x="16708535" y="7480300"/>
          <a:ext cx="100576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1066</a:t>
          </a:r>
        </a:p>
      </xdr:txBody>
    </xdr:sp>
    <xdr:clientData/>
  </xdr:twoCellAnchor>
  <xdr:twoCellAnchor>
    <xdr:from>
      <xdr:col>16</xdr:col>
      <xdr:colOff>5014401</xdr:colOff>
      <xdr:row>38</xdr:row>
      <xdr:rowOff>12700</xdr:rowOff>
    </xdr:from>
    <xdr:to>
      <xdr:col>16</xdr:col>
      <xdr:colOff>5758985</xdr:colOff>
      <xdr:row>38</xdr:row>
      <xdr:rowOff>177800</xdr:rowOff>
    </xdr:to>
    <xdr:sp macro="" textlink="">
      <xdr:nvSpPr>
        <xdr:cNvPr id="168516" name="Скругленный прямоугольник 168515">
          <a:extLst>
            <a:ext uri="{FF2B5EF4-FFF2-40B4-BE49-F238E27FC236}">
              <a16:creationId xmlns:a16="http://schemas.microsoft.com/office/drawing/2014/main" id="{00000000-0008-0000-0500-000044920200}"/>
            </a:ext>
          </a:extLst>
        </xdr:cNvPr>
        <xdr:cNvSpPr/>
      </xdr:nvSpPr>
      <xdr:spPr>
        <a:xfrm>
          <a:off x="17749326" y="7480300"/>
          <a:ext cx="74458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B4" mc:Ignorable="a14" a14:legacySpreadsheetColorIndex="4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DE" mc:Ignorable="a14" a14:legacySpreadsheetColorIndex="4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64" mc:Ignorable="a14" a14:legacySpreadsheetColorIndex="4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796</a:t>
          </a:r>
        </a:p>
      </xdr:txBody>
    </xdr:sp>
    <xdr:clientData/>
  </xdr:twoCellAnchor>
  <xdr:twoCellAnchor>
    <xdr:from>
      <xdr:col>16</xdr:col>
      <xdr:colOff>0</xdr:colOff>
      <xdr:row>39</xdr:row>
      <xdr:rowOff>12700</xdr:rowOff>
    </xdr:from>
    <xdr:to>
      <xdr:col>16</xdr:col>
      <xdr:colOff>1750594</xdr:colOff>
      <xdr:row>39</xdr:row>
      <xdr:rowOff>177800</xdr:rowOff>
    </xdr:to>
    <xdr:sp macro="" textlink="">
      <xdr:nvSpPr>
        <xdr:cNvPr id="168517" name="Скругленный прямоугольник 168516">
          <a:extLst>
            <a:ext uri="{FF2B5EF4-FFF2-40B4-BE49-F238E27FC236}">
              <a16:creationId xmlns:a16="http://schemas.microsoft.com/office/drawing/2014/main" id="{00000000-0008-0000-0500-000045920200}"/>
            </a:ext>
          </a:extLst>
        </xdr:cNvPr>
        <xdr:cNvSpPr/>
      </xdr:nvSpPr>
      <xdr:spPr>
        <a:xfrm>
          <a:off x="12734925" y="7670800"/>
          <a:ext cx="175059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837C" mc:Ignorable="a14" a14:legacySpreadsheetColorIndex="5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CDCB" mc:Ignorable="a14" a14:legacySpreadsheetColorIndex="5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1E00" mc:Ignorable="a14" a14:legacySpreadsheetColorIndex="5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1836</a:t>
          </a:r>
        </a:p>
      </xdr:txBody>
    </xdr:sp>
    <xdr:clientData/>
  </xdr:twoCellAnchor>
  <xdr:twoCellAnchor>
    <xdr:from>
      <xdr:col>16</xdr:col>
      <xdr:colOff>1785624</xdr:colOff>
      <xdr:row>39</xdr:row>
      <xdr:rowOff>12700</xdr:rowOff>
    </xdr:from>
    <xdr:to>
      <xdr:col>16</xdr:col>
      <xdr:colOff>3042886</xdr:colOff>
      <xdr:row>39</xdr:row>
      <xdr:rowOff>177800</xdr:rowOff>
    </xdr:to>
    <xdr:sp macro="" textlink="">
      <xdr:nvSpPr>
        <xdr:cNvPr id="168518" name="Скругленный прямоугольник 168517">
          <a:extLst>
            <a:ext uri="{FF2B5EF4-FFF2-40B4-BE49-F238E27FC236}">
              <a16:creationId xmlns:a16="http://schemas.microsoft.com/office/drawing/2014/main" id="{00000000-0008-0000-0500-000046920200}"/>
            </a:ext>
          </a:extLst>
        </xdr:cNvPr>
        <xdr:cNvSpPr/>
      </xdr:nvSpPr>
      <xdr:spPr>
        <a:xfrm>
          <a:off x="14520549" y="7670800"/>
          <a:ext cx="125726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6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6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3077918</xdr:colOff>
      <xdr:row>39</xdr:row>
      <xdr:rowOff>12700</xdr:rowOff>
    </xdr:from>
    <xdr:to>
      <xdr:col>16</xdr:col>
      <xdr:colOff>4325507</xdr:colOff>
      <xdr:row>39</xdr:row>
      <xdr:rowOff>177800</xdr:rowOff>
    </xdr:to>
    <xdr:sp macro="" textlink="">
      <xdr:nvSpPr>
        <xdr:cNvPr id="168519" name="Скругленный прямоугольник 168518">
          <a:extLst>
            <a:ext uri="{FF2B5EF4-FFF2-40B4-BE49-F238E27FC236}">
              <a16:creationId xmlns:a16="http://schemas.microsoft.com/office/drawing/2014/main" id="{00000000-0008-0000-0500-000047920200}"/>
            </a:ext>
          </a:extLst>
        </xdr:cNvPr>
        <xdr:cNvSpPr/>
      </xdr:nvSpPr>
      <xdr:spPr>
        <a:xfrm>
          <a:off x="15812843" y="7670800"/>
          <a:ext cx="12475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1316</a:t>
          </a:r>
        </a:p>
      </xdr:txBody>
    </xdr:sp>
    <xdr:clientData/>
  </xdr:twoCellAnchor>
  <xdr:twoCellAnchor>
    <xdr:from>
      <xdr:col>16</xdr:col>
      <xdr:colOff>4360537</xdr:colOff>
      <xdr:row>39</xdr:row>
      <xdr:rowOff>12700</xdr:rowOff>
    </xdr:from>
    <xdr:to>
      <xdr:col>16</xdr:col>
      <xdr:colOff>5066429</xdr:colOff>
      <xdr:row>39</xdr:row>
      <xdr:rowOff>177800</xdr:rowOff>
    </xdr:to>
    <xdr:sp macro="" textlink="">
      <xdr:nvSpPr>
        <xdr:cNvPr id="168520" name="Скругленный прямоугольник 168519">
          <a:extLst>
            <a:ext uri="{FF2B5EF4-FFF2-40B4-BE49-F238E27FC236}">
              <a16:creationId xmlns:a16="http://schemas.microsoft.com/office/drawing/2014/main" id="{00000000-0008-0000-0500-000048920200}"/>
            </a:ext>
          </a:extLst>
        </xdr:cNvPr>
        <xdr:cNvSpPr/>
      </xdr:nvSpPr>
      <xdr:spPr>
        <a:xfrm>
          <a:off x="17095462" y="7670800"/>
          <a:ext cx="70589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B4FF" mc:Ignorable="a14" a14:legacySpreadsheetColorIndex="4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DEFF" mc:Ignorable="a14" a14:legacySpreadsheetColorIndex="4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64AA" mc:Ignorable="a14" a14:legacySpreadsheetColorIndex="4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756</a:t>
          </a:r>
        </a:p>
      </xdr:txBody>
    </xdr:sp>
    <xdr:clientData/>
  </xdr:twoCellAnchor>
  <xdr:twoCellAnchor>
    <xdr:from>
      <xdr:col>16</xdr:col>
      <xdr:colOff>5101459</xdr:colOff>
      <xdr:row>39</xdr:row>
      <xdr:rowOff>12700</xdr:rowOff>
    </xdr:from>
    <xdr:to>
      <xdr:col>16</xdr:col>
      <xdr:colOff>5758985</xdr:colOff>
      <xdr:row>39</xdr:row>
      <xdr:rowOff>177800</xdr:rowOff>
    </xdr:to>
    <xdr:sp macro="" textlink="">
      <xdr:nvSpPr>
        <xdr:cNvPr id="168521" name="Скругленный прямоугольник 168520">
          <a:extLst>
            <a:ext uri="{FF2B5EF4-FFF2-40B4-BE49-F238E27FC236}">
              <a16:creationId xmlns:a16="http://schemas.microsoft.com/office/drawing/2014/main" id="{00000000-0008-0000-0500-000049920200}"/>
            </a:ext>
          </a:extLst>
        </xdr:cNvPr>
        <xdr:cNvSpPr/>
      </xdr:nvSpPr>
      <xdr:spPr>
        <a:xfrm>
          <a:off x="17836384" y="7670800"/>
          <a:ext cx="65752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706</a:t>
          </a:r>
        </a:p>
      </xdr:txBody>
    </xdr:sp>
    <xdr:clientData/>
  </xdr:twoCellAnchor>
  <xdr:twoCellAnchor>
    <xdr:from>
      <xdr:col>16</xdr:col>
      <xdr:colOff>0</xdr:colOff>
      <xdr:row>40</xdr:row>
      <xdr:rowOff>12700</xdr:rowOff>
    </xdr:from>
    <xdr:to>
      <xdr:col>16</xdr:col>
      <xdr:colOff>1750594</xdr:colOff>
      <xdr:row>40</xdr:row>
      <xdr:rowOff>177800</xdr:rowOff>
    </xdr:to>
    <xdr:sp macro="" textlink="">
      <xdr:nvSpPr>
        <xdr:cNvPr id="168522" name="Скругленный прямоугольник 168521">
          <a:extLst>
            <a:ext uri="{FF2B5EF4-FFF2-40B4-BE49-F238E27FC236}">
              <a16:creationId xmlns:a16="http://schemas.microsoft.com/office/drawing/2014/main" id="{00000000-0008-0000-0500-00004A920200}"/>
            </a:ext>
          </a:extLst>
        </xdr:cNvPr>
        <xdr:cNvSpPr/>
      </xdr:nvSpPr>
      <xdr:spPr>
        <a:xfrm>
          <a:off x="12734925" y="7861300"/>
          <a:ext cx="175059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837C" mc:Ignorable="a14" a14:legacySpreadsheetColorIndex="5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CDCB" mc:Ignorable="a14" a14:legacySpreadsheetColorIndex="5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1E00" mc:Ignorable="a14" a14:legacySpreadsheetColorIndex="5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1836</a:t>
          </a:r>
        </a:p>
      </xdr:txBody>
    </xdr:sp>
    <xdr:clientData/>
  </xdr:twoCellAnchor>
  <xdr:twoCellAnchor>
    <xdr:from>
      <xdr:col>16</xdr:col>
      <xdr:colOff>1785624</xdr:colOff>
      <xdr:row>40</xdr:row>
      <xdr:rowOff>12700</xdr:rowOff>
    </xdr:from>
    <xdr:to>
      <xdr:col>16</xdr:col>
      <xdr:colOff>3110598</xdr:colOff>
      <xdr:row>40</xdr:row>
      <xdr:rowOff>177800</xdr:rowOff>
    </xdr:to>
    <xdr:sp macro="" textlink="">
      <xdr:nvSpPr>
        <xdr:cNvPr id="168523" name="Скругленный прямоугольник 168522">
          <a:extLst>
            <a:ext uri="{FF2B5EF4-FFF2-40B4-BE49-F238E27FC236}">
              <a16:creationId xmlns:a16="http://schemas.microsoft.com/office/drawing/2014/main" id="{00000000-0008-0000-0500-00004B920200}"/>
            </a:ext>
          </a:extLst>
        </xdr:cNvPr>
        <xdr:cNvSpPr/>
      </xdr:nvSpPr>
      <xdr:spPr>
        <a:xfrm>
          <a:off x="14520549" y="7861300"/>
          <a:ext cx="132497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6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6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6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1396</a:t>
          </a:r>
        </a:p>
      </xdr:txBody>
    </xdr:sp>
    <xdr:clientData/>
  </xdr:twoCellAnchor>
  <xdr:twoCellAnchor>
    <xdr:from>
      <xdr:col>16</xdr:col>
      <xdr:colOff>3145630</xdr:colOff>
      <xdr:row>40</xdr:row>
      <xdr:rowOff>12700</xdr:rowOff>
    </xdr:from>
    <xdr:to>
      <xdr:col>16</xdr:col>
      <xdr:colOff>4277140</xdr:colOff>
      <xdr:row>40</xdr:row>
      <xdr:rowOff>177800</xdr:rowOff>
    </xdr:to>
    <xdr:sp macro="" textlink="">
      <xdr:nvSpPr>
        <xdr:cNvPr id="168524" name="Скругленный прямоугольник 168523">
          <a:extLst>
            <a:ext uri="{FF2B5EF4-FFF2-40B4-BE49-F238E27FC236}">
              <a16:creationId xmlns:a16="http://schemas.microsoft.com/office/drawing/2014/main" id="{00000000-0008-0000-0500-00004C920200}"/>
            </a:ext>
          </a:extLst>
        </xdr:cNvPr>
        <xdr:cNvSpPr/>
      </xdr:nvSpPr>
      <xdr:spPr>
        <a:xfrm>
          <a:off x="15880555" y="7861300"/>
          <a:ext cx="113151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D7FF" mc:Ignorable="a14" a14:legacySpreadsheetColorIndex="3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ECFF" mc:Ignorable="a14" a14:legacySpreadsheetColorIndex="3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87AA" mc:Ignorable="a14" a14:legacySpreadsheetColorIndex="3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1196</a:t>
          </a:r>
        </a:p>
      </xdr:txBody>
    </xdr:sp>
    <xdr:clientData/>
  </xdr:twoCellAnchor>
  <xdr:twoCellAnchor>
    <xdr:from>
      <xdr:col>16</xdr:col>
      <xdr:colOff>4312171</xdr:colOff>
      <xdr:row>40</xdr:row>
      <xdr:rowOff>12700</xdr:rowOff>
    </xdr:from>
    <xdr:to>
      <xdr:col>16</xdr:col>
      <xdr:colOff>5095447</xdr:colOff>
      <xdr:row>40</xdr:row>
      <xdr:rowOff>177800</xdr:rowOff>
    </xdr:to>
    <xdr:sp macro="" textlink="">
      <xdr:nvSpPr>
        <xdr:cNvPr id="168525" name="Скругленный прямоугольник 168524">
          <a:extLst>
            <a:ext uri="{FF2B5EF4-FFF2-40B4-BE49-F238E27FC236}">
              <a16:creationId xmlns:a16="http://schemas.microsoft.com/office/drawing/2014/main" id="{00000000-0008-0000-0500-00004D920200}"/>
            </a:ext>
          </a:extLst>
        </xdr:cNvPr>
        <xdr:cNvSpPr/>
      </xdr:nvSpPr>
      <xdr:spPr>
        <a:xfrm>
          <a:off x="17047096" y="7861300"/>
          <a:ext cx="78327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D7FF" mc:Ignorable="a14" a14:legacySpreadsheetColorIndex="4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ECFF" mc:Ignorable="a14" a14:legacySpreadsheetColorIndex="4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87AA" mc:Ignorable="a14" a14:legacySpreadsheetColorIndex="4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836</a:t>
          </a:r>
        </a:p>
      </xdr:txBody>
    </xdr:sp>
    <xdr:clientData/>
  </xdr:twoCellAnchor>
  <xdr:twoCellAnchor>
    <xdr:from>
      <xdr:col>16</xdr:col>
      <xdr:colOff>5130478</xdr:colOff>
      <xdr:row>40</xdr:row>
      <xdr:rowOff>12700</xdr:rowOff>
    </xdr:from>
    <xdr:to>
      <xdr:col>16</xdr:col>
      <xdr:colOff>5758983</xdr:colOff>
      <xdr:row>40</xdr:row>
      <xdr:rowOff>177800</xdr:rowOff>
    </xdr:to>
    <xdr:sp macro="" textlink="">
      <xdr:nvSpPr>
        <xdr:cNvPr id="168526" name="Скругленный прямоугольник 168525">
          <a:extLst>
            <a:ext uri="{FF2B5EF4-FFF2-40B4-BE49-F238E27FC236}">
              <a16:creationId xmlns:a16="http://schemas.microsoft.com/office/drawing/2014/main" id="{00000000-0008-0000-0500-00004E920200}"/>
            </a:ext>
          </a:extLst>
        </xdr:cNvPr>
        <xdr:cNvSpPr/>
      </xdr:nvSpPr>
      <xdr:spPr>
        <a:xfrm>
          <a:off x="17865403" y="7861300"/>
          <a:ext cx="62850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676</a:t>
          </a:r>
        </a:p>
      </xdr:txBody>
    </xdr:sp>
    <xdr:clientData/>
  </xdr:twoCellAnchor>
  <xdr:twoCellAnchor>
    <xdr:from>
      <xdr:col>16</xdr:col>
      <xdr:colOff>0</xdr:colOff>
      <xdr:row>41</xdr:row>
      <xdr:rowOff>12700</xdr:rowOff>
    </xdr:from>
    <xdr:to>
      <xdr:col>16</xdr:col>
      <xdr:colOff>1818306</xdr:colOff>
      <xdr:row>41</xdr:row>
      <xdr:rowOff>177800</xdr:rowOff>
    </xdr:to>
    <xdr:sp macro="" textlink="">
      <xdr:nvSpPr>
        <xdr:cNvPr id="168527" name="Скругленный прямоугольник 168526">
          <a:extLst>
            <a:ext uri="{FF2B5EF4-FFF2-40B4-BE49-F238E27FC236}">
              <a16:creationId xmlns:a16="http://schemas.microsoft.com/office/drawing/2014/main" id="{00000000-0008-0000-0500-00004F920200}"/>
            </a:ext>
          </a:extLst>
        </xdr:cNvPr>
        <xdr:cNvSpPr/>
      </xdr:nvSpPr>
      <xdr:spPr>
        <a:xfrm>
          <a:off x="12734925" y="8051800"/>
          <a:ext cx="181830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7C" mc:Ignorable="a14" a14:legacySpreadsheetColorIndex="6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CB" mc:Ignorable="a14" a14:legacySpreadsheetColorIndex="6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00" mc:Ignorable="a14" a14:legacySpreadsheetColorIndex="6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1906</a:t>
          </a:r>
        </a:p>
      </xdr:txBody>
    </xdr:sp>
    <xdr:clientData/>
  </xdr:twoCellAnchor>
  <xdr:twoCellAnchor>
    <xdr:from>
      <xdr:col>16</xdr:col>
      <xdr:colOff>1853336</xdr:colOff>
      <xdr:row>41</xdr:row>
      <xdr:rowOff>12700</xdr:rowOff>
    </xdr:from>
    <xdr:to>
      <xdr:col>16</xdr:col>
      <xdr:colOff>3178310</xdr:colOff>
      <xdr:row>41</xdr:row>
      <xdr:rowOff>177800</xdr:rowOff>
    </xdr:to>
    <xdr:sp macro="" textlink="">
      <xdr:nvSpPr>
        <xdr:cNvPr id="168528" name="Скругленный прямоугольник 168527">
          <a:extLst>
            <a:ext uri="{FF2B5EF4-FFF2-40B4-BE49-F238E27FC236}">
              <a16:creationId xmlns:a16="http://schemas.microsoft.com/office/drawing/2014/main" id="{00000000-0008-0000-0500-000050920200}"/>
            </a:ext>
          </a:extLst>
        </xdr:cNvPr>
        <xdr:cNvSpPr/>
      </xdr:nvSpPr>
      <xdr:spPr>
        <a:xfrm>
          <a:off x="14588261" y="8051800"/>
          <a:ext cx="132497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6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6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6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1396</a:t>
          </a:r>
        </a:p>
      </xdr:txBody>
    </xdr:sp>
    <xdr:clientData/>
  </xdr:twoCellAnchor>
  <xdr:twoCellAnchor>
    <xdr:from>
      <xdr:col>16</xdr:col>
      <xdr:colOff>3213342</xdr:colOff>
      <xdr:row>41</xdr:row>
      <xdr:rowOff>12700</xdr:rowOff>
    </xdr:from>
    <xdr:to>
      <xdr:col>16</xdr:col>
      <xdr:colOff>4373873</xdr:colOff>
      <xdr:row>41</xdr:row>
      <xdr:rowOff>177800</xdr:rowOff>
    </xdr:to>
    <xdr:sp macro="" textlink="">
      <xdr:nvSpPr>
        <xdr:cNvPr id="168529" name="Скругленный прямоугольник 168528">
          <a:extLst>
            <a:ext uri="{FF2B5EF4-FFF2-40B4-BE49-F238E27FC236}">
              <a16:creationId xmlns:a16="http://schemas.microsoft.com/office/drawing/2014/main" id="{00000000-0008-0000-0500-000051920200}"/>
            </a:ext>
          </a:extLst>
        </xdr:cNvPr>
        <xdr:cNvSpPr/>
      </xdr:nvSpPr>
      <xdr:spPr>
        <a:xfrm>
          <a:off x="15948267" y="8051800"/>
          <a:ext cx="116053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3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3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3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1226</a:t>
          </a:r>
        </a:p>
      </xdr:txBody>
    </xdr:sp>
    <xdr:clientData/>
  </xdr:twoCellAnchor>
  <xdr:twoCellAnchor>
    <xdr:from>
      <xdr:col>16</xdr:col>
      <xdr:colOff>4408903</xdr:colOff>
      <xdr:row>41</xdr:row>
      <xdr:rowOff>12700</xdr:rowOff>
    </xdr:from>
    <xdr:to>
      <xdr:col>16</xdr:col>
      <xdr:colOff>5066429</xdr:colOff>
      <xdr:row>41</xdr:row>
      <xdr:rowOff>177800</xdr:rowOff>
    </xdr:to>
    <xdr:sp macro="" textlink="">
      <xdr:nvSpPr>
        <xdr:cNvPr id="168530" name="Скругленный прямоугольник 168529">
          <a:extLst>
            <a:ext uri="{FF2B5EF4-FFF2-40B4-BE49-F238E27FC236}">
              <a16:creationId xmlns:a16="http://schemas.microsoft.com/office/drawing/2014/main" id="{00000000-0008-0000-0500-000052920200}"/>
            </a:ext>
          </a:extLst>
        </xdr:cNvPr>
        <xdr:cNvSpPr/>
      </xdr:nvSpPr>
      <xdr:spPr>
        <a:xfrm>
          <a:off x="17143828" y="8051800"/>
          <a:ext cx="65752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706</a:t>
          </a:r>
        </a:p>
      </xdr:txBody>
    </xdr:sp>
    <xdr:clientData/>
  </xdr:twoCellAnchor>
  <xdr:twoCellAnchor>
    <xdr:from>
      <xdr:col>16</xdr:col>
      <xdr:colOff>5101459</xdr:colOff>
      <xdr:row>41</xdr:row>
      <xdr:rowOff>12700</xdr:rowOff>
    </xdr:from>
    <xdr:to>
      <xdr:col>16</xdr:col>
      <xdr:colOff>5758985</xdr:colOff>
      <xdr:row>41</xdr:row>
      <xdr:rowOff>177800</xdr:rowOff>
    </xdr:to>
    <xdr:sp macro="" textlink="">
      <xdr:nvSpPr>
        <xdr:cNvPr id="168531" name="Скругленный прямоугольник 168530">
          <a:extLst>
            <a:ext uri="{FF2B5EF4-FFF2-40B4-BE49-F238E27FC236}">
              <a16:creationId xmlns:a16="http://schemas.microsoft.com/office/drawing/2014/main" id="{00000000-0008-0000-0500-000053920200}"/>
            </a:ext>
          </a:extLst>
        </xdr:cNvPr>
        <xdr:cNvSpPr/>
      </xdr:nvSpPr>
      <xdr:spPr>
        <a:xfrm>
          <a:off x="17836384" y="8051800"/>
          <a:ext cx="65752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706</a:t>
          </a:r>
        </a:p>
      </xdr:txBody>
    </xdr:sp>
    <xdr:clientData/>
  </xdr:twoCellAnchor>
  <xdr:twoCellAnchor>
    <xdr:from>
      <xdr:col>16</xdr:col>
      <xdr:colOff>0</xdr:colOff>
      <xdr:row>42</xdr:row>
      <xdr:rowOff>12700</xdr:rowOff>
    </xdr:from>
    <xdr:to>
      <xdr:col>16</xdr:col>
      <xdr:colOff>1944057</xdr:colOff>
      <xdr:row>42</xdr:row>
      <xdr:rowOff>177800</xdr:rowOff>
    </xdr:to>
    <xdr:sp macro="" textlink="">
      <xdr:nvSpPr>
        <xdr:cNvPr id="168532" name="Скругленный прямоугольник 168531">
          <a:extLst>
            <a:ext uri="{FF2B5EF4-FFF2-40B4-BE49-F238E27FC236}">
              <a16:creationId xmlns:a16="http://schemas.microsoft.com/office/drawing/2014/main" id="{00000000-0008-0000-0500-000054920200}"/>
            </a:ext>
          </a:extLst>
        </xdr:cNvPr>
        <xdr:cNvSpPr/>
      </xdr:nvSpPr>
      <xdr:spPr>
        <a:xfrm>
          <a:off x="12734925" y="8242300"/>
          <a:ext cx="194405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A4" mc:Ignorable="a14" a14:legacySpreadsheetColorIndex="2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D8" mc:Ignorable="a14" a14:legacySpreadsheetColorIndex="2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53" mc:Ignorable="a14" a14:legacySpreadsheetColorIndex="2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2036</a:t>
          </a:r>
        </a:p>
      </xdr:txBody>
    </xdr:sp>
    <xdr:clientData/>
  </xdr:twoCellAnchor>
  <xdr:twoCellAnchor>
    <xdr:from>
      <xdr:col>16</xdr:col>
      <xdr:colOff>1979087</xdr:colOff>
      <xdr:row>42</xdr:row>
      <xdr:rowOff>12700</xdr:rowOff>
    </xdr:from>
    <xdr:to>
      <xdr:col>16</xdr:col>
      <xdr:colOff>3052558</xdr:colOff>
      <xdr:row>42</xdr:row>
      <xdr:rowOff>177800</xdr:rowOff>
    </xdr:to>
    <xdr:sp macro="" textlink="">
      <xdr:nvSpPr>
        <xdr:cNvPr id="168533" name="Скругленный прямоугольник 168532">
          <a:extLst>
            <a:ext uri="{FF2B5EF4-FFF2-40B4-BE49-F238E27FC236}">
              <a16:creationId xmlns:a16="http://schemas.microsoft.com/office/drawing/2014/main" id="{00000000-0008-0000-0500-000055920200}"/>
            </a:ext>
          </a:extLst>
        </xdr:cNvPr>
        <xdr:cNvSpPr/>
      </xdr:nvSpPr>
      <xdr:spPr>
        <a:xfrm>
          <a:off x="14714012" y="8242300"/>
          <a:ext cx="107347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1136</a:t>
          </a:r>
        </a:p>
      </xdr:txBody>
    </xdr:sp>
    <xdr:clientData/>
  </xdr:twoCellAnchor>
  <xdr:twoCellAnchor>
    <xdr:from>
      <xdr:col>16</xdr:col>
      <xdr:colOff>3087590</xdr:colOff>
      <xdr:row>42</xdr:row>
      <xdr:rowOff>12700</xdr:rowOff>
    </xdr:from>
    <xdr:to>
      <xdr:col>16</xdr:col>
      <xdr:colOff>4093350</xdr:colOff>
      <xdr:row>42</xdr:row>
      <xdr:rowOff>177800</xdr:rowOff>
    </xdr:to>
    <xdr:sp macro="" textlink="">
      <xdr:nvSpPr>
        <xdr:cNvPr id="168534" name="Скругленный прямоугольник 168533">
          <a:extLst>
            <a:ext uri="{FF2B5EF4-FFF2-40B4-BE49-F238E27FC236}">
              <a16:creationId xmlns:a16="http://schemas.microsoft.com/office/drawing/2014/main" id="{00000000-0008-0000-0500-000056920200}"/>
            </a:ext>
          </a:extLst>
        </xdr:cNvPr>
        <xdr:cNvSpPr/>
      </xdr:nvSpPr>
      <xdr:spPr>
        <a:xfrm>
          <a:off x="15822515" y="8242300"/>
          <a:ext cx="100576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1066</a:t>
          </a:r>
        </a:p>
      </xdr:txBody>
    </xdr:sp>
    <xdr:clientData/>
  </xdr:twoCellAnchor>
  <xdr:twoCellAnchor>
    <xdr:from>
      <xdr:col>16</xdr:col>
      <xdr:colOff>4128381</xdr:colOff>
      <xdr:row>42</xdr:row>
      <xdr:rowOff>12700</xdr:rowOff>
    </xdr:from>
    <xdr:to>
      <xdr:col>16</xdr:col>
      <xdr:colOff>5134139</xdr:colOff>
      <xdr:row>42</xdr:row>
      <xdr:rowOff>177800</xdr:rowOff>
    </xdr:to>
    <xdr:sp macro="" textlink="">
      <xdr:nvSpPr>
        <xdr:cNvPr id="168535" name="Скругленный прямоугольник 168534">
          <a:extLst>
            <a:ext uri="{FF2B5EF4-FFF2-40B4-BE49-F238E27FC236}">
              <a16:creationId xmlns:a16="http://schemas.microsoft.com/office/drawing/2014/main" id="{00000000-0008-0000-0500-000057920200}"/>
            </a:ext>
          </a:extLst>
        </xdr:cNvPr>
        <xdr:cNvSpPr/>
      </xdr:nvSpPr>
      <xdr:spPr>
        <a:xfrm>
          <a:off x="16863306" y="8242300"/>
          <a:ext cx="100575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1066</a:t>
          </a:r>
        </a:p>
      </xdr:txBody>
    </xdr:sp>
    <xdr:clientData/>
  </xdr:twoCellAnchor>
  <xdr:twoCellAnchor>
    <xdr:from>
      <xdr:col>16</xdr:col>
      <xdr:colOff>5169171</xdr:colOff>
      <xdr:row>42</xdr:row>
      <xdr:rowOff>12700</xdr:rowOff>
    </xdr:from>
    <xdr:to>
      <xdr:col>16</xdr:col>
      <xdr:colOff>5758985</xdr:colOff>
      <xdr:row>42</xdr:row>
      <xdr:rowOff>177800</xdr:rowOff>
    </xdr:to>
    <xdr:sp macro="" textlink="">
      <xdr:nvSpPr>
        <xdr:cNvPr id="168536" name="Скругленный прямоугольник 168535">
          <a:extLst>
            <a:ext uri="{FF2B5EF4-FFF2-40B4-BE49-F238E27FC236}">
              <a16:creationId xmlns:a16="http://schemas.microsoft.com/office/drawing/2014/main" id="{00000000-0008-0000-0500-000058920200}"/>
            </a:ext>
          </a:extLst>
        </xdr:cNvPr>
        <xdr:cNvSpPr/>
      </xdr:nvSpPr>
      <xdr:spPr>
        <a:xfrm>
          <a:off x="17904096" y="8242300"/>
          <a:ext cx="58981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636</a:t>
          </a:r>
        </a:p>
      </xdr:txBody>
    </xdr:sp>
    <xdr:clientData/>
  </xdr:twoCellAnchor>
  <xdr:twoCellAnchor>
    <xdr:from>
      <xdr:col>16</xdr:col>
      <xdr:colOff>0</xdr:colOff>
      <xdr:row>43</xdr:row>
      <xdr:rowOff>12700</xdr:rowOff>
    </xdr:from>
    <xdr:to>
      <xdr:col>16</xdr:col>
      <xdr:colOff>1973076</xdr:colOff>
      <xdr:row>43</xdr:row>
      <xdr:rowOff>177800</xdr:rowOff>
    </xdr:to>
    <xdr:sp macro="" textlink="">
      <xdr:nvSpPr>
        <xdr:cNvPr id="168537" name="Скругленный прямоугольник 168536">
          <a:extLst>
            <a:ext uri="{FF2B5EF4-FFF2-40B4-BE49-F238E27FC236}">
              <a16:creationId xmlns:a16="http://schemas.microsoft.com/office/drawing/2014/main" id="{00000000-0008-0000-0500-000059920200}"/>
            </a:ext>
          </a:extLst>
        </xdr:cNvPr>
        <xdr:cNvSpPr/>
      </xdr:nvSpPr>
      <xdr:spPr>
        <a:xfrm>
          <a:off x="12734925" y="8432800"/>
          <a:ext cx="197307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837C" mc:Ignorable="a14" a14:legacySpreadsheetColorIndex="5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DCB" mc:Ignorable="a14" a14:legacySpreadsheetColorIndex="5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1E00" mc:Ignorable="a14" a14:legacySpreadsheetColorIndex="5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2066</a:t>
          </a:r>
        </a:p>
      </xdr:txBody>
    </xdr:sp>
    <xdr:clientData/>
  </xdr:twoCellAnchor>
  <xdr:twoCellAnchor>
    <xdr:from>
      <xdr:col>16</xdr:col>
      <xdr:colOff>2008107</xdr:colOff>
      <xdr:row>43</xdr:row>
      <xdr:rowOff>12700</xdr:rowOff>
    </xdr:from>
    <xdr:to>
      <xdr:col>16</xdr:col>
      <xdr:colOff>3246022</xdr:colOff>
      <xdr:row>43</xdr:row>
      <xdr:rowOff>177800</xdr:rowOff>
    </xdr:to>
    <xdr:sp macro="" textlink="">
      <xdr:nvSpPr>
        <xdr:cNvPr id="168538" name="Скругленный прямоугольник 168537">
          <a:extLst>
            <a:ext uri="{FF2B5EF4-FFF2-40B4-BE49-F238E27FC236}">
              <a16:creationId xmlns:a16="http://schemas.microsoft.com/office/drawing/2014/main" id="{00000000-0008-0000-0500-00005A920200}"/>
            </a:ext>
          </a:extLst>
        </xdr:cNvPr>
        <xdr:cNvSpPr/>
      </xdr:nvSpPr>
      <xdr:spPr>
        <a:xfrm>
          <a:off x="14743032" y="84328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6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6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6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3281054</xdr:colOff>
      <xdr:row>43</xdr:row>
      <xdr:rowOff>12700</xdr:rowOff>
    </xdr:from>
    <xdr:to>
      <xdr:col>16</xdr:col>
      <xdr:colOff>4412565</xdr:colOff>
      <xdr:row>43</xdr:row>
      <xdr:rowOff>177800</xdr:rowOff>
    </xdr:to>
    <xdr:sp macro="" textlink="">
      <xdr:nvSpPr>
        <xdr:cNvPr id="168539" name="Скругленный прямоугольник 168538">
          <a:extLst>
            <a:ext uri="{FF2B5EF4-FFF2-40B4-BE49-F238E27FC236}">
              <a16:creationId xmlns:a16="http://schemas.microsoft.com/office/drawing/2014/main" id="{00000000-0008-0000-0500-00005B920200}"/>
            </a:ext>
          </a:extLst>
        </xdr:cNvPr>
        <xdr:cNvSpPr/>
      </xdr:nvSpPr>
      <xdr:spPr>
        <a:xfrm>
          <a:off x="16015979" y="8432800"/>
          <a:ext cx="113151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D7FF" mc:Ignorable="a14" a14:legacySpreadsheetColorIndex="3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ECFF" mc:Ignorable="a14" a14:legacySpreadsheetColorIndex="3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87AA" mc:Ignorable="a14" a14:legacySpreadsheetColorIndex="3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1196</a:t>
          </a:r>
        </a:p>
      </xdr:txBody>
    </xdr:sp>
    <xdr:clientData/>
  </xdr:twoCellAnchor>
  <xdr:twoCellAnchor>
    <xdr:from>
      <xdr:col>16</xdr:col>
      <xdr:colOff>4447595</xdr:colOff>
      <xdr:row>43</xdr:row>
      <xdr:rowOff>12700</xdr:rowOff>
    </xdr:from>
    <xdr:to>
      <xdr:col>16</xdr:col>
      <xdr:colOff>5095447</xdr:colOff>
      <xdr:row>43</xdr:row>
      <xdr:rowOff>177800</xdr:rowOff>
    </xdr:to>
    <xdr:sp macro="" textlink="">
      <xdr:nvSpPr>
        <xdr:cNvPr id="168540" name="Скругленный прямоугольник 168539">
          <a:extLst>
            <a:ext uri="{FF2B5EF4-FFF2-40B4-BE49-F238E27FC236}">
              <a16:creationId xmlns:a16="http://schemas.microsoft.com/office/drawing/2014/main" id="{00000000-0008-0000-0500-00005C920200}"/>
            </a:ext>
          </a:extLst>
        </xdr:cNvPr>
        <xdr:cNvSpPr/>
      </xdr:nvSpPr>
      <xdr:spPr>
        <a:xfrm>
          <a:off x="17182520" y="8432800"/>
          <a:ext cx="64785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696</a:t>
          </a:r>
        </a:p>
      </xdr:txBody>
    </xdr:sp>
    <xdr:clientData/>
  </xdr:twoCellAnchor>
  <xdr:twoCellAnchor>
    <xdr:from>
      <xdr:col>16</xdr:col>
      <xdr:colOff>5130478</xdr:colOff>
      <xdr:row>43</xdr:row>
      <xdr:rowOff>12700</xdr:rowOff>
    </xdr:from>
    <xdr:to>
      <xdr:col>16</xdr:col>
      <xdr:colOff>5758983</xdr:colOff>
      <xdr:row>43</xdr:row>
      <xdr:rowOff>177800</xdr:rowOff>
    </xdr:to>
    <xdr:sp macro="" textlink="">
      <xdr:nvSpPr>
        <xdr:cNvPr id="168541" name="Скругленный прямоугольник 168540">
          <a:extLst>
            <a:ext uri="{FF2B5EF4-FFF2-40B4-BE49-F238E27FC236}">
              <a16:creationId xmlns:a16="http://schemas.microsoft.com/office/drawing/2014/main" id="{00000000-0008-0000-0500-00005D920200}"/>
            </a:ext>
          </a:extLst>
        </xdr:cNvPr>
        <xdr:cNvSpPr/>
      </xdr:nvSpPr>
      <xdr:spPr>
        <a:xfrm>
          <a:off x="17865403" y="8432800"/>
          <a:ext cx="62850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676</a:t>
          </a:r>
        </a:p>
      </xdr:txBody>
    </xdr:sp>
    <xdr:clientData/>
  </xdr:twoCellAnchor>
  <xdr:twoCellAnchor>
    <xdr:from>
      <xdr:col>16</xdr:col>
      <xdr:colOff>0</xdr:colOff>
      <xdr:row>44</xdr:row>
      <xdr:rowOff>12700</xdr:rowOff>
    </xdr:from>
    <xdr:to>
      <xdr:col>16</xdr:col>
      <xdr:colOff>1992423</xdr:colOff>
      <xdr:row>44</xdr:row>
      <xdr:rowOff>177800</xdr:rowOff>
    </xdr:to>
    <xdr:sp macro="" textlink="">
      <xdr:nvSpPr>
        <xdr:cNvPr id="168542" name="Скругленный прямоугольник 168541">
          <a:extLst>
            <a:ext uri="{FF2B5EF4-FFF2-40B4-BE49-F238E27FC236}">
              <a16:creationId xmlns:a16="http://schemas.microsoft.com/office/drawing/2014/main" id="{00000000-0008-0000-0500-00005E920200}"/>
            </a:ext>
          </a:extLst>
        </xdr:cNvPr>
        <xdr:cNvSpPr/>
      </xdr:nvSpPr>
      <xdr:spPr>
        <a:xfrm>
          <a:off x="12734925" y="8623300"/>
          <a:ext cx="199242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B496" mc:Ignorable="a14" a14:legacySpreadsheetColorIndex="5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DED3" mc:Ignorable="a14" a14:legacySpreadsheetColorIndex="5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6441" mc:Ignorable="a14" a14:legacySpreadsheetColorIndex="5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2086</a:t>
          </a:r>
        </a:p>
      </xdr:txBody>
    </xdr:sp>
    <xdr:clientData/>
  </xdr:twoCellAnchor>
  <xdr:twoCellAnchor>
    <xdr:from>
      <xdr:col>16</xdr:col>
      <xdr:colOff>2027453</xdr:colOff>
      <xdr:row>44</xdr:row>
      <xdr:rowOff>12700</xdr:rowOff>
    </xdr:from>
    <xdr:to>
      <xdr:col>16</xdr:col>
      <xdr:colOff>3265368</xdr:colOff>
      <xdr:row>44</xdr:row>
      <xdr:rowOff>177800</xdr:rowOff>
    </xdr:to>
    <xdr:sp macro="" textlink="">
      <xdr:nvSpPr>
        <xdr:cNvPr id="168543" name="Скругленный прямоугольник 168542">
          <a:extLst>
            <a:ext uri="{FF2B5EF4-FFF2-40B4-BE49-F238E27FC236}">
              <a16:creationId xmlns:a16="http://schemas.microsoft.com/office/drawing/2014/main" id="{00000000-0008-0000-0500-00005F920200}"/>
            </a:ext>
          </a:extLst>
        </xdr:cNvPr>
        <xdr:cNvSpPr/>
      </xdr:nvSpPr>
      <xdr:spPr>
        <a:xfrm>
          <a:off x="14762378" y="86233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6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6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6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3300400</xdr:colOff>
      <xdr:row>44</xdr:row>
      <xdr:rowOff>12700</xdr:rowOff>
    </xdr:from>
    <xdr:to>
      <xdr:col>16</xdr:col>
      <xdr:colOff>4248121</xdr:colOff>
      <xdr:row>44</xdr:row>
      <xdr:rowOff>177800</xdr:rowOff>
    </xdr:to>
    <xdr:sp macro="" textlink="">
      <xdr:nvSpPr>
        <xdr:cNvPr id="168544" name="Скругленный прямоугольник 168543">
          <a:extLst>
            <a:ext uri="{FF2B5EF4-FFF2-40B4-BE49-F238E27FC236}">
              <a16:creationId xmlns:a16="http://schemas.microsoft.com/office/drawing/2014/main" id="{00000000-0008-0000-0500-000060920200}"/>
            </a:ext>
          </a:extLst>
        </xdr:cNvPr>
        <xdr:cNvSpPr/>
      </xdr:nvSpPr>
      <xdr:spPr>
        <a:xfrm>
          <a:off x="16035325" y="8623300"/>
          <a:ext cx="94772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3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3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3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1006</a:t>
          </a:r>
        </a:p>
      </xdr:txBody>
    </xdr:sp>
    <xdr:clientData/>
  </xdr:twoCellAnchor>
  <xdr:twoCellAnchor>
    <xdr:from>
      <xdr:col>16</xdr:col>
      <xdr:colOff>4283151</xdr:colOff>
      <xdr:row>44</xdr:row>
      <xdr:rowOff>12700</xdr:rowOff>
    </xdr:from>
    <xdr:to>
      <xdr:col>16</xdr:col>
      <xdr:colOff>5095447</xdr:colOff>
      <xdr:row>44</xdr:row>
      <xdr:rowOff>177800</xdr:rowOff>
    </xdr:to>
    <xdr:sp macro="" textlink="">
      <xdr:nvSpPr>
        <xdr:cNvPr id="168545" name="Скругленный прямоугольник 168544">
          <a:extLst>
            <a:ext uri="{FF2B5EF4-FFF2-40B4-BE49-F238E27FC236}">
              <a16:creationId xmlns:a16="http://schemas.microsoft.com/office/drawing/2014/main" id="{00000000-0008-0000-0500-000061920200}"/>
            </a:ext>
          </a:extLst>
        </xdr:cNvPr>
        <xdr:cNvSpPr/>
      </xdr:nvSpPr>
      <xdr:spPr>
        <a:xfrm>
          <a:off x="17018076" y="8623300"/>
          <a:ext cx="81229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0E0" mc:Ignorable="a14" a14:legacySpreadsheetColorIndex="7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6F0" mc:Ignorable="a14" a14:legacySpreadsheetColorIndex="7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D8E" mc:Ignorable="a14" a14:legacySpreadsheetColorIndex="7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866</a:t>
          </a:r>
        </a:p>
      </xdr:txBody>
    </xdr:sp>
    <xdr:clientData/>
  </xdr:twoCellAnchor>
  <xdr:twoCellAnchor>
    <xdr:from>
      <xdr:col>16</xdr:col>
      <xdr:colOff>5130478</xdr:colOff>
      <xdr:row>44</xdr:row>
      <xdr:rowOff>12700</xdr:rowOff>
    </xdr:from>
    <xdr:to>
      <xdr:col>16</xdr:col>
      <xdr:colOff>5758983</xdr:colOff>
      <xdr:row>44</xdr:row>
      <xdr:rowOff>177800</xdr:rowOff>
    </xdr:to>
    <xdr:sp macro="" textlink="">
      <xdr:nvSpPr>
        <xdr:cNvPr id="168546" name="Скругленный прямоугольник 168545">
          <a:extLst>
            <a:ext uri="{FF2B5EF4-FFF2-40B4-BE49-F238E27FC236}">
              <a16:creationId xmlns:a16="http://schemas.microsoft.com/office/drawing/2014/main" id="{00000000-0008-0000-0500-000062920200}"/>
            </a:ext>
          </a:extLst>
        </xdr:cNvPr>
        <xdr:cNvSpPr/>
      </xdr:nvSpPr>
      <xdr:spPr>
        <a:xfrm>
          <a:off x="17865403" y="8623300"/>
          <a:ext cx="62850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676</a:t>
          </a:r>
        </a:p>
      </xdr:txBody>
    </xdr:sp>
    <xdr:clientData/>
  </xdr:twoCellAnchor>
  <xdr:twoCellAnchor>
    <xdr:from>
      <xdr:col>16</xdr:col>
      <xdr:colOff>0</xdr:colOff>
      <xdr:row>45</xdr:row>
      <xdr:rowOff>12700</xdr:rowOff>
    </xdr:from>
    <xdr:to>
      <xdr:col>16</xdr:col>
      <xdr:colOff>2011769</xdr:colOff>
      <xdr:row>45</xdr:row>
      <xdr:rowOff>177800</xdr:rowOff>
    </xdr:to>
    <xdr:sp macro="" textlink="">
      <xdr:nvSpPr>
        <xdr:cNvPr id="168547" name="Скругленный прямоугольник 168546">
          <a:extLst>
            <a:ext uri="{FF2B5EF4-FFF2-40B4-BE49-F238E27FC236}">
              <a16:creationId xmlns:a16="http://schemas.microsoft.com/office/drawing/2014/main" id="{00000000-0008-0000-0500-000063920200}"/>
            </a:ext>
          </a:extLst>
        </xdr:cNvPr>
        <xdr:cNvSpPr/>
      </xdr:nvSpPr>
      <xdr:spPr>
        <a:xfrm>
          <a:off x="12734925" y="8813800"/>
          <a:ext cx="201176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8396" mc:Ignorable="a14" a14:legacySpreadsheetColorIndex="5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DD3" mc:Ignorable="a14" a14:legacySpreadsheetColorIndex="5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1E41" mc:Ignorable="a14" a14:legacySpreadsheetColorIndex="5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2106</a:t>
          </a:r>
        </a:p>
      </xdr:txBody>
    </xdr:sp>
    <xdr:clientData/>
  </xdr:twoCellAnchor>
  <xdr:twoCellAnchor>
    <xdr:from>
      <xdr:col>16</xdr:col>
      <xdr:colOff>2046799</xdr:colOff>
      <xdr:row>45</xdr:row>
      <xdr:rowOff>12700</xdr:rowOff>
    </xdr:from>
    <xdr:to>
      <xdr:col>16</xdr:col>
      <xdr:colOff>3381446</xdr:colOff>
      <xdr:row>45</xdr:row>
      <xdr:rowOff>177800</xdr:rowOff>
    </xdr:to>
    <xdr:sp macro="" textlink="">
      <xdr:nvSpPr>
        <xdr:cNvPr id="168548" name="Скругленный прямоугольник 168547">
          <a:extLst>
            <a:ext uri="{FF2B5EF4-FFF2-40B4-BE49-F238E27FC236}">
              <a16:creationId xmlns:a16="http://schemas.microsoft.com/office/drawing/2014/main" id="{00000000-0008-0000-0500-000064920200}"/>
            </a:ext>
          </a:extLst>
        </xdr:cNvPr>
        <xdr:cNvSpPr/>
      </xdr:nvSpPr>
      <xdr:spPr>
        <a:xfrm>
          <a:off x="14781724" y="8813800"/>
          <a:ext cx="13346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6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6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3416478</xdr:colOff>
      <xdr:row>45</xdr:row>
      <xdr:rowOff>12700</xdr:rowOff>
    </xdr:from>
    <xdr:to>
      <xdr:col>16</xdr:col>
      <xdr:colOff>4315833</xdr:colOff>
      <xdr:row>45</xdr:row>
      <xdr:rowOff>177800</xdr:rowOff>
    </xdr:to>
    <xdr:sp macro="" textlink="">
      <xdr:nvSpPr>
        <xdr:cNvPr id="168549" name="Скругленный прямоугольник 168548">
          <a:extLst>
            <a:ext uri="{FF2B5EF4-FFF2-40B4-BE49-F238E27FC236}">
              <a16:creationId xmlns:a16="http://schemas.microsoft.com/office/drawing/2014/main" id="{00000000-0008-0000-0500-000065920200}"/>
            </a:ext>
          </a:extLst>
        </xdr:cNvPr>
        <xdr:cNvSpPr/>
      </xdr:nvSpPr>
      <xdr:spPr>
        <a:xfrm>
          <a:off x="16151403" y="8813800"/>
          <a:ext cx="89935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956</a:t>
          </a:r>
        </a:p>
      </xdr:txBody>
    </xdr:sp>
    <xdr:clientData/>
  </xdr:twoCellAnchor>
  <xdr:twoCellAnchor>
    <xdr:from>
      <xdr:col>16</xdr:col>
      <xdr:colOff>4350863</xdr:colOff>
      <xdr:row>45</xdr:row>
      <xdr:rowOff>12700</xdr:rowOff>
    </xdr:from>
    <xdr:to>
      <xdr:col>16</xdr:col>
      <xdr:colOff>5134139</xdr:colOff>
      <xdr:row>45</xdr:row>
      <xdr:rowOff>177800</xdr:rowOff>
    </xdr:to>
    <xdr:sp macro="" textlink="">
      <xdr:nvSpPr>
        <xdr:cNvPr id="168550" name="Скругленный прямоугольник 168549">
          <a:extLst>
            <a:ext uri="{FF2B5EF4-FFF2-40B4-BE49-F238E27FC236}">
              <a16:creationId xmlns:a16="http://schemas.microsoft.com/office/drawing/2014/main" id="{00000000-0008-0000-0500-000066920200}"/>
            </a:ext>
          </a:extLst>
        </xdr:cNvPr>
        <xdr:cNvSpPr/>
      </xdr:nvSpPr>
      <xdr:spPr>
        <a:xfrm>
          <a:off x="17085788" y="8813800"/>
          <a:ext cx="78327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D7FF" mc:Ignorable="a14" a14:legacySpreadsheetColorIndex="4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ECFF" mc:Ignorable="a14" a14:legacySpreadsheetColorIndex="4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87AA" mc:Ignorable="a14" a14:legacySpreadsheetColorIndex="4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836</a:t>
          </a:r>
        </a:p>
      </xdr:txBody>
    </xdr:sp>
    <xdr:clientData/>
  </xdr:twoCellAnchor>
  <xdr:twoCellAnchor>
    <xdr:from>
      <xdr:col>16</xdr:col>
      <xdr:colOff>5169171</xdr:colOff>
      <xdr:row>45</xdr:row>
      <xdr:rowOff>12700</xdr:rowOff>
    </xdr:from>
    <xdr:to>
      <xdr:col>16</xdr:col>
      <xdr:colOff>5758985</xdr:colOff>
      <xdr:row>45</xdr:row>
      <xdr:rowOff>177800</xdr:rowOff>
    </xdr:to>
    <xdr:sp macro="" textlink="">
      <xdr:nvSpPr>
        <xdr:cNvPr id="168551" name="Скругленный прямоугольник 168550">
          <a:extLst>
            <a:ext uri="{FF2B5EF4-FFF2-40B4-BE49-F238E27FC236}">
              <a16:creationId xmlns:a16="http://schemas.microsoft.com/office/drawing/2014/main" id="{00000000-0008-0000-0500-000067920200}"/>
            </a:ext>
          </a:extLst>
        </xdr:cNvPr>
        <xdr:cNvSpPr/>
      </xdr:nvSpPr>
      <xdr:spPr>
        <a:xfrm>
          <a:off x="17904096" y="8813800"/>
          <a:ext cx="58981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636</a:t>
          </a:r>
        </a:p>
      </xdr:txBody>
    </xdr:sp>
    <xdr:clientData/>
  </xdr:twoCellAnchor>
  <xdr:twoCellAnchor>
    <xdr:from>
      <xdr:col>16</xdr:col>
      <xdr:colOff>0</xdr:colOff>
      <xdr:row>46</xdr:row>
      <xdr:rowOff>12700</xdr:rowOff>
    </xdr:from>
    <xdr:to>
      <xdr:col>16</xdr:col>
      <xdr:colOff>2031115</xdr:colOff>
      <xdr:row>46</xdr:row>
      <xdr:rowOff>177800</xdr:rowOff>
    </xdr:to>
    <xdr:sp macro="" textlink="">
      <xdr:nvSpPr>
        <xdr:cNvPr id="168552" name="Скругленный прямоугольник 168551">
          <a:extLst>
            <a:ext uri="{FF2B5EF4-FFF2-40B4-BE49-F238E27FC236}">
              <a16:creationId xmlns:a16="http://schemas.microsoft.com/office/drawing/2014/main" id="{00000000-0008-0000-0500-000068920200}"/>
            </a:ext>
          </a:extLst>
        </xdr:cNvPr>
        <xdr:cNvSpPr/>
      </xdr:nvSpPr>
      <xdr:spPr>
        <a:xfrm>
          <a:off x="12734925" y="9004300"/>
          <a:ext cx="20311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2B2B2" mc:Ignorable="a14" a14:legacySpreadsheetColorIndex="5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DDDDD" mc:Ignorable="a14" a14:legacySpreadsheetColorIndex="5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26262" mc:Ignorable="a14" a14:legacySpreadsheetColorIndex="5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2126</a:t>
          </a:r>
        </a:p>
      </xdr:txBody>
    </xdr:sp>
    <xdr:clientData/>
  </xdr:twoCellAnchor>
  <xdr:twoCellAnchor>
    <xdr:from>
      <xdr:col>16</xdr:col>
      <xdr:colOff>2066147</xdr:colOff>
      <xdr:row>46</xdr:row>
      <xdr:rowOff>12700</xdr:rowOff>
    </xdr:from>
    <xdr:to>
      <xdr:col>16</xdr:col>
      <xdr:colOff>3400794</xdr:colOff>
      <xdr:row>46</xdr:row>
      <xdr:rowOff>177800</xdr:rowOff>
    </xdr:to>
    <xdr:sp macro="" textlink="">
      <xdr:nvSpPr>
        <xdr:cNvPr id="168553" name="Скругленный прямоугольник 168552">
          <a:extLst>
            <a:ext uri="{FF2B5EF4-FFF2-40B4-BE49-F238E27FC236}">
              <a16:creationId xmlns:a16="http://schemas.microsoft.com/office/drawing/2014/main" id="{00000000-0008-0000-0500-000069920200}"/>
            </a:ext>
          </a:extLst>
        </xdr:cNvPr>
        <xdr:cNvSpPr/>
      </xdr:nvSpPr>
      <xdr:spPr>
        <a:xfrm>
          <a:off x="14801072" y="9004300"/>
          <a:ext cx="13346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6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6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3435824</xdr:colOff>
      <xdr:row>46</xdr:row>
      <xdr:rowOff>12700</xdr:rowOff>
    </xdr:from>
    <xdr:to>
      <xdr:col>16</xdr:col>
      <xdr:colOff>4538315</xdr:colOff>
      <xdr:row>46</xdr:row>
      <xdr:rowOff>177800</xdr:rowOff>
    </xdr:to>
    <xdr:sp macro="" textlink="">
      <xdr:nvSpPr>
        <xdr:cNvPr id="168554" name="Скругленный прямоугольник 168553">
          <a:extLst>
            <a:ext uri="{FF2B5EF4-FFF2-40B4-BE49-F238E27FC236}">
              <a16:creationId xmlns:a16="http://schemas.microsoft.com/office/drawing/2014/main" id="{00000000-0008-0000-0500-00006A920200}"/>
            </a:ext>
          </a:extLst>
        </xdr:cNvPr>
        <xdr:cNvSpPr/>
      </xdr:nvSpPr>
      <xdr:spPr>
        <a:xfrm>
          <a:off x="16170749" y="90043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4573346</xdr:colOff>
      <xdr:row>46</xdr:row>
      <xdr:rowOff>12700</xdr:rowOff>
    </xdr:from>
    <xdr:to>
      <xdr:col>16</xdr:col>
      <xdr:colOff>5211525</xdr:colOff>
      <xdr:row>46</xdr:row>
      <xdr:rowOff>177800</xdr:rowOff>
    </xdr:to>
    <xdr:sp macro="" textlink="">
      <xdr:nvSpPr>
        <xdr:cNvPr id="168555" name="Скругленный прямоугольник 168554">
          <a:extLst>
            <a:ext uri="{FF2B5EF4-FFF2-40B4-BE49-F238E27FC236}">
              <a16:creationId xmlns:a16="http://schemas.microsoft.com/office/drawing/2014/main" id="{00000000-0008-0000-0500-00006B920200}"/>
            </a:ext>
          </a:extLst>
        </xdr:cNvPr>
        <xdr:cNvSpPr/>
      </xdr:nvSpPr>
      <xdr:spPr>
        <a:xfrm>
          <a:off x="17308271" y="9004300"/>
          <a:ext cx="6381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686</a:t>
          </a:r>
        </a:p>
      </xdr:txBody>
    </xdr:sp>
    <xdr:clientData/>
  </xdr:twoCellAnchor>
  <xdr:twoCellAnchor>
    <xdr:from>
      <xdr:col>16</xdr:col>
      <xdr:colOff>5246556</xdr:colOff>
      <xdr:row>46</xdr:row>
      <xdr:rowOff>12700</xdr:rowOff>
    </xdr:from>
    <xdr:to>
      <xdr:col>16</xdr:col>
      <xdr:colOff>5758983</xdr:colOff>
      <xdr:row>46</xdr:row>
      <xdr:rowOff>177800</xdr:rowOff>
    </xdr:to>
    <xdr:sp macro="" textlink="">
      <xdr:nvSpPr>
        <xdr:cNvPr id="168556" name="Скругленный прямоугольник 168555">
          <a:extLst>
            <a:ext uri="{FF2B5EF4-FFF2-40B4-BE49-F238E27FC236}">
              <a16:creationId xmlns:a16="http://schemas.microsoft.com/office/drawing/2014/main" id="{00000000-0008-0000-0500-00006C920200}"/>
            </a:ext>
          </a:extLst>
        </xdr:cNvPr>
        <xdr:cNvSpPr/>
      </xdr:nvSpPr>
      <xdr:spPr>
        <a:xfrm>
          <a:off x="17981481" y="9004300"/>
          <a:ext cx="51242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96FF" mc:Ignorable="a14" a14:legacySpreadsheetColorIndex="4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D3FF" mc:Ignorable="a14" a14:legacySpreadsheetColorIndex="4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41AA" mc:Ignorable="a14" a14:legacySpreadsheetColorIndex="4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556</a:t>
          </a:r>
        </a:p>
      </xdr:txBody>
    </xdr:sp>
    <xdr:clientData/>
  </xdr:twoCellAnchor>
  <xdr:twoCellAnchor>
    <xdr:from>
      <xdr:col>16</xdr:col>
      <xdr:colOff>0</xdr:colOff>
      <xdr:row>47</xdr:row>
      <xdr:rowOff>12700</xdr:rowOff>
    </xdr:from>
    <xdr:to>
      <xdr:col>16</xdr:col>
      <xdr:colOff>2031115</xdr:colOff>
      <xdr:row>47</xdr:row>
      <xdr:rowOff>177800</xdr:rowOff>
    </xdr:to>
    <xdr:sp macro="" textlink="">
      <xdr:nvSpPr>
        <xdr:cNvPr id="168557" name="Скругленный прямоугольник 168556">
          <a:extLst>
            <a:ext uri="{FF2B5EF4-FFF2-40B4-BE49-F238E27FC236}">
              <a16:creationId xmlns:a16="http://schemas.microsoft.com/office/drawing/2014/main" id="{00000000-0008-0000-0500-00006D920200}"/>
            </a:ext>
          </a:extLst>
        </xdr:cNvPr>
        <xdr:cNvSpPr/>
      </xdr:nvSpPr>
      <xdr:spPr>
        <a:xfrm>
          <a:off x="12734925" y="9194800"/>
          <a:ext cx="20311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2B2B2" mc:Ignorable="a14" a14:legacySpreadsheetColorIndex="5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DDDDD" mc:Ignorable="a14" a14:legacySpreadsheetColorIndex="5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26262" mc:Ignorable="a14" a14:legacySpreadsheetColorIndex="5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2126</a:t>
          </a:r>
        </a:p>
      </xdr:txBody>
    </xdr:sp>
    <xdr:clientData/>
  </xdr:twoCellAnchor>
  <xdr:twoCellAnchor>
    <xdr:from>
      <xdr:col>16</xdr:col>
      <xdr:colOff>2066147</xdr:colOff>
      <xdr:row>47</xdr:row>
      <xdr:rowOff>12700</xdr:rowOff>
    </xdr:from>
    <xdr:to>
      <xdr:col>16</xdr:col>
      <xdr:colOff>3497526</xdr:colOff>
      <xdr:row>47</xdr:row>
      <xdr:rowOff>177800</xdr:rowOff>
    </xdr:to>
    <xdr:sp macro="" textlink="">
      <xdr:nvSpPr>
        <xdr:cNvPr id="168558" name="Скругленный прямоугольник 168557">
          <a:extLst>
            <a:ext uri="{FF2B5EF4-FFF2-40B4-BE49-F238E27FC236}">
              <a16:creationId xmlns:a16="http://schemas.microsoft.com/office/drawing/2014/main" id="{00000000-0008-0000-0500-00006E920200}"/>
            </a:ext>
          </a:extLst>
        </xdr:cNvPr>
        <xdr:cNvSpPr/>
      </xdr:nvSpPr>
      <xdr:spPr>
        <a:xfrm>
          <a:off x="14801072" y="9194800"/>
          <a:ext cx="14313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83B4" mc:Ignorable="a14" a14:legacySpreadsheetColorIndex="6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CDDE" mc:Ignorable="a14" a14:legacySpreadsheetColorIndex="6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1E64" mc:Ignorable="a14" a14:legacySpreadsheetColorIndex="6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1506</a:t>
          </a:r>
        </a:p>
      </xdr:txBody>
    </xdr:sp>
    <xdr:clientData/>
  </xdr:twoCellAnchor>
  <xdr:twoCellAnchor>
    <xdr:from>
      <xdr:col>16</xdr:col>
      <xdr:colOff>3532556</xdr:colOff>
      <xdr:row>47</xdr:row>
      <xdr:rowOff>12700</xdr:rowOff>
    </xdr:from>
    <xdr:to>
      <xdr:col>16</xdr:col>
      <xdr:colOff>4635047</xdr:colOff>
      <xdr:row>47</xdr:row>
      <xdr:rowOff>177800</xdr:rowOff>
    </xdr:to>
    <xdr:sp macro="" textlink="">
      <xdr:nvSpPr>
        <xdr:cNvPr id="168559" name="Скругленный прямоугольник 168558">
          <a:extLst>
            <a:ext uri="{FF2B5EF4-FFF2-40B4-BE49-F238E27FC236}">
              <a16:creationId xmlns:a16="http://schemas.microsoft.com/office/drawing/2014/main" id="{00000000-0008-0000-0500-00006F920200}"/>
            </a:ext>
          </a:extLst>
        </xdr:cNvPr>
        <xdr:cNvSpPr/>
      </xdr:nvSpPr>
      <xdr:spPr>
        <a:xfrm>
          <a:off x="16267481" y="91948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4670078</xdr:colOff>
      <xdr:row>47</xdr:row>
      <xdr:rowOff>12700</xdr:rowOff>
    </xdr:from>
    <xdr:to>
      <xdr:col>16</xdr:col>
      <xdr:colOff>5308257</xdr:colOff>
      <xdr:row>47</xdr:row>
      <xdr:rowOff>177800</xdr:rowOff>
    </xdr:to>
    <xdr:sp macro="" textlink="">
      <xdr:nvSpPr>
        <xdr:cNvPr id="168560" name="Скругленный прямоугольник 168559">
          <a:extLst>
            <a:ext uri="{FF2B5EF4-FFF2-40B4-BE49-F238E27FC236}">
              <a16:creationId xmlns:a16="http://schemas.microsoft.com/office/drawing/2014/main" id="{00000000-0008-0000-0500-000070920200}"/>
            </a:ext>
          </a:extLst>
        </xdr:cNvPr>
        <xdr:cNvSpPr/>
      </xdr:nvSpPr>
      <xdr:spPr>
        <a:xfrm>
          <a:off x="17405003" y="9194800"/>
          <a:ext cx="6381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686</a:t>
          </a:r>
        </a:p>
      </xdr:txBody>
    </xdr:sp>
    <xdr:clientData/>
  </xdr:twoCellAnchor>
  <xdr:twoCellAnchor>
    <xdr:from>
      <xdr:col>16</xdr:col>
      <xdr:colOff>5343288</xdr:colOff>
      <xdr:row>47</xdr:row>
      <xdr:rowOff>12700</xdr:rowOff>
    </xdr:from>
    <xdr:to>
      <xdr:col>16</xdr:col>
      <xdr:colOff>5758985</xdr:colOff>
      <xdr:row>47</xdr:row>
      <xdr:rowOff>177800</xdr:rowOff>
    </xdr:to>
    <xdr:sp macro="" textlink="">
      <xdr:nvSpPr>
        <xdr:cNvPr id="168561" name="Скругленный прямоугольник 168560">
          <a:extLst>
            <a:ext uri="{FF2B5EF4-FFF2-40B4-BE49-F238E27FC236}">
              <a16:creationId xmlns:a16="http://schemas.microsoft.com/office/drawing/2014/main" id="{00000000-0008-0000-0500-000071920200}"/>
            </a:ext>
          </a:extLst>
        </xdr:cNvPr>
        <xdr:cNvSpPr/>
      </xdr:nvSpPr>
      <xdr:spPr>
        <a:xfrm>
          <a:off x="18078213" y="9194800"/>
          <a:ext cx="41569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D7B4" mc:Ignorable="a14" a14:legacySpreadsheetColorIndex="4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ECDE" mc:Ignorable="a14" a14:legacySpreadsheetColorIndex="4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8764" mc:Ignorable="a14" a14:legacySpreadsheetColorIndex="4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456</a:t>
          </a:r>
        </a:p>
      </xdr:txBody>
    </xdr:sp>
    <xdr:clientData/>
  </xdr:twoCellAnchor>
  <xdr:twoCellAnchor>
    <xdr:from>
      <xdr:col>16</xdr:col>
      <xdr:colOff>0</xdr:colOff>
      <xdr:row>48</xdr:row>
      <xdr:rowOff>12700</xdr:rowOff>
    </xdr:from>
    <xdr:to>
      <xdr:col>16</xdr:col>
      <xdr:colOff>2079481</xdr:colOff>
      <xdr:row>48</xdr:row>
      <xdr:rowOff>177800</xdr:rowOff>
    </xdr:to>
    <xdr:sp macro="" textlink="">
      <xdr:nvSpPr>
        <xdr:cNvPr id="168562" name="Скругленный прямоугольник 168561">
          <a:extLst>
            <a:ext uri="{FF2B5EF4-FFF2-40B4-BE49-F238E27FC236}">
              <a16:creationId xmlns:a16="http://schemas.microsoft.com/office/drawing/2014/main" id="{00000000-0008-0000-0500-000072920200}"/>
            </a:ext>
          </a:extLst>
        </xdr:cNvPr>
        <xdr:cNvSpPr/>
      </xdr:nvSpPr>
      <xdr:spPr>
        <a:xfrm>
          <a:off x="12734925" y="9385300"/>
          <a:ext cx="207948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967C" mc:Ignorable="a14" a14:legacySpreadsheetColorIndex="5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3CB" mc:Ignorable="a14" a14:legacySpreadsheetColorIndex="5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4100" mc:Ignorable="a14" a14:legacySpreadsheetColorIndex="5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2176</a:t>
          </a:r>
        </a:p>
      </xdr:txBody>
    </xdr:sp>
    <xdr:clientData/>
  </xdr:twoCellAnchor>
  <xdr:twoCellAnchor>
    <xdr:from>
      <xdr:col>16</xdr:col>
      <xdr:colOff>2114511</xdr:colOff>
      <xdr:row>48</xdr:row>
      <xdr:rowOff>12700</xdr:rowOff>
    </xdr:from>
    <xdr:to>
      <xdr:col>16</xdr:col>
      <xdr:colOff>3420139</xdr:colOff>
      <xdr:row>48</xdr:row>
      <xdr:rowOff>177800</xdr:rowOff>
    </xdr:to>
    <xdr:sp macro="" textlink="">
      <xdr:nvSpPr>
        <xdr:cNvPr id="168563" name="Скругленный прямоугольник 168562">
          <a:extLst>
            <a:ext uri="{FF2B5EF4-FFF2-40B4-BE49-F238E27FC236}">
              <a16:creationId xmlns:a16="http://schemas.microsoft.com/office/drawing/2014/main" id="{00000000-0008-0000-0500-000073920200}"/>
            </a:ext>
          </a:extLst>
        </xdr:cNvPr>
        <xdr:cNvSpPr/>
      </xdr:nvSpPr>
      <xdr:spPr>
        <a:xfrm>
          <a:off x="14849436" y="9385300"/>
          <a:ext cx="130562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59595" mc:Ignorable="a14" a14:legacySpreadsheetColorIndex="6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D3D3" mc:Ignorable="a14" a14:legacySpreadsheetColorIndex="6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04040" mc:Ignorable="a14" a14:legacySpreadsheetColorIndex="6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1376</a:t>
          </a:r>
        </a:p>
      </xdr:txBody>
    </xdr:sp>
    <xdr:clientData/>
  </xdr:twoCellAnchor>
  <xdr:twoCellAnchor>
    <xdr:from>
      <xdr:col>16</xdr:col>
      <xdr:colOff>3455170</xdr:colOff>
      <xdr:row>48</xdr:row>
      <xdr:rowOff>12700</xdr:rowOff>
    </xdr:from>
    <xdr:to>
      <xdr:col>16</xdr:col>
      <xdr:colOff>4586681</xdr:colOff>
      <xdr:row>48</xdr:row>
      <xdr:rowOff>177800</xdr:rowOff>
    </xdr:to>
    <xdr:sp macro="" textlink="">
      <xdr:nvSpPr>
        <xdr:cNvPr id="168564" name="Скругленный прямоугольник 168563">
          <a:extLst>
            <a:ext uri="{FF2B5EF4-FFF2-40B4-BE49-F238E27FC236}">
              <a16:creationId xmlns:a16="http://schemas.microsoft.com/office/drawing/2014/main" id="{00000000-0008-0000-0500-000074920200}"/>
            </a:ext>
          </a:extLst>
        </xdr:cNvPr>
        <xdr:cNvSpPr/>
      </xdr:nvSpPr>
      <xdr:spPr>
        <a:xfrm>
          <a:off x="16190095" y="9385300"/>
          <a:ext cx="113151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D7FF" mc:Ignorable="a14" a14:legacySpreadsheetColorIndex="3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ECFF" mc:Ignorable="a14" a14:legacySpreadsheetColorIndex="3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87AA" mc:Ignorable="a14" a14:legacySpreadsheetColorIndex="3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1196</a:t>
          </a:r>
        </a:p>
      </xdr:txBody>
    </xdr:sp>
    <xdr:clientData/>
  </xdr:twoCellAnchor>
  <xdr:twoCellAnchor>
    <xdr:from>
      <xdr:col>16</xdr:col>
      <xdr:colOff>4621712</xdr:colOff>
      <xdr:row>48</xdr:row>
      <xdr:rowOff>12700</xdr:rowOff>
    </xdr:from>
    <xdr:to>
      <xdr:col>16</xdr:col>
      <xdr:colOff>5211525</xdr:colOff>
      <xdr:row>48</xdr:row>
      <xdr:rowOff>177800</xdr:rowOff>
    </xdr:to>
    <xdr:sp macro="" textlink="">
      <xdr:nvSpPr>
        <xdr:cNvPr id="168565" name="Скругленный прямоугольник 168564">
          <a:extLst>
            <a:ext uri="{FF2B5EF4-FFF2-40B4-BE49-F238E27FC236}">
              <a16:creationId xmlns:a16="http://schemas.microsoft.com/office/drawing/2014/main" id="{00000000-0008-0000-0500-000075920200}"/>
            </a:ext>
          </a:extLst>
        </xdr:cNvPr>
        <xdr:cNvSpPr/>
      </xdr:nvSpPr>
      <xdr:spPr>
        <a:xfrm>
          <a:off x="17356637" y="9385300"/>
          <a:ext cx="58981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636</a:t>
          </a:r>
        </a:p>
      </xdr:txBody>
    </xdr:sp>
    <xdr:clientData/>
  </xdr:twoCellAnchor>
  <xdr:twoCellAnchor>
    <xdr:from>
      <xdr:col>16</xdr:col>
      <xdr:colOff>5246556</xdr:colOff>
      <xdr:row>48</xdr:row>
      <xdr:rowOff>12700</xdr:rowOff>
    </xdr:from>
    <xdr:to>
      <xdr:col>16</xdr:col>
      <xdr:colOff>5758983</xdr:colOff>
      <xdr:row>48</xdr:row>
      <xdr:rowOff>177800</xdr:rowOff>
    </xdr:to>
    <xdr:sp macro="" textlink="">
      <xdr:nvSpPr>
        <xdr:cNvPr id="168566" name="Скругленный прямоугольник 168565">
          <a:extLst>
            <a:ext uri="{FF2B5EF4-FFF2-40B4-BE49-F238E27FC236}">
              <a16:creationId xmlns:a16="http://schemas.microsoft.com/office/drawing/2014/main" id="{00000000-0008-0000-0500-000076920200}"/>
            </a:ext>
          </a:extLst>
        </xdr:cNvPr>
        <xdr:cNvSpPr/>
      </xdr:nvSpPr>
      <xdr:spPr>
        <a:xfrm>
          <a:off x="17981481" y="9385300"/>
          <a:ext cx="51242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96FF" mc:Ignorable="a14" a14:legacySpreadsheetColorIndex="4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D3FF" mc:Ignorable="a14" a14:legacySpreadsheetColorIndex="4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41AA" mc:Ignorable="a14" a14:legacySpreadsheetColorIndex="4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556</a:t>
          </a:r>
        </a:p>
      </xdr:txBody>
    </xdr:sp>
    <xdr:clientData/>
  </xdr:twoCellAnchor>
  <xdr:twoCellAnchor>
    <xdr:from>
      <xdr:col>16</xdr:col>
      <xdr:colOff>0</xdr:colOff>
      <xdr:row>49</xdr:row>
      <xdr:rowOff>12700</xdr:rowOff>
    </xdr:from>
    <xdr:to>
      <xdr:col>16</xdr:col>
      <xdr:colOff>2243925</xdr:colOff>
      <xdr:row>49</xdr:row>
      <xdr:rowOff>177800</xdr:rowOff>
    </xdr:to>
    <xdr:sp macro="" textlink="">
      <xdr:nvSpPr>
        <xdr:cNvPr id="168567" name="Скругленный прямоугольник 168566">
          <a:extLst>
            <a:ext uri="{FF2B5EF4-FFF2-40B4-BE49-F238E27FC236}">
              <a16:creationId xmlns:a16="http://schemas.microsoft.com/office/drawing/2014/main" id="{00000000-0008-0000-0500-000077920200}"/>
            </a:ext>
          </a:extLst>
        </xdr:cNvPr>
        <xdr:cNvSpPr/>
      </xdr:nvSpPr>
      <xdr:spPr>
        <a:xfrm>
          <a:off x="12734925" y="9575800"/>
          <a:ext cx="22439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D77C" mc:Ignorable="a14" a14:legacySpreadsheetColorIndex="5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ECCB" mc:Ignorable="a14" a14:legacySpreadsheetColorIndex="5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8700" mc:Ignorable="a14" a14:legacySpreadsheetColorIndex="5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2346</a:t>
          </a:r>
        </a:p>
      </xdr:txBody>
    </xdr:sp>
    <xdr:clientData/>
  </xdr:twoCellAnchor>
  <xdr:twoCellAnchor>
    <xdr:from>
      <xdr:col>16</xdr:col>
      <xdr:colOff>2278955</xdr:colOff>
      <xdr:row>49</xdr:row>
      <xdr:rowOff>12700</xdr:rowOff>
    </xdr:from>
    <xdr:to>
      <xdr:col>16</xdr:col>
      <xdr:colOff>3536217</xdr:colOff>
      <xdr:row>49</xdr:row>
      <xdr:rowOff>177800</xdr:rowOff>
    </xdr:to>
    <xdr:sp macro="" textlink="">
      <xdr:nvSpPr>
        <xdr:cNvPr id="168568" name="Скругленный прямоугольник 168567">
          <a:extLst>
            <a:ext uri="{FF2B5EF4-FFF2-40B4-BE49-F238E27FC236}">
              <a16:creationId xmlns:a16="http://schemas.microsoft.com/office/drawing/2014/main" id="{00000000-0008-0000-0500-000078920200}"/>
            </a:ext>
          </a:extLst>
        </xdr:cNvPr>
        <xdr:cNvSpPr/>
      </xdr:nvSpPr>
      <xdr:spPr>
        <a:xfrm>
          <a:off x="15013880" y="9575800"/>
          <a:ext cx="125726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6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6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3571249</xdr:colOff>
      <xdr:row>49</xdr:row>
      <xdr:rowOff>12700</xdr:rowOff>
    </xdr:from>
    <xdr:to>
      <xdr:col>16</xdr:col>
      <xdr:colOff>4470603</xdr:colOff>
      <xdr:row>49</xdr:row>
      <xdr:rowOff>177800</xdr:rowOff>
    </xdr:to>
    <xdr:sp macro="" textlink="">
      <xdr:nvSpPr>
        <xdr:cNvPr id="168569" name="Скругленный прямоугольник 168568">
          <a:extLst>
            <a:ext uri="{FF2B5EF4-FFF2-40B4-BE49-F238E27FC236}">
              <a16:creationId xmlns:a16="http://schemas.microsoft.com/office/drawing/2014/main" id="{00000000-0008-0000-0500-000079920200}"/>
            </a:ext>
          </a:extLst>
        </xdr:cNvPr>
        <xdr:cNvSpPr/>
      </xdr:nvSpPr>
      <xdr:spPr>
        <a:xfrm>
          <a:off x="16306174" y="9575800"/>
          <a:ext cx="89935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956</a:t>
          </a:r>
        </a:p>
      </xdr:txBody>
    </xdr:sp>
    <xdr:clientData/>
  </xdr:twoCellAnchor>
  <xdr:twoCellAnchor>
    <xdr:from>
      <xdr:col>16</xdr:col>
      <xdr:colOff>4505634</xdr:colOff>
      <xdr:row>49</xdr:row>
      <xdr:rowOff>12700</xdr:rowOff>
    </xdr:from>
    <xdr:to>
      <xdr:col>16</xdr:col>
      <xdr:colOff>5163159</xdr:colOff>
      <xdr:row>49</xdr:row>
      <xdr:rowOff>177800</xdr:rowOff>
    </xdr:to>
    <xdr:sp macro="" textlink="">
      <xdr:nvSpPr>
        <xdr:cNvPr id="168570" name="Скругленный прямоугольник 168569">
          <a:extLst>
            <a:ext uri="{FF2B5EF4-FFF2-40B4-BE49-F238E27FC236}">
              <a16:creationId xmlns:a16="http://schemas.microsoft.com/office/drawing/2014/main" id="{00000000-0008-0000-0500-00007A920200}"/>
            </a:ext>
          </a:extLst>
        </xdr:cNvPr>
        <xdr:cNvSpPr/>
      </xdr:nvSpPr>
      <xdr:spPr>
        <a:xfrm>
          <a:off x="17240559" y="9575800"/>
          <a:ext cx="6575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706</a:t>
          </a:r>
        </a:p>
      </xdr:txBody>
    </xdr:sp>
    <xdr:clientData/>
  </xdr:twoCellAnchor>
  <xdr:twoCellAnchor>
    <xdr:from>
      <xdr:col>16</xdr:col>
      <xdr:colOff>5198190</xdr:colOff>
      <xdr:row>49</xdr:row>
      <xdr:rowOff>12700</xdr:rowOff>
    </xdr:from>
    <xdr:to>
      <xdr:col>16</xdr:col>
      <xdr:colOff>5758983</xdr:colOff>
      <xdr:row>49</xdr:row>
      <xdr:rowOff>177800</xdr:rowOff>
    </xdr:to>
    <xdr:sp macro="" textlink="">
      <xdr:nvSpPr>
        <xdr:cNvPr id="168571" name="Скругленный прямоугольник 168570">
          <a:extLst>
            <a:ext uri="{FF2B5EF4-FFF2-40B4-BE49-F238E27FC236}">
              <a16:creationId xmlns:a16="http://schemas.microsoft.com/office/drawing/2014/main" id="{00000000-0008-0000-0500-00007B920200}"/>
            </a:ext>
          </a:extLst>
        </xdr:cNvPr>
        <xdr:cNvSpPr/>
      </xdr:nvSpPr>
      <xdr:spPr>
        <a:xfrm>
          <a:off x="17933115" y="9575800"/>
          <a:ext cx="56079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D7D7" mc:Ignorable="a14" a14:legacySpreadsheetColorIndex="4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ECEC" mc:Ignorable="a14" a14:legacySpreadsheetColorIndex="4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8787" mc:Ignorable="a14" a14:legacySpreadsheetColorIndex="4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606</a:t>
          </a:r>
        </a:p>
      </xdr:txBody>
    </xdr:sp>
    <xdr:clientData/>
  </xdr:twoCellAnchor>
  <xdr:twoCellAnchor>
    <xdr:from>
      <xdr:col>16</xdr:col>
      <xdr:colOff>0</xdr:colOff>
      <xdr:row>50</xdr:row>
      <xdr:rowOff>12700</xdr:rowOff>
    </xdr:from>
    <xdr:to>
      <xdr:col>16</xdr:col>
      <xdr:colOff>1992423</xdr:colOff>
      <xdr:row>50</xdr:row>
      <xdr:rowOff>177800</xdr:rowOff>
    </xdr:to>
    <xdr:sp macro="" textlink="">
      <xdr:nvSpPr>
        <xdr:cNvPr id="168572" name="Скругленный прямоугольник 168571">
          <a:extLst>
            <a:ext uri="{FF2B5EF4-FFF2-40B4-BE49-F238E27FC236}">
              <a16:creationId xmlns:a16="http://schemas.microsoft.com/office/drawing/2014/main" id="{00000000-0008-0000-0500-00007C920200}"/>
            </a:ext>
          </a:extLst>
        </xdr:cNvPr>
        <xdr:cNvSpPr/>
      </xdr:nvSpPr>
      <xdr:spPr>
        <a:xfrm>
          <a:off x="12734925" y="9766300"/>
          <a:ext cx="199242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B496" mc:Ignorable="a14" a14:legacySpreadsheetColorIndex="5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DED3" mc:Ignorable="a14" a14:legacySpreadsheetColorIndex="5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6441" mc:Ignorable="a14" a14:legacySpreadsheetColorIndex="5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2086</a:t>
          </a:r>
        </a:p>
      </xdr:txBody>
    </xdr:sp>
    <xdr:clientData/>
  </xdr:twoCellAnchor>
  <xdr:twoCellAnchor>
    <xdr:from>
      <xdr:col>16</xdr:col>
      <xdr:colOff>2027453</xdr:colOff>
      <xdr:row>50</xdr:row>
      <xdr:rowOff>12700</xdr:rowOff>
    </xdr:from>
    <xdr:to>
      <xdr:col>16</xdr:col>
      <xdr:colOff>3874777</xdr:colOff>
      <xdr:row>50</xdr:row>
      <xdr:rowOff>177800</xdr:rowOff>
    </xdr:to>
    <xdr:sp macro="" textlink="">
      <xdr:nvSpPr>
        <xdr:cNvPr id="168573" name="Скругленный прямоугольник 168572">
          <a:extLst>
            <a:ext uri="{FF2B5EF4-FFF2-40B4-BE49-F238E27FC236}">
              <a16:creationId xmlns:a16="http://schemas.microsoft.com/office/drawing/2014/main" id="{00000000-0008-0000-0500-00007D920200}"/>
            </a:ext>
          </a:extLst>
        </xdr:cNvPr>
        <xdr:cNvSpPr/>
      </xdr:nvSpPr>
      <xdr:spPr>
        <a:xfrm>
          <a:off x="14762378" y="9766300"/>
          <a:ext cx="184732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1936</a:t>
          </a:r>
        </a:p>
      </xdr:txBody>
    </xdr:sp>
    <xdr:clientData/>
  </xdr:twoCellAnchor>
  <xdr:twoCellAnchor>
    <xdr:from>
      <xdr:col>16</xdr:col>
      <xdr:colOff>3909809</xdr:colOff>
      <xdr:row>50</xdr:row>
      <xdr:rowOff>12700</xdr:rowOff>
    </xdr:from>
    <xdr:to>
      <xdr:col>16</xdr:col>
      <xdr:colOff>5757134</xdr:colOff>
      <xdr:row>50</xdr:row>
      <xdr:rowOff>177800</xdr:rowOff>
    </xdr:to>
    <xdr:sp macro="" textlink="">
      <xdr:nvSpPr>
        <xdr:cNvPr id="168574" name="Скругленный прямоугольник 168573">
          <a:extLst>
            <a:ext uri="{FF2B5EF4-FFF2-40B4-BE49-F238E27FC236}">
              <a16:creationId xmlns:a16="http://schemas.microsoft.com/office/drawing/2014/main" id="{00000000-0008-0000-0500-00007E920200}"/>
            </a:ext>
          </a:extLst>
        </xdr:cNvPr>
        <xdr:cNvSpPr/>
      </xdr:nvSpPr>
      <xdr:spPr>
        <a:xfrm>
          <a:off x="16644734" y="9766300"/>
          <a:ext cx="18473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1936</a:t>
          </a:r>
        </a:p>
      </xdr:txBody>
    </xdr:sp>
    <xdr:clientData/>
  </xdr:twoCellAnchor>
  <xdr:twoCellAnchor>
    <xdr:from>
      <xdr:col>16</xdr:col>
      <xdr:colOff>0</xdr:colOff>
      <xdr:row>51</xdr:row>
      <xdr:rowOff>12700</xdr:rowOff>
    </xdr:from>
    <xdr:to>
      <xdr:col>16</xdr:col>
      <xdr:colOff>2185885</xdr:colOff>
      <xdr:row>51</xdr:row>
      <xdr:rowOff>177800</xdr:rowOff>
    </xdr:to>
    <xdr:sp macro="" textlink="">
      <xdr:nvSpPr>
        <xdr:cNvPr id="168575" name="Скругленный прямоугольник 168574">
          <a:extLst>
            <a:ext uri="{FF2B5EF4-FFF2-40B4-BE49-F238E27FC236}">
              <a16:creationId xmlns:a16="http://schemas.microsoft.com/office/drawing/2014/main" id="{00000000-0008-0000-0500-00007F920200}"/>
            </a:ext>
          </a:extLst>
        </xdr:cNvPr>
        <xdr:cNvSpPr/>
      </xdr:nvSpPr>
      <xdr:spPr>
        <a:xfrm>
          <a:off x="12734925" y="9956800"/>
          <a:ext cx="218588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B47C" mc:Ignorable="a14" a14:legacySpreadsheetColorIndex="5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ECB" mc:Ignorable="a14" a14:legacySpreadsheetColorIndex="5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6400" mc:Ignorable="a14" a14:legacySpreadsheetColorIndex="5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2286</a:t>
          </a:r>
        </a:p>
      </xdr:txBody>
    </xdr:sp>
    <xdr:clientData/>
  </xdr:twoCellAnchor>
  <xdr:twoCellAnchor>
    <xdr:from>
      <xdr:col>16</xdr:col>
      <xdr:colOff>2220917</xdr:colOff>
      <xdr:row>51</xdr:row>
      <xdr:rowOff>12700</xdr:rowOff>
    </xdr:from>
    <xdr:to>
      <xdr:col>16</xdr:col>
      <xdr:colOff>4300398</xdr:colOff>
      <xdr:row>51</xdr:row>
      <xdr:rowOff>177800</xdr:rowOff>
    </xdr:to>
    <xdr:sp macro="" textlink="">
      <xdr:nvSpPr>
        <xdr:cNvPr id="168576" name="Скругленный прямоугольник 168575">
          <a:extLst>
            <a:ext uri="{FF2B5EF4-FFF2-40B4-BE49-F238E27FC236}">
              <a16:creationId xmlns:a16="http://schemas.microsoft.com/office/drawing/2014/main" id="{00000000-0008-0000-0500-000080920200}"/>
            </a:ext>
          </a:extLst>
        </xdr:cNvPr>
        <xdr:cNvSpPr/>
      </xdr:nvSpPr>
      <xdr:spPr>
        <a:xfrm>
          <a:off x="14955842" y="9956800"/>
          <a:ext cx="207948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967C" mc:Ignorable="a14" a14:legacySpreadsheetColorIndex="5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3CB" mc:Ignorable="a14" a14:legacySpreadsheetColorIndex="5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4100" mc:Ignorable="a14" a14:legacySpreadsheetColorIndex="5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2176</a:t>
          </a:r>
        </a:p>
      </xdr:txBody>
    </xdr:sp>
    <xdr:clientData/>
  </xdr:twoCellAnchor>
  <xdr:twoCellAnchor>
    <xdr:from>
      <xdr:col>16</xdr:col>
      <xdr:colOff>4335428</xdr:colOff>
      <xdr:row>51</xdr:row>
      <xdr:rowOff>12700</xdr:rowOff>
    </xdr:from>
    <xdr:to>
      <xdr:col>16</xdr:col>
      <xdr:colOff>5757134</xdr:colOff>
      <xdr:row>51</xdr:row>
      <xdr:rowOff>177800</xdr:rowOff>
    </xdr:to>
    <xdr:sp macro="" textlink="">
      <xdr:nvSpPr>
        <xdr:cNvPr id="168577" name="Скругленный прямоугольник 168576">
          <a:extLst>
            <a:ext uri="{FF2B5EF4-FFF2-40B4-BE49-F238E27FC236}">
              <a16:creationId xmlns:a16="http://schemas.microsoft.com/office/drawing/2014/main" id="{00000000-0008-0000-0500-000081920200}"/>
            </a:ext>
          </a:extLst>
        </xdr:cNvPr>
        <xdr:cNvSpPr/>
      </xdr:nvSpPr>
      <xdr:spPr>
        <a:xfrm>
          <a:off x="17070353" y="9956800"/>
          <a:ext cx="142170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1496</a:t>
          </a:r>
        </a:p>
      </xdr:txBody>
    </xdr:sp>
    <xdr:clientData/>
  </xdr:twoCellAnchor>
  <xdr:twoCellAnchor>
    <xdr:from>
      <xdr:col>16</xdr:col>
      <xdr:colOff>0</xdr:colOff>
      <xdr:row>52</xdr:row>
      <xdr:rowOff>12700</xdr:rowOff>
    </xdr:from>
    <xdr:to>
      <xdr:col>16</xdr:col>
      <xdr:colOff>2243925</xdr:colOff>
      <xdr:row>52</xdr:row>
      <xdr:rowOff>177800</xdr:rowOff>
    </xdr:to>
    <xdr:sp macro="" textlink="">
      <xdr:nvSpPr>
        <xdr:cNvPr id="168578" name="Скругленный прямоугольник 168577">
          <a:extLst>
            <a:ext uri="{FF2B5EF4-FFF2-40B4-BE49-F238E27FC236}">
              <a16:creationId xmlns:a16="http://schemas.microsoft.com/office/drawing/2014/main" id="{00000000-0008-0000-0500-000082920200}"/>
            </a:ext>
          </a:extLst>
        </xdr:cNvPr>
        <xdr:cNvSpPr/>
      </xdr:nvSpPr>
      <xdr:spPr>
        <a:xfrm>
          <a:off x="12734925" y="10147300"/>
          <a:ext cx="22439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D77C" mc:Ignorable="a14" a14:legacySpreadsheetColorIndex="5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ECCB" mc:Ignorable="a14" a14:legacySpreadsheetColorIndex="5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8700" mc:Ignorable="a14" a14:legacySpreadsheetColorIndex="5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2346</a:t>
          </a:r>
        </a:p>
      </xdr:txBody>
    </xdr:sp>
    <xdr:clientData/>
  </xdr:twoCellAnchor>
  <xdr:twoCellAnchor>
    <xdr:from>
      <xdr:col>16</xdr:col>
      <xdr:colOff>2278955</xdr:colOff>
      <xdr:row>52</xdr:row>
      <xdr:rowOff>12700</xdr:rowOff>
    </xdr:from>
    <xdr:to>
      <xdr:col>16</xdr:col>
      <xdr:colOff>4290724</xdr:colOff>
      <xdr:row>52</xdr:row>
      <xdr:rowOff>177800</xdr:rowOff>
    </xdr:to>
    <xdr:sp macro="" textlink="">
      <xdr:nvSpPr>
        <xdr:cNvPr id="168579" name="Скругленный прямоугольник 168578">
          <a:extLst>
            <a:ext uri="{FF2B5EF4-FFF2-40B4-BE49-F238E27FC236}">
              <a16:creationId xmlns:a16="http://schemas.microsoft.com/office/drawing/2014/main" id="{00000000-0008-0000-0500-000083920200}"/>
            </a:ext>
          </a:extLst>
        </xdr:cNvPr>
        <xdr:cNvSpPr/>
      </xdr:nvSpPr>
      <xdr:spPr>
        <a:xfrm>
          <a:off x="15013880" y="10147300"/>
          <a:ext cx="201176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8396" mc:Ignorable="a14" a14:legacySpreadsheetColorIndex="5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DD3" mc:Ignorable="a14" a14:legacySpreadsheetColorIndex="5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1E41" mc:Ignorable="a14" a14:legacySpreadsheetColorIndex="5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2106</a:t>
          </a:r>
        </a:p>
      </xdr:txBody>
    </xdr:sp>
    <xdr:clientData/>
  </xdr:twoCellAnchor>
  <xdr:twoCellAnchor>
    <xdr:from>
      <xdr:col>16</xdr:col>
      <xdr:colOff>4325756</xdr:colOff>
      <xdr:row>52</xdr:row>
      <xdr:rowOff>12700</xdr:rowOff>
    </xdr:from>
    <xdr:to>
      <xdr:col>16</xdr:col>
      <xdr:colOff>5757135</xdr:colOff>
      <xdr:row>52</xdr:row>
      <xdr:rowOff>177800</xdr:rowOff>
    </xdr:to>
    <xdr:sp macro="" textlink="">
      <xdr:nvSpPr>
        <xdr:cNvPr id="168580" name="Скругленный прямоугольник 168579">
          <a:extLst>
            <a:ext uri="{FF2B5EF4-FFF2-40B4-BE49-F238E27FC236}">
              <a16:creationId xmlns:a16="http://schemas.microsoft.com/office/drawing/2014/main" id="{00000000-0008-0000-0500-000084920200}"/>
            </a:ext>
          </a:extLst>
        </xdr:cNvPr>
        <xdr:cNvSpPr/>
      </xdr:nvSpPr>
      <xdr:spPr>
        <a:xfrm>
          <a:off x="17060681" y="10147300"/>
          <a:ext cx="14313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83B4" mc:Ignorable="a14" a14:legacySpreadsheetColorIndex="6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CDDE" mc:Ignorable="a14" a14:legacySpreadsheetColorIndex="6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1E64" mc:Ignorable="a14" a14:legacySpreadsheetColorIndex="6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1506</a:t>
          </a:r>
        </a:p>
      </xdr:txBody>
    </xdr:sp>
    <xdr:clientData/>
  </xdr:twoCellAnchor>
  <xdr:twoCellAnchor>
    <xdr:from>
      <xdr:col>16</xdr:col>
      <xdr:colOff>0</xdr:colOff>
      <xdr:row>53</xdr:row>
      <xdr:rowOff>12700</xdr:rowOff>
    </xdr:from>
    <xdr:to>
      <xdr:col>16</xdr:col>
      <xdr:colOff>1944057</xdr:colOff>
      <xdr:row>53</xdr:row>
      <xdr:rowOff>177800</xdr:rowOff>
    </xdr:to>
    <xdr:sp macro="" textlink="">
      <xdr:nvSpPr>
        <xdr:cNvPr id="168581" name="Скругленный прямоугольник 168580">
          <a:extLst>
            <a:ext uri="{FF2B5EF4-FFF2-40B4-BE49-F238E27FC236}">
              <a16:creationId xmlns:a16="http://schemas.microsoft.com/office/drawing/2014/main" id="{00000000-0008-0000-0500-000085920200}"/>
            </a:ext>
          </a:extLst>
        </xdr:cNvPr>
        <xdr:cNvSpPr/>
      </xdr:nvSpPr>
      <xdr:spPr>
        <a:xfrm>
          <a:off x="12734925" y="10337800"/>
          <a:ext cx="194405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A4" mc:Ignorable="a14" a14:legacySpreadsheetColorIndex="2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D8" mc:Ignorable="a14" a14:legacySpreadsheetColorIndex="2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53" mc:Ignorable="a14" a14:legacySpreadsheetColorIndex="2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2036</a:t>
          </a:r>
        </a:p>
      </xdr:txBody>
    </xdr:sp>
    <xdr:clientData/>
  </xdr:twoCellAnchor>
  <xdr:twoCellAnchor>
    <xdr:from>
      <xdr:col>16</xdr:col>
      <xdr:colOff>1979087</xdr:colOff>
      <xdr:row>53</xdr:row>
      <xdr:rowOff>12700</xdr:rowOff>
    </xdr:from>
    <xdr:to>
      <xdr:col>16</xdr:col>
      <xdr:colOff>3797393</xdr:colOff>
      <xdr:row>53</xdr:row>
      <xdr:rowOff>177800</xdr:rowOff>
    </xdr:to>
    <xdr:sp macro="" textlink="">
      <xdr:nvSpPr>
        <xdr:cNvPr id="168582" name="Скругленный прямоугольник 168581">
          <a:extLst>
            <a:ext uri="{FF2B5EF4-FFF2-40B4-BE49-F238E27FC236}">
              <a16:creationId xmlns:a16="http://schemas.microsoft.com/office/drawing/2014/main" id="{00000000-0008-0000-0500-000086920200}"/>
            </a:ext>
          </a:extLst>
        </xdr:cNvPr>
        <xdr:cNvSpPr/>
      </xdr:nvSpPr>
      <xdr:spPr>
        <a:xfrm>
          <a:off x="14714012" y="10337800"/>
          <a:ext cx="181830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7C" mc:Ignorable="a14" a14:legacySpreadsheetColorIndex="6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CB" mc:Ignorable="a14" a14:legacySpreadsheetColorIndex="6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00" mc:Ignorable="a14" a14:legacySpreadsheetColorIndex="6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1906</a:t>
          </a:r>
        </a:p>
      </xdr:txBody>
    </xdr:sp>
    <xdr:clientData/>
  </xdr:twoCellAnchor>
  <xdr:twoCellAnchor>
    <xdr:from>
      <xdr:col>16</xdr:col>
      <xdr:colOff>3832423</xdr:colOff>
      <xdr:row>53</xdr:row>
      <xdr:rowOff>12700</xdr:rowOff>
    </xdr:from>
    <xdr:to>
      <xdr:col>16</xdr:col>
      <xdr:colOff>5263803</xdr:colOff>
      <xdr:row>53</xdr:row>
      <xdr:rowOff>177800</xdr:rowOff>
    </xdr:to>
    <xdr:sp macro="" textlink="">
      <xdr:nvSpPr>
        <xdr:cNvPr id="168583" name="Скругленный прямоугольник 168582">
          <a:extLst>
            <a:ext uri="{FF2B5EF4-FFF2-40B4-BE49-F238E27FC236}">
              <a16:creationId xmlns:a16="http://schemas.microsoft.com/office/drawing/2014/main" id="{00000000-0008-0000-0500-000087920200}"/>
            </a:ext>
          </a:extLst>
        </xdr:cNvPr>
        <xdr:cNvSpPr/>
      </xdr:nvSpPr>
      <xdr:spPr>
        <a:xfrm>
          <a:off x="16567348" y="10337800"/>
          <a:ext cx="143138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83B4" mc:Ignorable="a14" a14:legacySpreadsheetColorIndex="6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CDDE" mc:Ignorable="a14" a14:legacySpreadsheetColorIndex="6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1E64" mc:Ignorable="a14" a14:legacySpreadsheetColorIndex="6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1506</a:t>
          </a:r>
        </a:p>
      </xdr:txBody>
    </xdr:sp>
    <xdr:clientData/>
  </xdr:twoCellAnchor>
  <xdr:twoCellAnchor>
    <xdr:from>
      <xdr:col>16</xdr:col>
      <xdr:colOff>5298833</xdr:colOff>
      <xdr:row>53</xdr:row>
      <xdr:rowOff>12700</xdr:rowOff>
    </xdr:from>
    <xdr:to>
      <xdr:col>16</xdr:col>
      <xdr:colOff>5753222</xdr:colOff>
      <xdr:row>53</xdr:row>
      <xdr:rowOff>177800</xdr:rowOff>
    </xdr:to>
    <xdr:sp macro="" textlink="">
      <xdr:nvSpPr>
        <xdr:cNvPr id="168584" name="Скругленный прямоугольник 168583">
          <a:extLst>
            <a:ext uri="{FF2B5EF4-FFF2-40B4-BE49-F238E27FC236}">
              <a16:creationId xmlns:a16="http://schemas.microsoft.com/office/drawing/2014/main" id="{00000000-0008-0000-0500-000088920200}"/>
            </a:ext>
          </a:extLst>
        </xdr:cNvPr>
        <xdr:cNvSpPr/>
      </xdr:nvSpPr>
      <xdr:spPr>
        <a:xfrm>
          <a:off x="18033758" y="10337800"/>
          <a:ext cx="4543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CFCFCF" mc:Ignorable="a14" a14:legacySpreadsheetColorIndex="2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8E8E8" mc:Ignorable="a14" a14:legacySpreadsheetColorIndex="2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7F7F7F" mc:Ignorable="a14" a14:legacySpreadsheetColorIndex="2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496</a:t>
          </a:r>
        </a:p>
      </xdr:txBody>
    </xdr:sp>
    <xdr:clientData/>
  </xdr:twoCellAnchor>
  <xdr:twoCellAnchor>
    <xdr:from>
      <xdr:col>16</xdr:col>
      <xdr:colOff>0</xdr:colOff>
      <xdr:row>54</xdr:row>
      <xdr:rowOff>12700</xdr:rowOff>
    </xdr:from>
    <xdr:to>
      <xdr:col>16</xdr:col>
      <xdr:colOff>2040789</xdr:colOff>
      <xdr:row>54</xdr:row>
      <xdr:rowOff>177800</xdr:rowOff>
    </xdr:to>
    <xdr:sp macro="" textlink="">
      <xdr:nvSpPr>
        <xdr:cNvPr id="168585" name="Скругленный прямоугольник 168584">
          <a:extLst>
            <a:ext uri="{FF2B5EF4-FFF2-40B4-BE49-F238E27FC236}">
              <a16:creationId xmlns:a16="http://schemas.microsoft.com/office/drawing/2014/main" id="{00000000-0008-0000-0500-000089920200}"/>
            </a:ext>
          </a:extLst>
        </xdr:cNvPr>
        <xdr:cNvSpPr/>
      </xdr:nvSpPr>
      <xdr:spPr>
        <a:xfrm>
          <a:off x="12734925" y="10528300"/>
          <a:ext cx="20407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96B4" mc:Ignorable="a14" a14:legacySpreadsheetColorIndex="5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D3DE" mc:Ignorable="a14" a14:legacySpreadsheetColorIndex="5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4164" mc:Ignorable="a14" a14:legacySpreadsheetColorIndex="5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2136</a:t>
          </a:r>
        </a:p>
      </xdr:txBody>
    </xdr:sp>
    <xdr:clientData/>
  </xdr:twoCellAnchor>
  <xdr:twoCellAnchor>
    <xdr:from>
      <xdr:col>16</xdr:col>
      <xdr:colOff>2075819</xdr:colOff>
      <xdr:row>54</xdr:row>
      <xdr:rowOff>12700</xdr:rowOff>
    </xdr:from>
    <xdr:to>
      <xdr:col>16</xdr:col>
      <xdr:colOff>3429812</xdr:colOff>
      <xdr:row>54</xdr:row>
      <xdr:rowOff>177800</xdr:rowOff>
    </xdr:to>
    <xdr:sp macro="" textlink="">
      <xdr:nvSpPr>
        <xdr:cNvPr id="168586" name="Скругленный прямоугольник 168585">
          <a:extLst>
            <a:ext uri="{FF2B5EF4-FFF2-40B4-BE49-F238E27FC236}">
              <a16:creationId xmlns:a16="http://schemas.microsoft.com/office/drawing/2014/main" id="{00000000-0008-0000-0500-00008A920200}"/>
            </a:ext>
          </a:extLst>
        </xdr:cNvPr>
        <xdr:cNvSpPr/>
      </xdr:nvSpPr>
      <xdr:spPr>
        <a:xfrm>
          <a:off x="14810744" y="10528300"/>
          <a:ext cx="135399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7C96" mc:Ignorable="a14" a14:legacySpreadsheetColorIndex="2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CBD3" mc:Ignorable="a14" a14:legacySpreadsheetColorIndex="2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0041" mc:Ignorable="a14" a14:legacySpreadsheetColorIndex="2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1426</a:t>
          </a:r>
        </a:p>
      </xdr:txBody>
    </xdr:sp>
    <xdr:clientData/>
  </xdr:twoCellAnchor>
  <xdr:twoCellAnchor>
    <xdr:from>
      <xdr:col>16</xdr:col>
      <xdr:colOff>3464844</xdr:colOff>
      <xdr:row>54</xdr:row>
      <xdr:rowOff>12700</xdr:rowOff>
    </xdr:from>
    <xdr:to>
      <xdr:col>16</xdr:col>
      <xdr:colOff>4799492</xdr:colOff>
      <xdr:row>54</xdr:row>
      <xdr:rowOff>177800</xdr:rowOff>
    </xdr:to>
    <xdr:sp macro="" textlink="">
      <xdr:nvSpPr>
        <xdr:cNvPr id="168587" name="Скругленный прямоугольник 168586">
          <a:extLst>
            <a:ext uri="{FF2B5EF4-FFF2-40B4-BE49-F238E27FC236}">
              <a16:creationId xmlns:a16="http://schemas.microsoft.com/office/drawing/2014/main" id="{00000000-0008-0000-0500-00008B920200}"/>
            </a:ext>
          </a:extLst>
        </xdr:cNvPr>
        <xdr:cNvSpPr/>
      </xdr:nvSpPr>
      <xdr:spPr>
        <a:xfrm>
          <a:off x="16199769" y="10528300"/>
          <a:ext cx="133464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6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6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4834522</xdr:colOff>
      <xdr:row>54</xdr:row>
      <xdr:rowOff>12700</xdr:rowOff>
    </xdr:from>
    <xdr:to>
      <xdr:col>16</xdr:col>
      <xdr:colOff>5753222</xdr:colOff>
      <xdr:row>54</xdr:row>
      <xdr:rowOff>177800</xdr:rowOff>
    </xdr:to>
    <xdr:sp macro="" textlink="">
      <xdr:nvSpPr>
        <xdr:cNvPr id="168588" name="Скругленный прямоугольник 168587">
          <a:extLst>
            <a:ext uri="{FF2B5EF4-FFF2-40B4-BE49-F238E27FC236}">
              <a16:creationId xmlns:a16="http://schemas.microsoft.com/office/drawing/2014/main" id="{00000000-0008-0000-0500-00008C920200}"/>
            </a:ext>
          </a:extLst>
        </xdr:cNvPr>
        <xdr:cNvSpPr/>
      </xdr:nvSpPr>
      <xdr:spPr>
        <a:xfrm>
          <a:off x="17569447" y="10528300"/>
          <a:ext cx="91870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3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3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3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976</a:t>
          </a:r>
        </a:p>
      </xdr:txBody>
    </xdr:sp>
    <xdr:clientData/>
  </xdr:twoCellAnchor>
  <xdr:twoCellAnchor>
    <xdr:from>
      <xdr:col>16</xdr:col>
      <xdr:colOff>0</xdr:colOff>
      <xdr:row>55</xdr:row>
      <xdr:rowOff>12700</xdr:rowOff>
    </xdr:from>
    <xdr:to>
      <xdr:col>16</xdr:col>
      <xdr:colOff>2185885</xdr:colOff>
      <xdr:row>55</xdr:row>
      <xdr:rowOff>177800</xdr:rowOff>
    </xdr:to>
    <xdr:sp macro="" textlink="">
      <xdr:nvSpPr>
        <xdr:cNvPr id="168589" name="Скругленный прямоугольник 168588">
          <a:extLst>
            <a:ext uri="{FF2B5EF4-FFF2-40B4-BE49-F238E27FC236}">
              <a16:creationId xmlns:a16="http://schemas.microsoft.com/office/drawing/2014/main" id="{00000000-0008-0000-0500-00008D920200}"/>
            </a:ext>
          </a:extLst>
        </xdr:cNvPr>
        <xdr:cNvSpPr/>
      </xdr:nvSpPr>
      <xdr:spPr>
        <a:xfrm>
          <a:off x="12734925" y="10718800"/>
          <a:ext cx="218588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B47C" mc:Ignorable="a14" a14:legacySpreadsheetColorIndex="5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ECB" mc:Ignorable="a14" a14:legacySpreadsheetColorIndex="5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6400" mc:Ignorable="a14" a14:legacySpreadsheetColorIndex="5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2286</a:t>
          </a:r>
        </a:p>
      </xdr:txBody>
    </xdr:sp>
    <xdr:clientData/>
  </xdr:twoCellAnchor>
  <xdr:twoCellAnchor>
    <xdr:from>
      <xdr:col>16</xdr:col>
      <xdr:colOff>2220917</xdr:colOff>
      <xdr:row>55</xdr:row>
      <xdr:rowOff>12700</xdr:rowOff>
    </xdr:from>
    <xdr:to>
      <xdr:col>16</xdr:col>
      <xdr:colOff>4261706</xdr:colOff>
      <xdr:row>55</xdr:row>
      <xdr:rowOff>177800</xdr:rowOff>
    </xdr:to>
    <xdr:sp macro="" textlink="">
      <xdr:nvSpPr>
        <xdr:cNvPr id="168590" name="Скругленный прямоугольник 168589">
          <a:extLst>
            <a:ext uri="{FF2B5EF4-FFF2-40B4-BE49-F238E27FC236}">
              <a16:creationId xmlns:a16="http://schemas.microsoft.com/office/drawing/2014/main" id="{00000000-0008-0000-0500-00008E920200}"/>
            </a:ext>
          </a:extLst>
        </xdr:cNvPr>
        <xdr:cNvSpPr/>
      </xdr:nvSpPr>
      <xdr:spPr>
        <a:xfrm>
          <a:off x="14955842" y="10718800"/>
          <a:ext cx="20407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96B4" mc:Ignorable="a14" a14:legacySpreadsheetColorIndex="5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D3DE" mc:Ignorable="a14" a14:legacySpreadsheetColorIndex="5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4164" mc:Ignorable="a14" a14:legacySpreadsheetColorIndex="5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2136</a:t>
          </a:r>
        </a:p>
      </xdr:txBody>
    </xdr:sp>
    <xdr:clientData/>
  </xdr:twoCellAnchor>
  <xdr:twoCellAnchor>
    <xdr:from>
      <xdr:col>16</xdr:col>
      <xdr:colOff>4296736</xdr:colOff>
      <xdr:row>55</xdr:row>
      <xdr:rowOff>12700</xdr:rowOff>
    </xdr:from>
    <xdr:to>
      <xdr:col>16</xdr:col>
      <xdr:colOff>5747462</xdr:colOff>
      <xdr:row>55</xdr:row>
      <xdr:rowOff>177800</xdr:rowOff>
    </xdr:to>
    <xdr:sp macro="" textlink="">
      <xdr:nvSpPr>
        <xdr:cNvPr id="168591" name="Скругленный прямоугольник 168590">
          <a:extLst>
            <a:ext uri="{FF2B5EF4-FFF2-40B4-BE49-F238E27FC236}">
              <a16:creationId xmlns:a16="http://schemas.microsoft.com/office/drawing/2014/main" id="{00000000-0008-0000-0500-00008F920200}"/>
            </a:ext>
          </a:extLst>
        </xdr:cNvPr>
        <xdr:cNvSpPr/>
      </xdr:nvSpPr>
      <xdr:spPr>
        <a:xfrm>
          <a:off x="17031661" y="10718800"/>
          <a:ext cx="145072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7C" mc:Ignorable="a14" a14:legacySpreadsheetColorIndex="1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CB" mc:Ignorable="a14" a14:legacySpreadsheetColorIndex="1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00" mc:Ignorable="a14" a14:legacySpreadsheetColorIndex="1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0</xdr:colOff>
      <xdr:row>56</xdr:row>
      <xdr:rowOff>12700</xdr:rowOff>
    </xdr:from>
    <xdr:to>
      <xdr:col>16</xdr:col>
      <xdr:colOff>1973076</xdr:colOff>
      <xdr:row>56</xdr:row>
      <xdr:rowOff>177800</xdr:rowOff>
    </xdr:to>
    <xdr:sp macro="" textlink="">
      <xdr:nvSpPr>
        <xdr:cNvPr id="168592" name="Скругленный прямоугольник 168591">
          <a:extLst>
            <a:ext uri="{FF2B5EF4-FFF2-40B4-BE49-F238E27FC236}">
              <a16:creationId xmlns:a16="http://schemas.microsoft.com/office/drawing/2014/main" id="{00000000-0008-0000-0500-000090920200}"/>
            </a:ext>
          </a:extLst>
        </xdr:cNvPr>
        <xdr:cNvSpPr/>
      </xdr:nvSpPr>
      <xdr:spPr>
        <a:xfrm>
          <a:off x="12734925" y="10909300"/>
          <a:ext cx="197307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837C" mc:Ignorable="a14" a14:legacySpreadsheetColorIndex="5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DCB" mc:Ignorable="a14" a14:legacySpreadsheetColorIndex="5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1E00" mc:Ignorable="a14" a14:legacySpreadsheetColorIndex="5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2066</a:t>
          </a:r>
        </a:p>
      </xdr:txBody>
    </xdr:sp>
    <xdr:clientData/>
  </xdr:twoCellAnchor>
  <xdr:twoCellAnchor>
    <xdr:from>
      <xdr:col>16</xdr:col>
      <xdr:colOff>2008107</xdr:colOff>
      <xdr:row>56</xdr:row>
      <xdr:rowOff>12700</xdr:rowOff>
    </xdr:from>
    <xdr:to>
      <xdr:col>16</xdr:col>
      <xdr:colOff>5768784</xdr:colOff>
      <xdr:row>56</xdr:row>
      <xdr:rowOff>177800</xdr:rowOff>
    </xdr:to>
    <xdr:sp macro="" textlink="">
      <xdr:nvSpPr>
        <xdr:cNvPr id="168593" name="Скругленный прямоугольник 168592">
          <a:extLst>
            <a:ext uri="{FF2B5EF4-FFF2-40B4-BE49-F238E27FC236}">
              <a16:creationId xmlns:a16="http://schemas.microsoft.com/office/drawing/2014/main" id="{00000000-0008-0000-0500-000091920200}"/>
            </a:ext>
          </a:extLst>
        </xdr:cNvPr>
        <xdr:cNvSpPr/>
      </xdr:nvSpPr>
      <xdr:spPr>
        <a:xfrm>
          <a:off x="14743032" y="10909300"/>
          <a:ext cx="376067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Остаток: 3914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44825</xdr:colOff>
      <xdr:row>17</xdr:row>
      <xdr:rowOff>150420</xdr:rowOff>
    </xdr:from>
    <xdr:to>
      <xdr:col>3</xdr:col>
      <xdr:colOff>307043</xdr:colOff>
      <xdr:row>19</xdr:row>
      <xdr:rowOff>76200</xdr:rowOff>
    </xdr:to>
    <xdr:sp macro="[0]!Raskroy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25800" y="3617520"/>
          <a:ext cx="1214718" cy="30678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Расчет</a:t>
          </a:r>
          <a:r>
            <a:rPr lang="en-US" sz="1100"/>
            <a:t> DP</a:t>
          </a:r>
          <a:endParaRPr lang="ru-RU" sz="1100"/>
        </a:p>
      </xdr:txBody>
    </xdr:sp>
    <xdr:clientData fPrintsWithSheet="0"/>
  </xdr:twoCellAnchor>
  <xdr:twoCellAnchor>
    <xdr:from>
      <xdr:col>3</xdr:col>
      <xdr:colOff>472817</xdr:colOff>
      <xdr:row>17</xdr:row>
      <xdr:rowOff>150420</xdr:rowOff>
    </xdr:from>
    <xdr:to>
      <xdr:col>4</xdr:col>
      <xdr:colOff>735035</xdr:colOff>
      <xdr:row>19</xdr:row>
      <xdr:rowOff>76200</xdr:rowOff>
    </xdr:to>
    <xdr:sp macro="[0]!ClearData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606292" y="3617520"/>
          <a:ext cx="1214718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Очистить все</a:t>
          </a:r>
        </a:p>
      </xdr:txBody>
    </xdr:sp>
    <xdr:clientData fPrintsWithSheet="0"/>
  </xdr:twoCellAnchor>
  <xdr:twoCellAnchor>
    <xdr:from>
      <xdr:col>4</xdr:col>
      <xdr:colOff>924205</xdr:colOff>
      <xdr:row>17</xdr:row>
      <xdr:rowOff>150420</xdr:rowOff>
    </xdr:from>
    <xdr:to>
      <xdr:col>7</xdr:col>
      <xdr:colOff>21011</xdr:colOff>
      <xdr:row>19</xdr:row>
      <xdr:rowOff>76200</xdr:rowOff>
    </xdr:to>
    <xdr:sp macro="[0]!OutGraph" textlink="">
      <xdr:nvSpPr>
        <xdr:cNvPr id="4" name="Скругленный прямоугольник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010180" y="3617520"/>
          <a:ext cx="1220881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Отобразить</a:t>
          </a:r>
        </a:p>
      </xdr:txBody>
    </xdr:sp>
    <xdr:clientData fPrintsWithSheet="0"/>
  </xdr:twoCellAnchor>
  <xdr:twoCellAnchor>
    <xdr:from>
      <xdr:col>7</xdr:col>
      <xdr:colOff>197224</xdr:colOff>
      <xdr:row>17</xdr:row>
      <xdr:rowOff>150420</xdr:rowOff>
    </xdr:from>
    <xdr:to>
      <xdr:col>8</xdr:col>
      <xdr:colOff>806824</xdr:colOff>
      <xdr:row>19</xdr:row>
      <xdr:rowOff>76200</xdr:rowOff>
    </xdr:to>
    <xdr:sp macro="[0]!Export2PDF" textlink="">
      <xdr:nvSpPr>
        <xdr:cNvPr id="5" name="Скругленный прямоугольник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407274" y="3617520"/>
          <a:ext cx="1209675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Экспорт в </a:t>
          </a:r>
          <a:r>
            <a:rPr lang="en-US" sz="1100"/>
            <a:t>PDF</a:t>
          </a:r>
          <a:endParaRPr lang="ru-RU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13</xdr:row>
          <xdr:rowOff>180975</xdr:rowOff>
        </xdr:from>
        <xdr:to>
          <xdr:col>9</xdr:col>
          <xdr:colOff>9525</xdr:colOff>
          <xdr:row>15</xdr:row>
          <xdr:rowOff>0</xdr:rowOff>
        </xdr:to>
        <xdr:sp macro="" textlink="">
          <xdr:nvSpPr>
            <xdr:cNvPr id="168961" name="Drop Down 1" hidden="1">
              <a:extLst>
                <a:ext uri="{63B3BB69-23CF-44E3-9099-C40C66FF867C}">
                  <a14:compatExt spid="_x0000_s168961"/>
                </a:ext>
                <a:ext uri="{FF2B5EF4-FFF2-40B4-BE49-F238E27FC236}">
                  <a16:creationId xmlns:a16="http://schemas.microsoft.com/office/drawing/2014/main" id="{00000000-0008-0000-0600-0000019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13</xdr:row>
          <xdr:rowOff>161925</xdr:rowOff>
        </xdr:from>
        <xdr:to>
          <xdr:col>5</xdr:col>
          <xdr:colOff>981075</xdr:colOff>
          <xdr:row>15</xdr:row>
          <xdr:rowOff>0</xdr:rowOff>
        </xdr:to>
        <xdr:sp macro="" textlink="">
          <xdr:nvSpPr>
            <xdr:cNvPr id="168962" name="Check Box 2" hidden="1">
              <a:extLst>
                <a:ext uri="{63B3BB69-23CF-44E3-9099-C40C66FF867C}">
                  <a14:compatExt spid="_x0000_s168962"/>
                </a:ext>
                <a:ext uri="{FF2B5EF4-FFF2-40B4-BE49-F238E27FC236}">
                  <a16:creationId xmlns:a16="http://schemas.microsoft.com/office/drawing/2014/main" id="{00000000-0008-0000-0600-0000029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Группировать решение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14</xdr:row>
          <xdr:rowOff>161925</xdr:rowOff>
        </xdr:from>
        <xdr:to>
          <xdr:col>5</xdr:col>
          <xdr:colOff>981075</xdr:colOff>
          <xdr:row>16</xdr:row>
          <xdr:rowOff>0</xdr:rowOff>
        </xdr:to>
        <xdr:sp macro="" textlink="">
          <xdr:nvSpPr>
            <xdr:cNvPr id="168963" name="Check Box 3" hidden="1">
              <a:extLst>
                <a:ext uri="{63B3BB69-23CF-44E3-9099-C40C66FF867C}">
                  <a14:compatExt spid="_x0000_s168963"/>
                </a:ext>
                <a:ext uri="{FF2B5EF4-FFF2-40B4-BE49-F238E27FC236}">
                  <a16:creationId xmlns:a16="http://schemas.microsoft.com/office/drawing/2014/main" id="{00000000-0008-0000-0600-0000039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Отображать графику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15</xdr:row>
          <xdr:rowOff>0</xdr:rowOff>
        </xdr:from>
        <xdr:to>
          <xdr:col>9</xdr:col>
          <xdr:colOff>9525</xdr:colOff>
          <xdr:row>16</xdr:row>
          <xdr:rowOff>9525</xdr:rowOff>
        </xdr:to>
        <xdr:sp macro="" textlink="">
          <xdr:nvSpPr>
            <xdr:cNvPr id="168964" name="Drop Down 4" hidden="1">
              <a:extLst>
                <a:ext uri="{63B3BB69-23CF-44E3-9099-C40C66FF867C}">
                  <a14:compatExt spid="_x0000_s168964"/>
                </a:ext>
                <a:ext uri="{FF2B5EF4-FFF2-40B4-BE49-F238E27FC236}">
                  <a16:creationId xmlns:a16="http://schemas.microsoft.com/office/drawing/2014/main" id="{00000000-0008-0000-0600-0000049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15</xdr:row>
          <xdr:rowOff>161925</xdr:rowOff>
        </xdr:from>
        <xdr:to>
          <xdr:col>5</xdr:col>
          <xdr:colOff>981075</xdr:colOff>
          <xdr:row>17</xdr:row>
          <xdr:rowOff>0</xdr:rowOff>
        </xdr:to>
        <xdr:sp macro="" textlink="">
          <xdr:nvSpPr>
            <xdr:cNvPr id="168965" name="Check Box 5" hidden="1">
              <a:extLst>
                <a:ext uri="{63B3BB69-23CF-44E3-9099-C40C66FF867C}">
                  <a14:compatExt spid="_x0000_s168965"/>
                </a:ext>
                <a:ext uri="{FF2B5EF4-FFF2-40B4-BE49-F238E27FC236}">
                  <a16:creationId xmlns:a16="http://schemas.microsoft.com/office/drawing/2014/main" id="{00000000-0008-0000-0600-0000059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Рез под 45 градусов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16</xdr:row>
          <xdr:rowOff>0</xdr:rowOff>
        </xdr:from>
        <xdr:to>
          <xdr:col>9</xdr:col>
          <xdr:colOff>0</xdr:colOff>
          <xdr:row>17</xdr:row>
          <xdr:rowOff>28575</xdr:rowOff>
        </xdr:to>
        <xdr:sp macro="" textlink="">
          <xdr:nvSpPr>
            <xdr:cNvPr id="168966" name="Check Box 6" hidden="1">
              <a:extLst>
                <a:ext uri="{63B3BB69-23CF-44E3-9099-C40C66FF867C}">
                  <a14:compatExt spid="_x0000_s168966"/>
                </a:ext>
                <a:ext uri="{FF2B5EF4-FFF2-40B4-BE49-F238E27FC236}">
                  <a16:creationId xmlns:a16="http://schemas.microsoft.com/office/drawing/2014/main" id="{00000000-0008-0000-0600-0000069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Раскрой в два профиля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44825</xdr:colOff>
      <xdr:row>20</xdr:row>
      <xdr:rowOff>0</xdr:rowOff>
    </xdr:from>
    <xdr:to>
      <xdr:col>3</xdr:col>
      <xdr:colOff>307043</xdr:colOff>
      <xdr:row>21</xdr:row>
      <xdr:rowOff>116280</xdr:rowOff>
    </xdr:to>
    <xdr:sp macro="[0]!lpCSP" textlink="">
      <xdr:nvSpPr>
        <xdr:cNvPr id="12" name="Скругленный прямоугольник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225800" y="4038600"/>
          <a:ext cx="1214718" cy="30678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Расчет</a:t>
          </a:r>
          <a:r>
            <a:rPr lang="en-US" sz="1100"/>
            <a:t> LP</a:t>
          </a:r>
          <a:endParaRPr lang="ru-RU" sz="1100"/>
        </a:p>
      </xdr:txBody>
    </xdr:sp>
    <xdr:clientData fPrintsWithSheet="0"/>
  </xdr:twoCellAnchor>
  <xdr:twoCellAnchor>
    <xdr:from>
      <xdr:col>3</xdr:col>
      <xdr:colOff>472817</xdr:colOff>
      <xdr:row>20</xdr:row>
      <xdr:rowOff>0</xdr:rowOff>
    </xdr:from>
    <xdr:to>
      <xdr:col>4</xdr:col>
      <xdr:colOff>735035</xdr:colOff>
      <xdr:row>21</xdr:row>
      <xdr:rowOff>116280</xdr:rowOff>
    </xdr:to>
    <xdr:sp macro="[0]!ClearSolve" textlink="">
      <xdr:nvSpPr>
        <xdr:cNvPr id="13" name="Скругленный прямоугольник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1606292" y="4038600"/>
          <a:ext cx="1214718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Убрать</a:t>
          </a:r>
          <a:r>
            <a:rPr lang="ru-RU" sz="1100" baseline="0"/>
            <a:t> решение</a:t>
          </a:r>
          <a:endParaRPr lang="ru-RU" sz="1100"/>
        </a:p>
      </xdr:txBody>
    </xdr:sp>
    <xdr:clientData fPrintsWithSheet="0"/>
  </xdr:twoCellAnchor>
  <xdr:twoCellAnchor>
    <xdr:from>
      <xdr:col>4</xdr:col>
      <xdr:colOff>924205</xdr:colOff>
      <xdr:row>20</xdr:row>
      <xdr:rowOff>0</xdr:rowOff>
    </xdr:from>
    <xdr:to>
      <xdr:col>7</xdr:col>
      <xdr:colOff>21011</xdr:colOff>
      <xdr:row>21</xdr:row>
      <xdr:rowOff>116280</xdr:rowOff>
    </xdr:to>
    <xdr:sp macro="[0]!OffGraph" textlink="">
      <xdr:nvSpPr>
        <xdr:cNvPr id="14" name="Скругленный прямоугольник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3010180" y="4038600"/>
          <a:ext cx="1220881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Убрать</a:t>
          </a:r>
          <a:r>
            <a:rPr lang="ru-RU" sz="1100" baseline="0"/>
            <a:t> графику</a:t>
          </a:r>
          <a:endParaRPr lang="ru-RU" sz="1100"/>
        </a:p>
      </xdr:txBody>
    </xdr:sp>
    <xdr:clientData fPrintsWithSheet="0"/>
  </xdr:twoCellAnchor>
  <xdr:twoCellAnchor>
    <xdr:from>
      <xdr:col>7</xdr:col>
      <xdr:colOff>197224</xdr:colOff>
      <xdr:row>20</xdr:row>
      <xdr:rowOff>0</xdr:rowOff>
    </xdr:from>
    <xdr:to>
      <xdr:col>8</xdr:col>
      <xdr:colOff>806824</xdr:colOff>
      <xdr:row>21</xdr:row>
      <xdr:rowOff>116280</xdr:rowOff>
    </xdr:to>
    <xdr:sp macro="" textlink="">
      <xdr:nvSpPr>
        <xdr:cNvPr id="15" name="Скругленный 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4407274" y="4038600"/>
          <a:ext cx="1209675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Создать отчет</a:t>
          </a:r>
        </a:p>
      </xdr:txBody>
    </xdr:sp>
    <xdr:clientData fPrintsWithSheet="0"/>
  </xdr:twoCellAnchor>
  <xdr:twoCellAnchor>
    <xdr:from>
      <xdr:col>16</xdr:col>
      <xdr:colOff>0</xdr:colOff>
      <xdr:row>3</xdr:row>
      <xdr:rowOff>12700</xdr:rowOff>
    </xdr:from>
    <xdr:to>
      <xdr:col>16</xdr:col>
      <xdr:colOff>1266935</xdr:colOff>
      <xdr:row>3</xdr:row>
      <xdr:rowOff>177800</xdr:rowOff>
    </xdr:to>
    <xdr:sp macro="" textlink="">
      <xdr:nvSpPr>
        <xdr:cNvPr id="6" name="Скругленный прямоугольник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2734925" y="8128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3F3F3" mc:Ignorable="a14" a14:legacySpreadsheetColorIndex="6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9F9F9" mc:Ignorable="a14" a14:legacySpreadsheetColorIndex="6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9F9F9F" mc:Ignorable="a14" a14:legacySpreadsheetColorIndex="6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1301965</xdr:colOff>
      <xdr:row>3</xdr:row>
      <xdr:rowOff>12700</xdr:rowOff>
    </xdr:from>
    <xdr:to>
      <xdr:col>16</xdr:col>
      <xdr:colOff>2559227</xdr:colOff>
      <xdr:row>3</xdr:row>
      <xdr:rowOff>177800</xdr:rowOff>
    </xdr:to>
    <xdr:sp macro="" textlink="">
      <xdr:nvSpPr>
        <xdr:cNvPr id="7" name="Скругленный прямоугольник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4036890" y="812800"/>
          <a:ext cx="125726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6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6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2594259</xdr:colOff>
      <xdr:row>3</xdr:row>
      <xdr:rowOff>12700</xdr:rowOff>
    </xdr:from>
    <xdr:to>
      <xdr:col>16</xdr:col>
      <xdr:colOff>3832174</xdr:colOff>
      <xdr:row>3</xdr:row>
      <xdr:rowOff>177800</xdr:rowOff>
    </xdr:to>
    <xdr:sp macro="" textlink="">
      <xdr:nvSpPr>
        <xdr:cNvPr id="8" name="Скругленный прямоугольник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15329184" y="8128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6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6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6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3867204</xdr:colOff>
      <xdr:row>3</xdr:row>
      <xdr:rowOff>12700</xdr:rowOff>
    </xdr:from>
    <xdr:to>
      <xdr:col>16</xdr:col>
      <xdr:colOff>5066427</xdr:colOff>
      <xdr:row>3</xdr:row>
      <xdr:rowOff>177800</xdr:rowOff>
    </xdr:to>
    <xdr:sp macro="" textlink="">
      <xdr:nvSpPr>
        <xdr:cNvPr id="9" name="Скругленный прямоугольник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16602129" y="812800"/>
          <a:ext cx="119922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D77C" mc:Ignorable="a14" a14:legacySpreadsheetColorIndex="5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ECCB" mc:Ignorable="a14" a14:legacySpreadsheetColorIndex="5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8700" mc:Ignorable="a14" a14:legacySpreadsheetColorIndex="5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1266</a:t>
          </a:r>
        </a:p>
      </xdr:txBody>
    </xdr:sp>
    <xdr:clientData/>
  </xdr:twoCellAnchor>
  <xdr:twoCellAnchor>
    <xdr:from>
      <xdr:col>16</xdr:col>
      <xdr:colOff>5101459</xdr:colOff>
      <xdr:row>3</xdr:row>
      <xdr:rowOff>12700</xdr:rowOff>
    </xdr:from>
    <xdr:to>
      <xdr:col>16</xdr:col>
      <xdr:colOff>5758985</xdr:colOff>
      <xdr:row>3</xdr:row>
      <xdr:rowOff>177800</xdr:rowOff>
    </xdr:to>
    <xdr:sp macro="" textlink="">
      <xdr:nvSpPr>
        <xdr:cNvPr id="10" name="Скругленный прямоугольник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17836384" y="812800"/>
          <a:ext cx="65752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706</a:t>
          </a:r>
        </a:p>
      </xdr:txBody>
    </xdr:sp>
    <xdr:clientData/>
  </xdr:twoCellAnchor>
  <xdr:twoCellAnchor>
    <xdr:from>
      <xdr:col>16</xdr:col>
      <xdr:colOff>0</xdr:colOff>
      <xdr:row>4</xdr:row>
      <xdr:rowOff>12700</xdr:rowOff>
    </xdr:from>
    <xdr:to>
      <xdr:col>16</xdr:col>
      <xdr:colOff>1315301</xdr:colOff>
      <xdr:row>4</xdr:row>
      <xdr:rowOff>177800</xdr:rowOff>
    </xdr:to>
    <xdr:sp macro="" textlink="">
      <xdr:nvSpPr>
        <xdr:cNvPr id="11" name="Скругленный прямоугольник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2734925" y="1003300"/>
          <a:ext cx="131530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B4FF" mc:Ignorable="a14" a14:legacySpreadsheetColorIndex="2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DEFF" mc:Ignorable="a14" a14:legacySpreadsheetColorIndex="2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64AA" mc:Ignorable="a14" a14:legacySpreadsheetColorIndex="2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1386</a:t>
          </a:r>
        </a:p>
      </xdr:txBody>
    </xdr:sp>
    <xdr:clientData/>
  </xdr:twoCellAnchor>
  <xdr:twoCellAnchor>
    <xdr:from>
      <xdr:col>16</xdr:col>
      <xdr:colOff>1350332</xdr:colOff>
      <xdr:row>4</xdr:row>
      <xdr:rowOff>12700</xdr:rowOff>
    </xdr:from>
    <xdr:to>
      <xdr:col>16</xdr:col>
      <xdr:colOff>2588247</xdr:colOff>
      <xdr:row>4</xdr:row>
      <xdr:rowOff>177800</xdr:rowOff>
    </xdr:to>
    <xdr:sp macro="" textlink="">
      <xdr:nvSpPr>
        <xdr:cNvPr id="273" name="Скругленный прямоугольник 272">
          <a:extLst>
            <a:ext uri="{FF2B5EF4-FFF2-40B4-BE49-F238E27FC236}">
              <a16:creationId xmlns:a16="http://schemas.microsoft.com/office/drawing/2014/main" id="{00000000-0008-0000-0600-000011010000}"/>
            </a:ext>
          </a:extLst>
        </xdr:cNvPr>
        <xdr:cNvSpPr/>
      </xdr:nvSpPr>
      <xdr:spPr>
        <a:xfrm>
          <a:off x="14085257" y="10033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6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6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6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2623279</xdr:colOff>
      <xdr:row>4</xdr:row>
      <xdr:rowOff>12700</xdr:rowOff>
    </xdr:from>
    <xdr:to>
      <xdr:col>16</xdr:col>
      <xdr:colOff>3716097</xdr:colOff>
      <xdr:row>4</xdr:row>
      <xdr:rowOff>177800</xdr:rowOff>
    </xdr:to>
    <xdr:sp macro="" textlink="">
      <xdr:nvSpPr>
        <xdr:cNvPr id="274" name="Скругленный прямоугольник 273">
          <a:extLst>
            <a:ext uri="{FF2B5EF4-FFF2-40B4-BE49-F238E27FC236}">
              <a16:creationId xmlns:a16="http://schemas.microsoft.com/office/drawing/2014/main" id="{00000000-0008-0000-0600-000012010000}"/>
            </a:ext>
          </a:extLst>
        </xdr:cNvPr>
        <xdr:cNvSpPr/>
      </xdr:nvSpPr>
      <xdr:spPr>
        <a:xfrm>
          <a:off x="15358204" y="1003300"/>
          <a:ext cx="109281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3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3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3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1156</a:t>
          </a:r>
        </a:p>
      </xdr:txBody>
    </xdr:sp>
    <xdr:clientData/>
  </xdr:twoCellAnchor>
  <xdr:twoCellAnchor>
    <xdr:from>
      <xdr:col>16</xdr:col>
      <xdr:colOff>3751128</xdr:colOff>
      <xdr:row>4</xdr:row>
      <xdr:rowOff>12700</xdr:rowOff>
    </xdr:from>
    <xdr:to>
      <xdr:col>16</xdr:col>
      <xdr:colOff>4824599</xdr:colOff>
      <xdr:row>4</xdr:row>
      <xdr:rowOff>177800</xdr:rowOff>
    </xdr:to>
    <xdr:sp macro="" textlink="">
      <xdr:nvSpPr>
        <xdr:cNvPr id="275" name="Скругленный прямоугольник 274">
          <a:extLst>
            <a:ext uri="{FF2B5EF4-FFF2-40B4-BE49-F238E27FC236}">
              <a16:creationId xmlns:a16="http://schemas.microsoft.com/office/drawing/2014/main" id="{00000000-0008-0000-0600-000013010000}"/>
            </a:ext>
          </a:extLst>
        </xdr:cNvPr>
        <xdr:cNvSpPr/>
      </xdr:nvSpPr>
      <xdr:spPr>
        <a:xfrm>
          <a:off x="16486053" y="1003300"/>
          <a:ext cx="107347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1136</a:t>
          </a:r>
        </a:p>
      </xdr:txBody>
    </xdr:sp>
    <xdr:clientData/>
  </xdr:twoCellAnchor>
  <xdr:twoCellAnchor>
    <xdr:from>
      <xdr:col>16</xdr:col>
      <xdr:colOff>4859629</xdr:colOff>
      <xdr:row>4</xdr:row>
      <xdr:rowOff>12700</xdr:rowOff>
    </xdr:from>
    <xdr:to>
      <xdr:col>16</xdr:col>
      <xdr:colOff>5758983</xdr:colOff>
      <xdr:row>4</xdr:row>
      <xdr:rowOff>177800</xdr:rowOff>
    </xdr:to>
    <xdr:sp macro="" textlink="">
      <xdr:nvSpPr>
        <xdr:cNvPr id="276" name="Скругленный прямоугольник 275">
          <a:extLst>
            <a:ext uri="{FF2B5EF4-FFF2-40B4-BE49-F238E27FC236}">
              <a16:creationId xmlns:a16="http://schemas.microsoft.com/office/drawing/2014/main" id="{00000000-0008-0000-0600-000014010000}"/>
            </a:ext>
          </a:extLst>
        </xdr:cNvPr>
        <xdr:cNvSpPr/>
      </xdr:nvSpPr>
      <xdr:spPr>
        <a:xfrm>
          <a:off x="17594554" y="1003300"/>
          <a:ext cx="89935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956</a:t>
          </a:r>
        </a:p>
      </xdr:txBody>
    </xdr:sp>
    <xdr:clientData/>
  </xdr:twoCellAnchor>
  <xdr:twoCellAnchor>
    <xdr:from>
      <xdr:col>16</xdr:col>
      <xdr:colOff>0</xdr:colOff>
      <xdr:row>5</xdr:row>
      <xdr:rowOff>12700</xdr:rowOff>
    </xdr:from>
    <xdr:to>
      <xdr:col>16</xdr:col>
      <xdr:colOff>1334647</xdr:colOff>
      <xdr:row>5</xdr:row>
      <xdr:rowOff>177800</xdr:rowOff>
    </xdr:to>
    <xdr:sp macro="" textlink="">
      <xdr:nvSpPr>
        <xdr:cNvPr id="277" name="Скругленный прямоугольник 276">
          <a:extLst>
            <a:ext uri="{FF2B5EF4-FFF2-40B4-BE49-F238E27FC236}">
              <a16:creationId xmlns:a16="http://schemas.microsoft.com/office/drawing/2014/main" id="{00000000-0008-0000-0600-000015010000}"/>
            </a:ext>
          </a:extLst>
        </xdr:cNvPr>
        <xdr:cNvSpPr/>
      </xdr:nvSpPr>
      <xdr:spPr>
        <a:xfrm>
          <a:off x="12734925" y="1193800"/>
          <a:ext cx="13346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6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6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1369678</xdr:colOff>
      <xdr:row>5</xdr:row>
      <xdr:rowOff>12700</xdr:rowOff>
    </xdr:from>
    <xdr:to>
      <xdr:col>16</xdr:col>
      <xdr:colOff>2626939</xdr:colOff>
      <xdr:row>5</xdr:row>
      <xdr:rowOff>177800</xdr:rowOff>
    </xdr:to>
    <xdr:sp macro="" textlink="">
      <xdr:nvSpPr>
        <xdr:cNvPr id="278" name="Скругленный прямоугольник 277">
          <a:extLst>
            <a:ext uri="{FF2B5EF4-FFF2-40B4-BE49-F238E27FC236}">
              <a16:creationId xmlns:a16="http://schemas.microsoft.com/office/drawing/2014/main" id="{00000000-0008-0000-0600-000016010000}"/>
            </a:ext>
          </a:extLst>
        </xdr:cNvPr>
        <xdr:cNvSpPr/>
      </xdr:nvSpPr>
      <xdr:spPr>
        <a:xfrm>
          <a:off x="14104603" y="1193800"/>
          <a:ext cx="12572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6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6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2661971</xdr:colOff>
      <xdr:row>5</xdr:row>
      <xdr:rowOff>12700</xdr:rowOff>
    </xdr:from>
    <xdr:to>
      <xdr:col>16</xdr:col>
      <xdr:colOff>3870868</xdr:colOff>
      <xdr:row>5</xdr:row>
      <xdr:rowOff>177800</xdr:rowOff>
    </xdr:to>
    <xdr:sp macro="" textlink="">
      <xdr:nvSpPr>
        <xdr:cNvPr id="279" name="Скругленный прямоугольник 278">
          <a:extLst>
            <a:ext uri="{FF2B5EF4-FFF2-40B4-BE49-F238E27FC236}">
              <a16:creationId xmlns:a16="http://schemas.microsoft.com/office/drawing/2014/main" id="{00000000-0008-0000-0600-000017010000}"/>
            </a:ext>
          </a:extLst>
        </xdr:cNvPr>
        <xdr:cNvSpPr/>
      </xdr:nvSpPr>
      <xdr:spPr>
        <a:xfrm>
          <a:off x="15396896" y="1193800"/>
          <a:ext cx="120889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8B8B8" mc:Ignorable="a14" a14:legacySpreadsheetColorIndex="7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FDFDF" mc:Ignorable="a14" a14:legacySpreadsheetColorIndex="7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96969" mc:Ignorable="a14" a14:legacySpreadsheetColorIndex="7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1276</a:t>
          </a:r>
        </a:p>
      </xdr:txBody>
    </xdr:sp>
    <xdr:clientData/>
  </xdr:twoCellAnchor>
  <xdr:twoCellAnchor>
    <xdr:from>
      <xdr:col>16</xdr:col>
      <xdr:colOff>3905898</xdr:colOff>
      <xdr:row>5</xdr:row>
      <xdr:rowOff>12700</xdr:rowOff>
    </xdr:from>
    <xdr:to>
      <xdr:col>16</xdr:col>
      <xdr:colOff>5095447</xdr:colOff>
      <xdr:row>5</xdr:row>
      <xdr:rowOff>177800</xdr:rowOff>
    </xdr:to>
    <xdr:sp macro="" textlink="">
      <xdr:nvSpPr>
        <xdr:cNvPr id="280" name="Скругленный прямоугольник 279">
          <a:extLst>
            <a:ext uri="{FF2B5EF4-FFF2-40B4-BE49-F238E27FC236}">
              <a16:creationId xmlns:a16="http://schemas.microsoft.com/office/drawing/2014/main" id="{00000000-0008-0000-0600-000018010000}"/>
            </a:ext>
          </a:extLst>
        </xdr:cNvPr>
        <xdr:cNvSpPr/>
      </xdr:nvSpPr>
      <xdr:spPr>
        <a:xfrm>
          <a:off x="16640823" y="1193800"/>
          <a:ext cx="118954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7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7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7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1256</a:t>
          </a:r>
        </a:p>
      </xdr:txBody>
    </xdr:sp>
    <xdr:clientData/>
  </xdr:twoCellAnchor>
  <xdr:twoCellAnchor>
    <xdr:from>
      <xdr:col>16</xdr:col>
      <xdr:colOff>5130478</xdr:colOff>
      <xdr:row>5</xdr:row>
      <xdr:rowOff>12700</xdr:rowOff>
    </xdr:from>
    <xdr:to>
      <xdr:col>16</xdr:col>
      <xdr:colOff>5758983</xdr:colOff>
      <xdr:row>5</xdr:row>
      <xdr:rowOff>177800</xdr:rowOff>
    </xdr:to>
    <xdr:sp macro="" textlink="">
      <xdr:nvSpPr>
        <xdr:cNvPr id="281" name="Скругленный прямоугольник 280">
          <a:extLst>
            <a:ext uri="{FF2B5EF4-FFF2-40B4-BE49-F238E27FC236}">
              <a16:creationId xmlns:a16="http://schemas.microsoft.com/office/drawing/2014/main" id="{00000000-0008-0000-0600-000019010000}"/>
            </a:ext>
          </a:extLst>
        </xdr:cNvPr>
        <xdr:cNvSpPr/>
      </xdr:nvSpPr>
      <xdr:spPr>
        <a:xfrm>
          <a:off x="17865403" y="1193800"/>
          <a:ext cx="62850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676</a:t>
          </a:r>
        </a:p>
      </xdr:txBody>
    </xdr:sp>
    <xdr:clientData/>
  </xdr:twoCellAnchor>
  <xdr:twoCellAnchor>
    <xdr:from>
      <xdr:col>16</xdr:col>
      <xdr:colOff>0</xdr:colOff>
      <xdr:row>6</xdr:row>
      <xdr:rowOff>12700</xdr:rowOff>
    </xdr:from>
    <xdr:to>
      <xdr:col>16</xdr:col>
      <xdr:colOff>1344321</xdr:colOff>
      <xdr:row>6</xdr:row>
      <xdr:rowOff>177800</xdr:rowOff>
    </xdr:to>
    <xdr:sp macro="" textlink="">
      <xdr:nvSpPr>
        <xdr:cNvPr id="282" name="Скругленный прямоугольник 281">
          <a:extLst>
            <a:ext uri="{FF2B5EF4-FFF2-40B4-BE49-F238E27FC236}">
              <a16:creationId xmlns:a16="http://schemas.microsoft.com/office/drawing/2014/main" id="{00000000-0008-0000-0600-00001A010000}"/>
            </a:ext>
          </a:extLst>
        </xdr:cNvPr>
        <xdr:cNvSpPr/>
      </xdr:nvSpPr>
      <xdr:spPr>
        <a:xfrm>
          <a:off x="12734925" y="1384300"/>
          <a:ext cx="134432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8383" mc:Ignorable="a14" a14:legacySpreadsheetColorIndex="6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CDCD" mc:Ignorable="a14" a14:legacySpreadsheetColorIndex="6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1E1E" mc:Ignorable="a14" a14:legacySpreadsheetColorIndex="6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1416</a:t>
          </a:r>
        </a:p>
      </xdr:txBody>
    </xdr:sp>
    <xdr:clientData/>
  </xdr:twoCellAnchor>
  <xdr:twoCellAnchor>
    <xdr:from>
      <xdr:col>16</xdr:col>
      <xdr:colOff>1379351</xdr:colOff>
      <xdr:row>6</xdr:row>
      <xdr:rowOff>12700</xdr:rowOff>
    </xdr:from>
    <xdr:to>
      <xdr:col>16</xdr:col>
      <xdr:colOff>2713999</xdr:colOff>
      <xdr:row>6</xdr:row>
      <xdr:rowOff>177800</xdr:rowOff>
    </xdr:to>
    <xdr:sp macro="" textlink="">
      <xdr:nvSpPr>
        <xdr:cNvPr id="283" name="Скругленный прямоугольник 282">
          <a:extLst>
            <a:ext uri="{FF2B5EF4-FFF2-40B4-BE49-F238E27FC236}">
              <a16:creationId xmlns:a16="http://schemas.microsoft.com/office/drawing/2014/main" id="{00000000-0008-0000-0600-00001B010000}"/>
            </a:ext>
          </a:extLst>
        </xdr:cNvPr>
        <xdr:cNvSpPr/>
      </xdr:nvSpPr>
      <xdr:spPr>
        <a:xfrm>
          <a:off x="14114276" y="1384300"/>
          <a:ext cx="133464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6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6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2749029</xdr:colOff>
      <xdr:row>6</xdr:row>
      <xdr:rowOff>12700</xdr:rowOff>
    </xdr:from>
    <xdr:to>
      <xdr:col>16</xdr:col>
      <xdr:colOff>4015964</xdr:colOff>
      <xdr:row>6</xdr:row>
      <xdr:rowOff>177800</xdr:rowOff>
    </xdr:to>
    <xdr:sp macro="" textlink="">
      <xdr:nvSpPr>
        <xdr:cNvPr id="284" name="Скругленный прямоугольник 283">
          <a:extLst>
            <a:ext uri="{FF2B5EF4-FFF2-40B4-BE49-F238E27FC236}">
              <a16:creationId xmlns:a16="http://schemas.microsoft.com/office/drawing/2014/main" id="{00000000-0008-0000-0600-00001C010000}"/>
            </a:ext>
          </a:extLst>
        </xdr:cNvPr>
        <xdr:cNvSpPr/>
      </xdr:nvSpPr>
      <xdr:spPr>
        <a:xfrm>
          <a:off x="15483954" y="13843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3F3F3" mc:Ignorable="a14" a14:legacySpreadsheetColorIndex="6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9F9F9" mc:Ignorable="a14" a14:legacySpreadsheetColorIndex="6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9F9F9F" mc:Ignorable="a14" a14:legacySpreadsheetColorIndex="6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4050995</xdr:colOff>
      <xdr:row>6</xdr:row>
      <xdr:rowOff>12700</xdr:rowOff>
    </xdr:from>
    <xdr:to>
      <xdr:col>16</xdr:col>
      <xdr:colOff>5308256</xdr:colOff>
      <xdr:row>6</xdr:row>
      <xdr:rowOff>177800</xdr:rowOff>
    </xdr:to>
    <xdr:sp macro="" textlink="">
      <xdr:nvSpPr>
        <xdr:cNvPr id="285" name="Скругленный прямоугольник 284">
          <a:extLst>
            <a:ext uri="{FF2B5EF4-FFF2-40B4-BE49-F238E27FC236}">
              <a16:creationId xmlns:a16="http://schemas.microsoft.com/office/drawing/2014/main" id="{00000000-0008-0000-0600-00001D010000}"/>
            </a:ext>
          </a:extLst>
        </xdr:cNvPr>
        <xdr:cNvSpPr/>
      </xdr:nvSpPr>
      <xdr:spPr>
        <a:xfrm>
          <a:off x="16785920" y="1384300"/>
          <a:ext cx="12572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6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6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5343288</xdr:colOff>
      <xdr:row>6</xdr:row>
      <xdr:rowOff>12700</xdr:rowOff>
    </xdr:from>
    <xdr:to>
      <xdr:col>16</xdr:col>
      <xdr:colOff>5758985</xdr:colOff>
      <xdr:row>6</xdr:row>
      <xdr:rowOff>177800</xdr:rowOff>
    </xdr:to>
    <xdr:sp macro="" textlink="">
      <xdr:nvSpPr>
        <xdr:cNvPr id="286" name="Скругленный прямоугольник 285">
          <a:extLst>
            <a:ext uri="{FF2B5EF4-FFF2-40B4-BE49-F238E27FC236}">
              <a16:creationId xmlns:a16="http://schemas.microsoft.com/office/drawing/2014/main" id="{00000000-0008-0000-0600-00001E010000}"/>
            </a:ext>
          </a:extLst>
        </xdr:cNvPr>
        <xdr:cNvSpPr/>
      </xdr:nvSpPr>
      <xdr:spPr>
        <a:xfrm>
          <a:off x="18078213" y="1384300"/>
          <a:ext cx="41569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D7B4" mc:Ignorable="a14" a14:legacySpreadsheetColorIndex="4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ECDE" mc:Ignorable="a14" a14:legacySpreadsheetColorIndex="4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8764" mc:Ignorable="a14" a14:legacySpreadsheetColorIndex="4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456</a:t>
          </a:r>
        </a:p>
      </xdr:txBody>
    </xdr:sp>
    <xdr:clientData/>
  </xdr:twoCellAnchor>
  <xdr:twoCellAnchor>
    <xdr:from>
      <xdr:col>16</xdr:col>
      <xdr:colOff>0</xdr:colOff>
      <xdr:row>7</xdr:row>
      <xdr:rowOff>12700</xdr:rowOff>
    </xdr:from>
    <xdr:to>
      <xdr:col>16</xdr:col>
      <xdr:colOff>1353993</xdr:colOff>
      <xdr:row>7</xdr:row>
      <xdr:rowOff>177800</xdr:rowOff>
    </xdr:to>
    <xdr:sp macro="" textlink="">
      <xdr:nvSpPr>
        <xdr:cNvPr id="287" name="Скругленный прямоугольник 286">
          <a:extLst>
            <a:ext uri="{FF2B5EF4-FFF2-40B4-BE49-F238E27FC236}">
              <a16:creationId xmlns:a16="http://schemas.microsoft.com/office/drawing/2014/main" id="{00000000-0008-0000-0600-00001F010000}"/>
            </a:ext>
          </a:extLst>
        </xdr:cNvPr>
        <xdr:cNvSpPr/>
      </xdr:nvSpPr>
      <xdr:spPr>
        <a:xfrm>
          <a:off x="12734925" y="1574800"/>
          <a:ext cx="135399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7C96" mc:Ignorable="a14" a14:legacySpreadsheetColorIndex="2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CBD3" mc:Ignorable="a14" a14:legacySpreadsheetColorIndex="2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0041" mc:Ignorable="a14" a14:legacySpreadsheetColorIndex="2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1426</a:t>
          </a:r>
        </a:p>
      </xdr:txBody>
    </xdr:sp>
    <xdr:clientData/>
  </xdr:twoCellAnchor>
  <xdr:twoCellAnchor>
    <xdr:from>
      <xdr:col>16</xdr:col>
      <xdr:colOff>1389024</xdr:colOff>
      <xdr:row>7</xdr:row>
      <xdr:rowOff>12700</xdr:rowOff>
    </xdr:from>
    <xdr:to>
      <xdr:col>16</xdr:col>
      <xdr:colOff>2501188</xdr:colOff>
      <xdr:row>7</xdr:row>
      <xdr:rowOff>177800</xdr:rowOff>
    </xdr:to>
    <xdr:sp macro="" textlink="">
      <xdr:nvSpPr>
        <xdr:cNvPr id="169170" name="Скругленный прямоугольник 169169">
          <a:extLst>
            <a:ext uri="{FF2B5EF4-FFF2-40B4-BE49-F238E27FC236}">
              <a16:creationId xmlns:a16="http://schemas.microsoft.com/office/drawing/2014/main" id="{00000000-0008-0000-0600-0000D2940200}"/>
            </a:ext>
          </a:extLst>
        </xdr:cNvPr>
        <xdr:cNvSpPr/>
      </xdr:nvSpPr>
      <xdr:spPr>
        <a:xfrm>
          <a:off x="14123949" y="1574800"/>
          <a:ext cx="111216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3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3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3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1176</a:t>
          </a:r>
        </a:p>
      </xdr:txBody>
    </xdr:sp>
    <xdr:clientData/>
  </xdr:twoCellAnchor>
  <xdr:twoCellAnchor>
    <xdr:from>
      <xdr:col>16</xdr:col>
      <xdr:colOff>2536220</xdr:colOff>
      <xdr:row>7</xdr:row>
      <xdr:rowOff>12700</xdr:rowOff>
    </xdr:from>
    <xdr:to>
      <xdr:col>16</xdr:col>
      <xdr:colOff>3638711</xdr:colOff>
      <xdr:row>7</xdr:row>
      <xdr:rowOff>177800</xdr:rowOff>
    </xdr:to>
    <xdr:sp macro="" textlink="">
      <xdr:nvSpPr>
        <xdr:cNvPr id="169171" name="Скругленный прямоугольник 169170">
          <a:extLst>
            <a:ext uri="{FF2B5EF4-FFF2-40B4-BE49-F238E27FC236}">
              <a16:creationId xmlns:a16="http://schemas.microsoft.com/office/drawing/2014/main" id="{00000000-0008-0000-0600-0000D3940200}"/>
            </a:ext>
          </a:extLst>
        </xdr:cNvPr>
        <xdr:cNvSpPr/>
      </xdr:nvSpPr>
      <xdr:spPr>
        <a:xfrm>
          <a:off x="15271145" y="15748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3673742</xdr:colOff>
      <xdr:row>7</xdr:row>
      <xdr:rowOff>12700</xdr:rowOff>
    </xdr:from>
    <xdr:to>
      <xdr:col>16</xdr:col>
      <xdr:colOff>4776232</xdr:colOff>
      <xdr:row>7</xdr:row>
      <xdr:rowOff>177800</xdr:rowOff>
    </xdr:to>
    <xdr:sp macro="" textlink="">
      <xdr:nvSpPr>
        <xdr:cNvPr id="169172" name="Скругленный прямоугольник 169171">
          <a:extLst>
            <a:ext uri="{FF2B5EF4-FFF2-40B4-BE49-F238E27FC236}">
              <a16:creationId xmlns:a16="http://schemas.microsoft.com/office/drawing/2014/main" id="{00000000-0008-0000-0600-0000D4940200}"/>
            </a:ext>
          </a:extLst>
        </xdr:cNvPr>
        <xdr:cNvSpPr/>
      </xdr:nvSpPr>
      <xdr:spPr>
        <a:xfrm>
          <a:off x="16408667" y="1574800"/>
          <a:ext cx="110249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4811264</xdr:colOff>
      <xdr:row>7</xdr:row>
      <xdr:rowOff>12700</xdr:rowOff>
    </xdr:from>
    <xdr:to>
      <xdr:col>16</xdr:col>
      <xdr:colOff>5758985</xdr:colOff>
      <xdr:row>7</xdr:row>
      <xdr:rowOff>177800</xdr:rowOff>
    </xdr:to>
    <xdr:sp macro="" textlink="">
      <xdr:nvSpPr>
        <xdr:cNvPr id="169173" name="Скругленный прямоугольник 169172">
          <a:extLst>
            <a:ext uri="{FF2B5EF4-FFF2-40B4-BE49-F238E27FC236}">
              <a16:creationId xmlns:a16="http://schemas.microsoft.com/office/drawing/2014/main" id="{00000000-0008-0000-0600-0000D5940200}"/>
            </a:ext>
          </a:extLst>
        </xdr:cNvPr>
        <xdr:cNvSpPr/>
      </xdr:nvSpPr>
      <xdr:spPr>
        <a:xfrm>
          <a:off x="17546189" y="1574800"/>
          <a:ext cx="94772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3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3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3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1006</a:t>
          </a:r>
        </a:p>
      </xdr:txBody>
    </xdr:sp>
    <xdr:clientData/>
  </xdr:twoCellAnchor>
  <xdr:twoCellAnchor>
    <xdr:from>
      <xdr:col>16</xdr:col>
      <xdr:colOff>0</xdr:colOff>
      <xdr:row>8</xdr:row>
      <xdr:rowOff>12700</xdr:rowOff>
    </xdr:from>
    <xdr:to>
      <xdr:col>16</xdr:col>
      <xdr:colOff>1353993</xdr:colOff>
      <xdr:row>8</xdr:row>
      <xdr:rowOff>177800</xdr:rowOff>
    </xdr:to>
    <xdr:sp macro="" textlink="">
      <xdr:nvSpPr>
        <xdr:cNvPr id="169174" name="Скругленный прямоугольник 169173">
          <a:extLst>
            <a:ext uri="{FF2B5EF4-FFF2-40B4-BE49-F238E27FC236}">
              <a16:creationId xmlns:a16="http://schemas.microsoft.com/office/drawing/2014/main" id="{00000000-0008-0000-0600-0000D6940200}"/>
            </a:ext>
          </a:extLst>
        </xdr:cNvPr>
        <xdr:cNvSpPr/>
      </xdr:nvSpPr>
      <xdr:spPr>
        <a:xfrm>
          <a:off x="12734925" y="1765300"/>
          <a:ext cx="135399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7C96" mc:Ignorable="a14" a14:legacySpreadsheetColorIndex="2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CBD3" mc:Ignorable="a14" a14:legacySpreadsheetColorIndex="2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0041" mc:Ignorable="a14" a14:legacySpreadsheetColorIndex="2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1426</a:t>
          </a:r>
        </a:p>
      </xdr:txBody>
    </xdr:sp>
    <xdr:clientData/>
  </xdr:twoCellAnchor>
  <xdr:twoCellAnchor>
    <xdr:from>
      <xdr:col>16</xdr:col>
      <xdr:colOff>1389024</xdr:colOff>
      <xdr:row>8</xdr:row>
      <xdr:rowOff>12700</xdr:rowOff>
    </xdr:from>
    <xdr:to>
      <xdr:col>16</xdr:col>
      <xdr:colOff>2655959</xdr:colOff>
      <xdr:row>8</xdr:row>
      <xdr:rowOff>177800</xdr:rowOff>
    </xdr:to>
    <xdr:sp macro="" textlink="">
      <xdr:nvSpPr>
        <xdr:cNvPr id="169175" name="Скругленный прямоугольник 169174">
          <a:extLst>
            <a:ext uri="{FF2B5EF4-FFF2-40B4-BE49-F238E27FC236}">
              <a16:creationId xmlns:a16="http://schemas.microsoft.com/office/drawing/2014/main" id="{00000000-0008-0000-0600-0000D7940200}"/>
            </a:ext>
          </a:extLst>
        </xdr:cNvPr>
        <xdr:cNvSpPr/>
      </xdr:nvSpPr>
      <xdr:spPr>
        <a:xfrm>
          <a:off x="14123949" y="17653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3F3F3" mc:Ignorable="a14" a14:legacySpreadsheetColorIndex="6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9F9F9" mc:Ignorable="a14" a14:legacySpreadsheetColorIndex="6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9F9F9F" mc:Ignorable="a14" a14:legacySpreadsheetColorIndex="6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2690991</xdr:colOff>
      <xdr:row>8</xdr:row>
      <xdr:rowOff>12700</xdr:rowOff>
    </xdr:from>
    <xdr:to>
      <xdr:col>16</xdr:col>
      <xdr:colOff>3870868</xdr:colOff>
      <xdr:row>8</xdr:row>
      <xdr:rowOff>177800</xdr:rowOff>
    </xdr:to>
    <xdr:sp macro="" textlink="">
      <xdr:nvSpPr>
        <xdr:cNvPr id="169176" name="Скругленный прямоугольник 169175">
          <a:extLst>
            <a:ext uri="{FF2B5EF4-FFF2-40B4-BE49-F238E27FC236}">
              <a16:creationId xmlns:a16="http://schemas.microsoft.com/office/drawing/2014/main" id="{00000000-0008-0000-0600-0000D8940200}"/>
            </a:ext>
          </a:extLst>
        </xdr:cNvPr>
        <xdr:cNvSpPr/>
      </xdr:nvSpPr>
      <xdr:spPr>
        <a:xfrm>
          <a:off x="15425916" y="1765300"/>
          <a:ext cx="117987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1246</a:t>
          </a:r>
        </a:p>
      </xdr:txBody>
    </xdr:sp>
    <xdr:clientData/>
  </xdr:twoCellAnchor>
  <xdr:twoCellAnchor>
    <xdr:from>
      <xdr:col>16</xdr:col>
      <xdr:colOff>3905898</xdr:colOff>
      <xdr:row>8</xdr:row>
      <xdr:rowOff>12700</xdr:rowOff>
    </xdr:from>
    <xdr:to>
      <xdr:col>16</xdr:col>
      <xdr:colOff>5066429</xdr:colOff>
      <xdr:row>8</xdr:row>
      <xdr:rowOff>177800</xdr:rowOff>
    </xdr:to>
    <xdr:sp macro="" textlink="">
      <xdr:nvSpPr>
        <xdr:cNvPr id="169177" name="Скругленный прямоугольник 169176">
          <a:extLst>
            <a:ext uri="{FF2B5EF4-FFF2-40B4-BE49-F238E27FC236}">
              <a16:creationId xmlns:a16="http://schemas.microsoft.com/office/drawing/2014/main" id="{00000000-0008-0000-0600-0000D9940200}"/>
            </a:ext>
          </a:extLst>
        </xdr:cNvPr>
        <xdr:cNvSpPr/>
      </xdr:nvSpPr>
      <xdr:spPr>
        <a:xfrm>
          <a:off x="16640823" y="1765300"/>
          <a:ext cx="116053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3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3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3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1226</a:t>
          </a:r>
        </a:p>
      </xdr:txBody>
    </xdr:sp>
    <xdr:clientData/>
  </xdr:twoCellAnchor>
  <xdr:twoCellAnchor>
    <xdr:from>
      <xdr:col>16</xdr:col>
      <xdr:colOff>5101459</xdr:colOff>
      <xdr:row>8</xdr:row>
      <xdr:rowOff>12700</xdr:rowOff>
    </xdr:from>
    <xdr:to>
      <xdr:col>16</xdr:col>
      <xdr:colOff>5758985</xdr:colOff>
      <xdr:row>8</xdr:row>
      <xdr:rowOff>177800</xdr:rowOff>
    </xdr:to>
    <xdr:sp macro="" textlink="">
      <xdr:nvSpPr>
        <xdr:cNvPr id="169178" name="Скругленный прямоугольник 169177">
          <a:extLst>
            <a:ext uri="{FF2B5EF4-FFF2-40B4-BE49-F238E27FC236}">
              <a16:creationId xmlns:a16="http://schemas.microsoft.com/office/drawing/2014/main" id="{00000000-0008-0000-0600-0000DA940200}"/>
            </a:ext>
          </a:extLst>
        </xdr:cNvPr>
        <xdr:cNvSpPr/>
      </xdr:nvSpPr>
      <xdr:spPr>
        <a:xfrm>
          <a:off x="17836384" y="1765300"/>
          <a:ext cx="65752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706</a:t>
          </a:r>
        </a:p>
      </xdr:txBody>
    </xdr:sp>
    <xdr:clientData/>
  </xdr:twoCellAnchor>
  <xdr:twoCellAnchor>
    <xdr:from>
      <xdr:col>16</xdr:col>
      <xdr:colOff>0</xdr:colOff>
      <xdr:row>9</xdr:row>
      <xdr:rowOff>12700</xdr:rowOff>
    </xdr:from>
    <xdr:to>
      <xdr:col>16</xdr:col>
      <xdr:colOff>1353993</xdr:colOff>
      <xdr:row>9</xdr:row>
      <xdr:rowOff>177800</xdr:rowOff>
    </xdr:to>
    <xdr:sp macro="" textlink="">
      <xdr:nvSpPr>
        <xdr:cNvPr id="169179" name="Скругленный прямоугольник 169178">
          <a:extLst>
            <a:ext uri="{FF2B5EF4-FFF2-40B4-BE49-F238E27FC236}">
              <a16:creationId xmlns:a16="http://schemas.microsoft.com/office/drawing/2014/main" id="{00000000-0008-0000-0600-0000DB940200}"/>
            </a:ext>
          </a:extLst>
        </xdr:cNvPr>
        <xdr:cNvSpPr/>
      </xdr:nvSpPr>
      <xdr:spPr>
        <a:xfrm>
          <a:off x="12734925" y="1955800"/>
          <a:ext cx="135399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7C96" mc:Ignorable="a14" a14:legacySpreadsheetColorIndex="2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CBD3" mc:Ignorable="a14" a14:legacySpreadsheetColorIndex="2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0041" mc:Ignorable="a14" a14:legacySpreadsheetColorIndex="2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1426</a:t>
          </a:r>
        </a:p>
      </xdr:txBody>
    </xdr:sp>
    <xdr:clientData/>
  </xdr:twoCellAnchor>
  <xdr:twoCellAnchor>
    <xdr:from>
      <xdr:col>16</xdr:col>
      <xdr:colOff>1389024</xdr:colOff>
      <xdr:row>9</xdr:row>
      <xdr:rowOff>12700</xdr:rowOff>
    </xdr:from>
    <xdr:to>
      <xdr:col>16</xdr:col>
      <xdr:colOff>2655959</xdr:colOff>
      <xdr:row>9</xdr:row>
      <xdr:rowOff>177800</xdr:rowOff>
    </xdr:to>
    <xdr:sp macro="" textlink="">
      <xdr:nvSpPr>
        <xdr:cNvPr id="169180" name="Скругленный прямоугольник 169179">
          <a:extLst>
            <a:ext uri="{FF2B5EF4-FFF2-40B4-BE49-F238E27FC236}">
              <a16:creationId xmlns:a16="http://schemas.microsoft.com/office/drawing/2014/main" id="{00000000-0008-0000-0600-0000DC940200}"/>
            </a:ext>
          </a:extLst>
        </xdr:cNvPr>
        <xdr:cNvSpPr/>
      </xdr:nvSpPr>
      <xdr:spPr>
        <a:xfrm>
          <a:off x="14123949" y="19558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3F3F3" mc:Ignorable="a14" a14:legacySpreadsheetColorIndex="6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9F9F9" mc:Ignorable="a14" a14:legacySpreadsheetColorIndex="6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9F9F9F" mc:Ignorable="a14" a14:legacySpreadsheetColorIndex="6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2690991</xdr:colOff>
      <xdr:row>9</xdr:row>
      <xdr:rowOff>12700</xdr:rowOff>
    </xdr:from>
    <xdr:to>
      <xdr:col>16</xdr:col>
      <xdr:colOff>3957926</xdr:colOff>
      <xdr:row>9</xdr:row>
      <xdr:rowOff>177800</xdr:rowOff>
    </xdr:to>
    <xdr:sp macro="" textlink="">
      <xdr:nvSpPr>
        <xdr:cNvPr id="169181" name="Скругленный прямоугольник 169180">
          <a:extLst>
            <a:ext uri="{FF2B5EF4-FFF2-40B4-BE49-F238E27FC236}">
              <a16:creationId xmlns:a16="http://schemas.microsoft.com/office/drawing/2014/main" id="{00000000-0008-0000-0600-0000DD940200}"/>
            </a:ext>
          </a:extLst>
        </xdr:cNvPr>
        <xdr:cNvSpPr/>
      </xdr:nvSpPr>
      <xdr:spPr>
        <a:xfrm>
          <a:off x="15425916" y="19558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3F3F3" mc:Ignorable="a14" a14:legacySpreadsheetColorIndex="6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9F9F9" mc:Ignorable="a14" a14:legacySpreadsheetColorIndex="6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9F9F9F" mc:Ignorable="a14" a14:legacySpreadsheetColorIndex="6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3992956</xdr:colOff>
      <xdr:row>9</xdr:row>
      <xdr:rowOff>12700</xdr:rowOff>
    </xdr:from>
    <xdr:to>
      <xdr:col>16</xdr:col>
      <xdr:colOff>5066429</xdr:colOff>
      <xdr:row>9</xdr:row>
      <xdr:rowOff>177800</xdr:rowOff>
    </xdr:to>
    <xdr:sp macro="" textlink="">
      <xdr:nvSpPr>
        <xdr:cNvPr id="169182" name="Скругленный прямоугольник 169181">
          <a:extLst>
            <a:ext uri="{FF2B5EF4-FFF2-40B4-BE49-F238E27FC236}">
              <a16:creationId xmlns:a16="http://schemas.microsoft.com/office/drawing/2014/main" id="{00000000-0008-0000-0600-0000DE940200}"/>
            </a:ext>
          </a:extLst>
        </xdr:cNvPr>
        <xdr:cNvSpPr/>
      </xdr:nvSpPr>
      <xdr:spPr>
        <a:xfrm>
          <a:off x="16727881" y="1955800"/>
          <a:ext cx="107347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1136</a:t>
          </a:r>
        </a:p>
      </xdr:txBody>
    </xdr:sp>
    <xdr:clientData/>
  </xdr:twoCellAnchor>
  <xdr:twoCellAnchor>
    <xdr:from>
      <xdr:col>16</xdr:col>
      <xdr:colOff>5101459</xdr:colOff>
      <xdr:row>9</xdr:row>
      <xdr:rowOff>12700</xdr:rowOff>
    </xdr:from>
    <xdr:to>
      <xdr:col>16</xdr:col>
      <xdr:colOff>5758985</xdr:colOff>
      <xdr:row>9</xdr:row>
      <xdr:rowOff>177800</xdr:rowOff>
    </xdr:to>
    <xdr:sp macro="" textlink="">
      <xdr:nvSpPr>
        <xdr:cNvPr id="169183" name="Скругленный прямоугольник 169182">
          <a:extLst>
            <a:ext uri="{FF2B5EF4-FFF2-40B4-BE49-F238E27FC236}">
              <a16:creationId xmlns:a16="http://schemas.microsoft.com/office/drawing/2014/main" id="{00000000-0008-0000-0600-0000DF940200}"/>
            </a:ext>
          </a:extLst>
        </xdr:cNvPr>
        <xdr:cNvSpPr/>
      </xdr:nvSpPr>
      <xdr:spPr>
        <a:xfrm>
          <a:off x="17836384" y="1955800"/>
          <a:ext cx="65752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706</a:t>
          </a:r>
        </a:p>
      </xdr:txBody>
    </xdr:sp>
    <xdr:clientData/>
  </xdr:twoCellAnchor>
  <xdr:twoCellAnchor>
    <xdr:from>
      <xdr:col>16</xdr:col>
      <xdr:colOff>0</xdr:colOff>
      <xdr:row>10</xdr:row>
      <xdr:rowOff>12700</xdr:rowOff>
    </xdr:from>
    <xdr:to>
      <xdr:col>16</xdr:col>
      <xdr:colOff>1353993</xdr:colOff>
      <xdr:row>10</xdr:row>
      <xdr:rowOff>177800</xdr:rowOff>
    </xdr:to>
    <xdr:sp macro="" textlink="">
      <xdr:nvSpPr>
        <xdr:cNvPr id="168960" name="Скругленный прямоугольник 168959">
          <a:extLst>
            <a:ext uri="{FF2B5EF4-FFF2-40B4-BE49-F238E27FC236}">
              <a16:creationId xmlns:a16="http://schemas.microsoft.com/office/drawing/2014/main" id="{00000000-0008-0000-0600-000000940200}"/>
            </a:ext>
          </a:extLst>
        </xdr:cNvPr>
        <xdr:cNvSpPr/>
      </xdr:nvSpPr>
      <xdr:spPr>
        <a:xfrm>
          <a:off x="12734925" y="2146300"/>
          <a:ext cx="135399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7C96" mc:Ignorable="a14" a14:legacySpreadsheetColorIndex="2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CBD3" mc:Ignorable="a14" a14:legacySpreadsheetColorIndex="2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0041" mc:Ignorable="a14" a14:legacySpreadsheetColorIndex="2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1426</a:t>
          </a:r>
        </a:p>
      </xdr:txBody>
    </xdr:sp>
    <xdr:clientData/>
  </xdr:twoCellAnchor>
  <xdr:twoCellAnchor>
    <xdr:from>
      <xdr:col>16</xdr:col>
      <xdr:colOff>1389024</xdr:colOff>
      <xdr:row>10</xdr:row>
      <xdr:rowOff>12700</xdr:rowOff>
    </xdr:from>
    <xdr:to>
      <xdr:col>16</xdr:col>
      <xdr:colOff>2713997</xdr:colOff>
      <xdr:row>10</xdr:row>
      <xdr:rowOff>177800</xdr:rowOff>
    </xdr:to>
    <xdr:sp macro="" textlink="">
      <xdr:nvSpPr>
        <xdr:cNvPr id="168967" name="Скругленный прямоугольник 168966">
          <a:extLst>
            <a:ext uri="{FF2B5EF4-FFF2-40B4-BE49-F238E27FC236}">
              <a16:creationId xmlns:a16="http://schemas.microsoft.com/office/drawing/2014/main" id="{00000000-0008-0000-0600-000007940200}"/>
            </a:ext>
          </a:extLst>
        </xdr:cNvPr>
        <xdr:cNvSpPr/>
      </xdr:nvSpPr>
      <xdr:spPr>
        <a:xfrm>
          <a:off x="14123949" y="2146300"/>
          <a:ext cx="132497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6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6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6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1396</a:t>
          </a:r>
        </a:p>
      </xdr:txBody>
    </xdr:sp>
    <xdr:clientData/>
  </xdr:twoCellAnchor>
  <xdr:twoCellAnchor>
    <xdr:from>
      <xdr:col>16</xdr:col>
      <xdr:colOff>2749029</xdr:colOff>
      <xdr:row>10</xdr:row>
      <xdr:rowOff>12700</xdr:rowOff>
    </xdr:from>
    <xdr:to>
      <xdr:col>16</xdr:col>
      <xdr:colOff>4074002</xdr:colOff>
      <xdr:row>10</xdr:row>
      <xdr:rowOff>177800</xdr:rowOff>
    </xdr:to>
    <xdr:sp macro="" textlink="">
      <xdr:nvSpPr>
        <xdr:cNvPr id="168968" name="Скругленный прямоугольник 168967">
          <a:extLst>
            <a:ext uri="{FF2B5EF4-FFF2-40B4-BE49-F238E27FC236}">
              <a16:creationId xmlns:a16="http://schemas.microsoft.com/office/drawing/2014/main" id="{00000000-0008-0000-0600-000008940200}"/>
            </a:ext>
          </a:extLst>
        </xdr:cNvPr>
        <xdr:cNvSpPr/>
      </xdr:nvSpPr>
      <xdr:spPr>
        <a:xfrm>
          <a:off x="15483954" y="2146300"/>
          <a:ext cx="132497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6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6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6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1396</a:t>
          </a:r>
        </a:p>
      </xdr:txBody>
    </xdr:sp>
    <xdr:clientData/>
  </xdr:twoCellAnchor>
  <xdr:twoCellAnchor>
    <xdr:from>
      <xdr:col>16</xdr:col>
      <xdr:colOff>4109034</xdr:colOff>
      <xdr:row>10</xdr:row>
      <xdr:rowOff>12700</xdr:rowOff>
    </xdr:from>
    <xdr:to>
      <xdr:col>16</xdr:col>
      <xdr:colOff>5027735</xdr:colOff>
      <xdr:row>10</xdr:row>
      <xdr:rowOff>177800</xdr:rowOff>
    </xdr:to>
    <xdr:sp macro="" textlink="">
      <xdr:nvSpPr>
        <xdr:cNvPr id="168969" name="Скругленный прямоугольник 168968">
          <a:extLst>
            <a:ext uri="{FF2B5EF4-FFF2-40B4-BE49-F238E27FC236}">
              <a16:creationId xmlns:a16="http://schemas.microsoft.com/office/drawing/2014/main" id="{00000000-0008-0000-0600-000009940200}"/>
            </a:ext>
          </a:extLst>
        </xdr:cNvPr>
        <xdr:cNvSpPr/>
      </xdr:nvSpPr>
      <xdr:spPr>
        <a:xfrm>
          <a:off x="16843959" y="2146300"/>
          <a:ext cx="91870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3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3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3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976</a:t>
          </a:r>
        </a:p>
      </xdr:txBody>
    </xdr:sp>
    <xdr:clientData/>
  </xdr:twoCellAnchor>
  <xdr:twoCellAnchor>
    <xdr:from>
      <xdr:col>16</xdr:col>
      <xdr:colOff>5062765</xdr:colOff>
      <xdr:row>10</xdr:row>
      <xdr:rowOff>12700</xdr:rowOff>
    </xdr:from>
    <xdr:to>
      <xdr:col>16</xdr:col>
      <xdr:colOff>5758983</xdr:colOff>
      <xdr:row>10</xdr:row>
      <xdr:rowOff>177800</xdr:rowOff>
    </xdr:to>
    <xdr:sp macro="" textlink="">
      <xdr:nvSpPr>
        <xdr:cNvPr id="168970" name="Скругленный прямоугольник 168969">
          <a:extLst>
            <a:ext uri="{FF2B5EF4-FFF2-40B4-BE49-F238E27FC236}">
              <a16:creationId xmlns:a16="http://schemas.microsoft.com/office/drawing/2014/main" id="{00000000-0008-0000-0600-00000A940200}"/>
            </a:ext>
          </a:extLst>
        </xdr:cNvPr>
        <xdr:cNvSpPr/>
      </xdr:nvSpPr>
      <xdr:spPr>
        <a:xfrm>
          <a:off x="17797690" y="2146300"/>
          <a:ext cx="69621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B4D7" mc:Ignorable="a14" a14:legacySpreadsheetColorIndex="4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EEC" mc:Ignorable="a14" a14:legacySpreadsheetColorIndex="4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6487" mc:Ignorable="a14" a14:legacySpreadsheetColorIndex="4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746</a:t>
          </a:r>
        </a:p>
      </xdr:txBody>
    </xdr:sp>
    <xdr:clientData/>
  </xdr:twoCellAnchor>
  <xdr:twoCellAnchor>
    <xdr:from>
      <xdr:col>16</xdr:col>
      <xdr:colOff>0</xdr:colOff>
      <xdr:row>11</xdr:row>
      <xdr:rowOff>12700</xdr:rowOff>
    </xdr:from>
    <xdr:to>
      <xdr:col>16</xdr:col>
      <xdr:colOff>1363667</xdr:colOff>
      <xdr:row>11</xdr:row>
      <xdr:rowOff>177800</xdr:rowOff>
    </xdr:to>
    <xdr:sp macro="" textlink="">
      <xdr:nvSpPr>
        <xdr:cNvPr id="168971" name="Скругленный прямоугольник 168970">
          <a:extLst>
            <a:ext uri="{FF2B5EF4-FFF2-40B4-BE49-F238E27FC236}">
              <a16:creationId xmlns:a16="http://schemas.microsoft.com/office/drawing/2014/main" id="{00000000-0008-0000-0600-00000B940200}"/>
            </a:ext>
          </a:extLst>
        </xdr:cNvPr>
        <xdr:cNvSpPr/>
      </xdr:nvSpPr>
      <xdr:spPr>
        <a:xfrm>
          <a:off x="12734925" y="2336800"/>
          <a:ext cx="136366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1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1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1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1436</a:t>
          </a:r>
        </a:p>
      </xdr:txBody>
    </xdr:sp>
    <xdr:clientData/>
  </xdr:twoCellAnchor>
  <xdr:twoCellAnchor>
    <xdr:from>
      <xdr:col>16</xdr:col>
      <xdr:colOff>1398698</xdr:colOff>
      <xdr:row>11</xdr:row>
      <xdr:rowOff>12700</xdr:rowOff>
    </xdr:from>
    <xdr:to>
      <xdr:col>16</xdr:col>
      <xdr:colOff>2713999</xdr:colOff>
      <xdr:row>11</xdr:row>
      <xdr:rowOff>177800</xdr:rowOff>
    </xdr:to>
    <xdr:sp macro="" textlink="">
      <xdr:nvSpPr>
        <xdr:cNvPr id="168972" name="Скругленный прямоугольник 168971">
          <a:extLst>
            <a:ext uri="{FF2B5EF4-FFF2-40B4-BE49-F238E27FC236}">
              <a16:creationId xmlns:a16="http://schemas.microsoft.com/office/drawing/2014/main" id="{00000000-0008-0000-0600-00000C940200}"/>
            </a:ext>
          </a:extLst>
        </xdr:cNvPr>
        <xdr:cNvSpPr/>
      </xdr:nvSpPr>
      <xdr:spPr>
        <a:xfrm>
          <a:off x="14133623" y="2336800"/>
          <a:ext cx="131530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B4FF" mc:Ignorable="a14" a14:legacySpreadsheetColorIndex="2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DEFF" mc:Ignorable="a14" a14:legacySpreadsheetColorIndex="2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64AA" mc:Ignorable="a14" a14:legacySpreadsheetColorIndex="2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1386</a:t>
          </a:r>
        </a:p>
      </xdr:txBody>
    </xdr:sp>
    <xdr:clientData/>
  </xdr:twoCellAnchor>
  <xdr:twoCellAnchor>
    <xdr:from>
      <xdr:col>16</xdr:col>
      <xdr:colOff>2749029</xdr:colOff>
      <xdr:row>11</xdr:row>
      <xdr:rowOff>12700</xdr:rowOff>
    </xdr:from>
    <xdr:to>
      <xdr:col>16</xdr:col>
      <xdr:colOff>3996618</xdr:colOff>
      <xdr:row>11</xdr:row>
      <xdr:rowOff>177800</xdr:rowOff>
    </xdr:to>
    <xdr:sp macro="" textlink="">
      <xdr:nvSpPr>
        <xdr:cNvPr id="168973" name="Скругленный прямоугольник 168972">
          <a:extLst>
            <a:ext uri="{FF2B5EF4-FFF2-40B4-BE49-F238E27FC236}">
              <a16:creationId xmlns:a16="http://schemas.microsoft.com/office/drawing/2014/main" id="{00000000-0008-0000-0600-00000D940200}"/>
            </a:ext>
          </a:extLst>
        </xdr:cNvPr>
        <xdr:cNvSpPr/>
      </xdr:nvSpPr>
      <xdr:spPr>
        <a:xfrm>
          <a:off x="15483954" y="2336800"/>
          <a:ext cx="12475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1316</a:t>
          </a:r>
        </a:p>
      </xdr:txBody>
    </xdr:sp>
    <xdr:clientData/>
  </xdr:twoCellAnchor>
  <xdr:twoCellAnchor>
    <xdr:from>
      <xdr:col>16</xdr:col>
      <xdr:colOff>4031648</xdr:colOff>
      <xdr:row>11</xdr:row>
      <xdr:rowOff>12700</xdr:rowOff>
    </xdr:from>
    <xdr:to>
      <xdr:col>16</xdr:col>
      <xdr:colOff>5134139</xdr:colOff>
      <xdr:row>11</xdr:row>
      <xdr:rowOff>177800</xdr:rowOff>
    </xdr:to>
    <xdr:sp macro="" textlink="">
      <xdr:nvSpPr>
        <xdr:cNvPr id="168974" name="Скругленный прямоугольник 168973">
          <a:extLst>
            <a:ext uri="{FF2B5EF4-FFF2-40B4-BE49-F238E27FC236}">
              <a16:creationId xmlns:a16="http://schemas.microsoft.com/office/drawing/2014/main" id="{00000000-0008-0000-0600-00000E940200}"/>
            </a:ext>
          </a:extLst>
        </xdr:cNvPr>
        <xdr:cNvSpPr/>
      </xdr:nvSpPr>
      <xdr:spPr>
        <a:xfrm>
          <a:off x="16766573" y="23368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5169171</xdr:colOff>
      <xdr:row>11</xdr:row>
      <xdr:rowOff>12700</xdr:rowOff>
    </xdr:from>
    <xdr:to>
      <xdr:col>16</xdr:col>
      <xdr:colOff>5758985</xdr:colOff>
      <xdr:row>11</xdr:row>
      <xdr:rowOff>177800</xdr:rowOff>
    </xdr:to>
    <xdr:sp macro="" textlink="">
      <xdr:nvSpPr>
        <xdr:cNvPr id="168975" name="Скругленный прямоугольник 168974">
          <a:extLst>
            <a:ext uri="{FF2B5EF4-FFF2-40B4-BE49-F238E27FC236}">
              <a16:creationId xmlns:a16="http://schemas.microsoft.com/office/drawing/2014/main" id="{00000000-0008-0000-0600-00000F940200}"/>
            </a:ext>
          </a:extLst>
        </xdr:cNvPr>
        <xdr:cNvSpPr/>
      </xdr:nvSpPr>
      <xdr:spPr>
        <a:xfrm>
          <a:off x="17904096" y="2336800"/>
          <a:ext cx="58981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636</a:t>
          </a:r>
        </a:p>
      </xdr:txBody>
    </xdr:sp>
    <xdr:clientData/>
  </xdr:twoCellAnchor>
  <xdr:twoCellAnchor>
    <xdr:from>
      <xdr:col>16</xdr:col>
      <xdr:colOff>0</xdr:colOff>
      <xdr:row>12</xdr:row>
      <xdr:rowOff>12700</xdr:rowOff>
    </xdr:from>
    <xdr:to>
      <xdr:col>16</xdr:col>
      <xdr:colOff>1383013</xdr:colOff>
      <xdr:row>12</xdr:row>
      <xdr:rowOff>177800</xdr:rowOff>
    </xdr:to>
    <xdr:sp macro="" textlink="">
      <xdr:nvSpPr>
        <xdr:cNvPr id="168976" name="Скругленный прямоугольник 168975">
          <a:extLst>
            <a:ext uri="{FF2B5EF4-FFF2-40B4-BE49-F238E27FC236}">
              <a16:creationId xmlns:a16="http://schemas.microsoft.com/office/drawing/2014/main" id="{00000000-0008-0000-0600-000010940200}"/>
            </a:ext>
          </a:extLst>
        </xdr:cNvPr>
        <xdr:cNvSpPr/>
      </xdr:nvSpPr>
      <xdr:spPr>
        <a:xfrm>
          <a:off x="12734925" y="2527300"/>
          <a:ext cx="138301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1456</a:t>
          </a:r>
        </a:p>
      </xdr:txBody>
    </xdr:sp>
    <xdr:clientData/>
  </xdr:twoCellAnchor>
  <xdr:twoCellAnchor>
    <xdr:from>
      <xdr:col>16</xdr:col>
      <xdr:colOff>1418044</xdr:colOff>
      <xdr:row>12</xdr:row>
      <xdr:rowOff>12700</xdr:rowOff>
    </xdr:from>
    <xdr:to>
      <xdr:col>16</xdr:col>
      <xdr:colOff>2752691</xdr:colOff>
      <xdr:row>12</xdr:row>
      <xdr:rowOff>177800</xdr:rowOff>
    </xdr:to>
    <xdr:sp macro="" textlink="">
      <xdr:nvSpPr>
        <xdr:cNvPr id="168977" name="Скругленный прямоугольник 168976">
          <a:extLst>
            <a:ext uri="{FF2B5EF4-FFF2-40B4-BE49-F238E27FC236}">
              <a16:creationId xmlns:a16="http://schemas.microsoft.com/office/drawing/2014/main" id="{00000000-0008-0000-0600-000011940200}"/>
            </a:ext>
          </a:extLst>
        </xdr:cNvPr>
        <xdr:cNvSpPr/>
      </xdr:nvSpPr>
      <xdr:spPr>
        <a:xfrm>
          <a:off x="14152969" y="2527300"/>
          <a:ext cx="13346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6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6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2787721</xdr:colOff>
      <xdr:row>12</xdr:row>
      <xdr:rowOff>12700</xdr:rowOff>
    </xdr:from>
    <xdr:to>
      <xdr:col>16</xdr:col>
      <xdr:colOff>4035310</xdr:colOff>
      <xdr:row>12</xdr:row>
      <xdr:rowOff>177800</xdr:rowOff>
    </xdr:to>
    <xdr:sp macro="" textlink="">
      <xdr:nvSpPr>
        <xdr:cNvPr id="168978" name="Скругленный прямоугольник 168977">
          <a:extLst>
            <a:ext uri="{FF2B5EF4-FFF2-40B4-BE49-F238E27FC236}">
              <a16:creationId xmlns:a16="http://schemas.microsoft.com/office/drawing/2014/main" id="{00000000-0008-0000-0600-000012940200}"/>
            </a:ext>
          </a:extLst>
        </xdr:cNvPr>
        <xdr:cNvSpPr/>
      </xdr:nvSpPr>
      <xdr:spPr>
        <a:xfrm>
          <a:off x="15522646" y="2527300"/>
          <a:ext cx="12475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1316</a:t>
          </a:r>
        </a:p>
      </xdr:txBody>
    </xdr:sp>
    <xdr:clientData/>
  </xdr:twoCellAnchor>
  <xdr:twoCellAnchor>
    <xdr:from>
      <xdr:col>16</xdr:col>
      <xdr:colOff>4070342</xdr:colOff>
      <xdr:row>12</xdr:row>
      <xdr:rowOff>12700</xdr:rowOff>
    </xdr:from>
    <xdr:to>
      <xdr:col>16</xdr:col>
      <xdr:colOff>5076103</xdr:colOff>
      <xdr:row>12</xdr:row>
      <xdr:rowOff>177800</xdr:rowOff>
    </xdr:to>
    <xdr:sp macro="" textlink="">
      <xdr:nvSpPr>
        <xdr:cNvPr id="168979" name="Скругленный прямоугольник 168978">
          <a:extLst>
            <a:ext uri="{FF2B5EF4-FFF2-40B4-BE49-F238E27FC236}">
              <a16:creationId xmlns:a16="http://schemas.microsoft.com/office/drawing/2014/main" id="{00000000-0008-0000-0600-000013940200}"/>
            </a:ext>
          </a:extLst>
        </xdr:cNvPr>
        <xdr:cNvSpPr/>
      </xdr:nvSpPr>
      <xdr:spPr>
        <a:xfrm>
          <a:off x="16805267" y="2527300"/>
          <a:ext cx="10057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1066</a:t>
          </a:r>
        </a:p>
      </xdr:txBody>
    </xdr:sp>
    <xdr:clientData/>
  </xdr:twoCellAnchor>
  <xdr:twoCellAnchor>
    <xdr:from>
      <xdr:col>16</xdr:col>
      <xdr:colOff>5111131</xdr:colOff>
      <xdr:row>12</xdr:row>
      <xdr:rowOff>12700</xdr:rowOff>
    </xdr:from>
    <xdr:to>
      <xdr:col>16</xdr:col>
      <xdr:colOff>5758983</xdr:colOff>
      <xdr:row>12</xdr:row>
      <xdr:rowOff>177800</xdr:rowOff>
    </xdr:to>
    <xdr:sp macro="" textlink="">
      <xdr:nvSpPr>
        <xdr:cNvPr id="168980" name="Скругленный прямоугольник 168979">
          <a:extLst>
            <a:ext uri="{FF2B5EF4-FFF2-40B4-BE49-F238E27FC236}">
              <a16:creationId xmlns:a16="http://schemas.microsoft.com/office/drawing/2014/main" id="{00000000-0008-0000-0600-000014940200}"/>
            </a:ext>
          </a:extLst>
        </xdr:cNvPr>
        <xdr:cNvSpPr/>
      </xdr:nvSpPr>
      <xdr:spPr>
        <a:xfrm>
          <a:off x="17846056" y="2527300"/>
          <a:ext cx="64785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696</a:t>
          </a:r>
        </a:p>
      </xdr:txBody>
    </xdr:sp>
    <xdr:clientData/>
  </xdr:twoCellAnchor>
  <xdr:twoCellAnchor>
    <xdr:from>
      <xdr:col>16</xdr:col>
      <xdr:colOff>0</xdr:colOff>
      <xdr:row>13</xdr:row>
      <xdr:rowOff>12700</xdr:rowOff>
    </xdr:from>
    <xdr:to>
      <xdr:col>16</xdr:col>
      <xdr:colOff>1402359</xdr:colOff>
      <xdr:row>13</xdr:row>
      <xdr:rowOff>177800</xdr:rowOff>
    </xdr:to>
    <xdr:sp macro="" textlink="">
      <xdr:nvSpPr>
        <xdr:cNvPr id="168981" name="Скругленный прямоугольник 168980">
          <a:extLst>
            <a:ext uri="{FF2B5EF4-FFF2-40B4-BE49-F238E27FC236}">
              <a16:creationId xmlns:a16="http://schemas.microsoft.com/office/drawing/2014/main" id="{00000000-0008-0000-0600-000015940200}"/>
            </a:ext>
          </a:extLst>
        </xdr:cNvPr>
        <xdr:cNvSpPr/>
      </xdr:nvSpPr>
      <xdr:spPr>
        <a:xfrm>
          <a:off x="12734925" y="2717800"/>
          <a:ext cx="140235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FF" mc:Ignorable="a14" a14:legacySpreadsheetColorIndex="2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FF" mc:Ignorable="a14" a14:legacySpreadsheetColorIndex="2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AA" mc:Ignorable="a14" a14:legacySpreadsheetColorIndex="2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1476</a:t>
          </a:r>
        </a:p>
      </xdr:txBody>
    </xdr:sp>
    <xdr:clientData/>
  </xdr:twoCellAnchor>
  <xdr:twoCellAnchor>
    <xdr:from>
      <xdr:col>16</xdr:col>
      <xdr:colOff>1437390</xdr:colOff>
      <xdr:row>13</xdr:row>
      <xdr:rowOff>12700</xdr:rowOff>
    </xdr:from>
    <xdr:to>
      <xdr:col>16</xdr:col>
      <xdr:colOff>2772037</xdr:colOff>
      <xdr:row>13</xdr:row>
      <xdr:rowOff>177800</xdr:rowOff>
    </xdr:to>
    <xdr:sp macro="" textlink="">
      <xdr:nvSpPr>
        <xdr:cNvPr id="168982" name="Скругленный прямоугольник 168981">
          <a:extLst>
            <a:ext uri="{FF2B5EF4-FFF2-40B4-BE49-F238E27FC236}">
              <a16:creationId xmlns:a16="http://schemas.microsoft.com/office/drawing/2014/main" id="{00000000-0008-0000-0600-000016940200}"/>
            </a:ext>
          </a:extLst>
        </xdr:cNvPr>
        <xdr:cNvSpPr/>
      </xdr:nvSpPr>
      <xdr:spPr>
        <a:xfrm>
          <a:off x="14172315" y="2717800"/>
          <a:ext cx="13346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6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6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2807069</xdr:colOff>
      <xdr:row>13</xdr:row>
      <xdr:rowOff>12700</xdr:rowOff>
    </xdr:from>
    <xdr:to>
      <xdr:col>16</xdr:col>
      <xdr:colOff>3938580</xdr:colOff>
      <xdr:row>13</xdr:row>
      <xdr:rowOff>177800</xdr:rowOff>
    </xdr:to>
    <xdr:sp macro="" textlink="">
      <xdr:nvSpPr>
        <xdr:cNvPr id="168983" name="Скругленный прямоугольник 168982">
          <a:extLst>
            <a:ext uri="{FF2B5EF4-FFF2-40B4-BE49-F238E27FC236}">
              <a16:creationId xmlns:a16="http://schemas.microsoft.com/office/drawing/2014/main" id="{00000000-0008-0000-0600-000017940200}"/>
            </a:ext>
          </a:extLst>
        </xdr:cNvPr>
        <xdr:cNvSpPr/>
      </xdr:nvSpPr>
      <xdr:spPr>
        <a:xfrm>
          <a:off x="15541994" y="2717800"/>
          <a:ext cx="113151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D7FF" mc:Ignorable="a14" a14:legacySpreadsheetColorIndex="3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ECFF" mc:Ignorable="a14" a14:legacySpreadsheetColorIndex="3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87AA" mc:Ignorable="a14" a14:legacySpreadsheetColorIndex="3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1196</a:t>
          </a:r>
        </a:p>
      </xdr:txBody>
    </xdr:sp>
    <xdr:clientData/>
  </xdr:twoCellAnchor>
  <xdr:twoCellAnchor>
    <xdr:from>
      <xdr:col>16</xdr:col>
      <xdr:colOff>3973610</xdr:colOff>
      <xdr:row>13</xdr:row>
      <xdr:rowOff>12700</xdr:rowOff>
    </xdr:from>
    <xdr:to>
      <xdr:col>16</xdr:col>
      <xdr:colOff>5076101</xdr:colOff>
      <xdr:row>13</xdr:row>
      <xdr:rowOff>177800</xdr:rowOff>
    </xdr:to>
    <xdr:sp macro="" textlink="">
      <xdr:nvSpPr>
        <xdr:cNvPr id="168984" name="Скругленный прямоугольник 168983">
          <a:extLst>
            <a:ext uri="{FF2B5EF4-FFF2-40B4-BE49-F238E27FC236}">
              <a16:creationId xmlns:a16="http://schemas.microsoft.com/office/drawing/2014/main" id="{00000000-0008-0000-0600-000018940200}"/>
            </a:ext>
          </a:extLst>
        </xdr:cNvPr>
        <xdr:cNvSpPr/>
      </xdr:nvSpPr>
      <xdr:spPr>
        <a:xfrm>
          <a:off x="16708535" y="27178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5111131</xdr:colOff>
      <xdr:row>13</xdr:row>
      <xdr:rowOff>12700</xdr:rowOff>
    </xdr:from>
    <xdr:to>
      <xdr:col>16</xdr:col>
      <xdr:colOff>5758983</xdr:colOff>
      <xdr:row>13</xdr:row>
      <xdr:rowOff>177800</xdr:rowOff>
    </xdr:to>
    <xdr:sp macro="" textlink="">
      <xdr:nvSpPr>
        <xdr:cNvPr id="168985" name="Скругленный прямоугольник 168984">
          <a:extLst>
            <a:ext uri="{FF2B5EF4-FFF2-40B4-BE49-F238E27FC236}">
              <a16:creationId xmlns:a16="http://schemas.microsoft.com/office/drawing/2014/main" id="{00000000-0008-0000-0600-000019940200}"/>
            </a:ext>
          </a:extLst>
        </xdr:cNvPr>
        <xdr:cNvSpPr/>
      </xdr:nvSpPr>
      <xdr:spPr>
        <a:xfrm>
          <a:off x="17846056" y="2717800"/>
          <a:ext cx="64785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696</a:t>
          </a:r>
        </a:p>
      </xdr:txBody>
    </xdr:sp>
    <xdr:clientData/>
  </xdr:twoCellAnchor>
  <xdr:twoCellAnchor>
    <xdr:from>
      <xdr:col>16</xdr:col>
      <xdr:colOff>0</xdr:colOff>
      <xdr:row>14</xdr:row>
      <xdr:rowOff>12700</xdr:rowOff>
    </xdr:from>
    <xdr:to>
      <xdr:col>16</xdr:col>
      <xdr:colOff>1421705</xdr:colOff>
      <xdr:row>14</xdr:row>
      <xdr:rowOff>177800</xdr:rowOff>
    </xdr:to>
    <xdr:sp macro="" textlink="">
      <xdr:nvSpPr>
        <xdr:cNvPr id="168986" name="Скругленный прямоугольник 168985">
          <a:extLst>
            <a:ext uri="{FF2B5EF4-FFF2-40B4-BE49-F238E27FC236}">
              <a16:creationId xmlns:a16="http://schemas.microsoft.com/office/drawing/2014/main" id="{00000000-0008-0000-0600-00001A940200}"/>
            </a:ext>
          </a:extLst>
        </xdr:cNvPr>
        <xdr:cNvSpPr/>
      </xdr:nvSpPr>
      <xdr:spPr>
        <a:xfrm>
          <a:off x="12734925" y="2908300"/>
          <a:ext cx="142170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1496</a:t>
          </a:r>
        </a:p>
      </xdr:txBody>
    </xdr:sp>
    <xdr:clientData/>
  </xdr:twoCellAnchor>
  <xdr:twoCellAnchor>
    <xdr:from>
      <xdr:col>16</xdr:col>
      <xdr:colOff>1456736</xdr:colOff>
      <xdr:row>14</xdr:row>
      <xdr:rowOff>12700</xdr:rowOff>
    </xdr:from>
    <xdr:to>
      <xdr:col>16</xdr:col>
      <xdr:colOff>2723671</xdr:colOff>
      <xdr:row>14</xdr:row>
      <xdr:rowOff>177800</xdr:rowOff>
    </xdr:to>
    <xdr:sp macro="" textlink="">
      <xdr:nvSpPr>
        <xdr:cNvPr id="168987" name="Скругленный прямоугольник 168986">
          <a:extLst>
            <a:ext uri="{FF2B5EF4-FFF2-40B4-BE49-F238E27FC236}">
              <a16:creationId xmlns:a16="http://schemas.microsoft.com/office/drawing/2014/main" id="{00000000-0008-0000-0600-00001B940200}"/>
            </a:ext>
          </a:extLst>
        </xdr:cNvPr>
        <xdr:cNvSpPr/>
      </xdr:nvSpPr>
      <xdr:spPr>
        <a:xfrm>
          <a:off x="14191661" y="29083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3F3F3" mc:Ignorable="a14" a14:legacySpreadsheetColorIndex="6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9F9F9" mc:Ignorable="a14" a14:legacySpreadsheetColorIndex="6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9F9F9F" mc:Ignorable="a14" a14:legacySpreadsheetColorIndex="6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2758703</xdr:colOff>
      <xdr:row>14</xdr:row>
      <xdr:rowOff>12700</xdr:rowOff>
    </xdr:from>
    <xdr:to>
      <xdr:col>16</xdr:col>
      <xdr:colOff>3880540</xdr:colOff>
      <xdr:row>14</xdr:row>
      <xdr:rowOff>177800</xdr:rowOff>
    </xdr:to>
    <xdr:sp macro="" textlink="">
      <xdr:nvSpPr>
        <xdr:cNvPr id="168988" name="Скругленный прямоугольник 168987">
          <a:extLst>
            <a:ext uri="{FF2B5EF4-FFF2-40B4-BE49-F238E27FC236}">
              <a16:creationId xmlns:a16="http://schemas.microsoft.com/office/drawing/2014/main" id="{00000000-0008-0000-0600-00001C940200}"/>
            </a:ext>
          </a:extLst>
        </xdr:cNvPr>
        <xdr:cNvSpPr/>
      </xdr:nvSpPr>
      <xdr:spPr>
        <a:xfrm>
          <a:off x="15493628" y="2908300"/>
          <a:ext cx="112183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3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3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3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1186</a:t>
          </a:r>
        </a:p>
      </xdr:txBody>
    </xdr:sp>
    <xdr:clientData/>
  </xdr:twoCellAnchor>
  <xdr:twoCellAnchor>
    <xdr:from>
      <xdr:col>16</xdr:col>
      <xdr:colOff>3915570</xdr:colOff>
      <xdr:row>14</xdr:row>
      <xdr:rowOff>12700</xdr:rowOff>
    </xdr:from>
    <xdr:to>
      <xdr:col>16</xdr:col>
      <xdr:colOff>5018061</xdr:colOff>
      <xdr:row>14</xdr:row>
      <xdr:rowOff>177800</xdr:rowOff>
    </xdr:to>
    <xdr:sp macro="" textlink="">
      <xdr:nvSpPr>
        <xdr:cNvPr id="168989" name="Скругленный прямоугольник 168988">
          <a:extLst>
            <a:ext uri="{FF2B5EF4-FFF2-40B4-BE49-F238E27FC236}">
              <a16:creationId xmlns:a16="http://schemas.microsoft.com/office/drawing/2014/main" id="{00000000-0008-0000-0600-00001D940200}"/>
            </a:ext>
          </a:extLst>
        </xdr:cNvPr>
        <xdr:cNvSpPr/>
      </xdr:nvSpPr>
      <xdr:spPr>
        <a:xfrm>
          <a:off x="16650495" y="29083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5053093</xdr:colOff>
      <xdr:row>14</xdr:row>
      <xdr:rowOff>12700</xdr:rowOff>
    </xdr:from>
    <xdr:to>
      <xdr:col>16</xdr:col>
      <xdr:colOff>5758985</xdr:colOff>
      <xdr:row>14</xdr:row>
      <xdr:rowOff>177800</xdr:rowOff>
    </xdr:to>
    <xdr:sp macro="" textlink="">
      <xdr:nvSpPr>
        <xdr:cNvPr id="168990" name="Скругленный прямоугольник 168989">
          <a:extLst>
            <a:ext uri="{FF2B5EF4-FFF2-40B4-BE49-F238E27FC236}">
              <a16:creationId xmlns:a16="http://schemas.microsoft.com/office/drawing/2014/main" id="{00000000-0008-0000-0600-00001E940200}"/>
            </a:ext>
          </a:extLst>
        </xdr:cNvPr>
        <xdr:cNvSpPr/>
      </xdr:nvSpPr>
      <xdr:spPr>
        <a:xfrm>
          <a:off x="17788018" y="2908300"/>
          <a:ext cx="70589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B4FF" mc:Ignorable="a14" a14:legacySpreadsheetColorIndex="4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DEFF" mc:Ignorable="a14" a14:legacySpreadsheetColorIndex="4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64AA" mc:Ignorable="a14" a14:legacySpreadsheetColorIndex="4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756</a:t>
          </a:r>
        </a:p>
      </xdr:txBody>
    </xdr:sp>
    <xdr:clientData/>
  </xdr:twoCellAnchor>
  <xdr:twoCellAnchor>
    <xdr:from>
      <xdr:col>16</xdr:col>
      <xdr:colOff>0</xdr:colOff>
      <xdr:row>15</xdr:row>
      <xdr:rowOff>12700</xdr:rowOff>
    </xdr:from>
    <xdr:to>
      <xdr:col>16</xdr:col>
      <xdr:colOff>1431379</xdr:colOff>
      <xdr:row>15</xdr:row>
      <xdr:rowOff>177800</xdr:rowOff>
    </xdr:to>
    <xdr:sp macro="" textlink="">
      <xdr:nvSpPr>
        <xdr:cNvPr id="168991" name="Скругленный прямоугольник 168990">
          <a:extLst>
            <a:ext uri="{FF2B5EF4-FFF2-40B4-BE49-F238E27FC236}">
              <a16:creationId xmlns:a16="http://schemas.microsoft.com/office/drawing/2014/main" id="{00000000-0008-0000-0600-00001F940200}"/>
            </a:ext>
          </a:extLst>
        </xdr:cNvPr>
        <xdr:cNvSpPr/>
      </xdr:nvSpPr>
      <xdr:spPr>
        <a:xfrm>
          <a:off x="12734925" y="3098800"/>
          <a:ext cx="14313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83B4" mc:Ignorable="a14" a14:legacySpreadsheetColorIndex="6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CDDE" mc:Ignorable="a14" a14:legacySpreadsheetColorIndex="6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1E64" mc:Ignorable="a14" a14:legacySpreadsheetColorIndex="6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1506</a:t>
          </a:r>
        </a:p>
      </xdr:txBody>
    </xdr:sp>
    <xdr:clientData/>
  </xdr:twoCellAnchor>
  <xdr:twoCellAnchor>
    <xdr:from>
      <xdr:col>16</xdr:col>
      <xdr:colOff>1466410</xdr:colOff>
      <xdr:row>15</xdr:row>
      <xdr:rowOff>12700</xdr:rowOff>
    </xdr:from>
    <xdr:to>
      <xdr:col>16</xdr:col>
      <xdr:colOff>2723671</xdr:colOff>
      <xdr:row>15</xdr:row>
      <xdr:rowOff>177800</xdr:rowOff>
    </xdr:to>
    <xdr:sp macro="" textlink="">
      <xdr:nvSpPr>
        <xdr:cNvPr id="169056" name="Скругленный прямоугольник 169055">
          <a:extLst>
            <a:ext uri="{FF2B5EF4-FFF2-40B4-BE49-F238E27FC236}">
              <a16:creationId xmlns:a16="http://schemas.microsoft.com/office/drawing/2014/main" id="{00000000-0008-0000-0600-000060940200}"/>
            </a:ext>
          </a:extLst>
        </xdr:cNvPr>
        <xdr:cNvSpPr/>
      </xdr:nvSpPr>
      <xdr:spPr>
        <a:xfrm>
          <a:off x="14201335" y="3098800"/>
          <a:ext cx="12572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6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6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2758703</xdr:colOff>
      <xdr:row>15</xdr:row>
      <xdr:rowOff>12700</xdr:rowOff>
    </xdr:from>
    <xdr:to>
      <xdr:col>16</xdr:col>
      <xdr:colOff>3938580</xdr:colOff>
      <xdr:row>15</xdr:row>
      <xdr:rowOff>177800</xdr:rowOff>
    </xdr:to>
    <xdr:sp macro="" textlink="">
      <xdr:nvSpPr>
        <xdr:cNvPr id="169057" name="Скругленный прямоугольник 169056">
          <a:extLst>
            <a:ext uri="{FF2B5EF4-FFF2-40B4-BE49-F238E27FC236}">
              <a16:creationId xmlns:a16="http://schemas.microsoft.com/office/drawing/2014/main" id="{00000000-0008-0000-0600-000061940200}"/>
            </a:ext>
          </a:extLst>
        </xdr:cNvPr>
        <xdr:cNvSpPr/>
      </xdr:nvSpPr>
      <xdr:spPr>
        <a:xfrm>
          <a:off x="15493628" y="3098800"/>
          <a:ext cx="117987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1246</a:t>
          </a:r>
        </a:p>
      </xdr:txBody>
    </xdr:sp>
    <xdr:clientData/>
  </xdr:twoCellAnchor>
  <xdr:twoCellAnchor>
    <xdr:from>
      <xdr:col>16</xdr:col>
      <xdr:colOff>3973610</xdr:colOff>
      <xdr:row>15</xdr:row>
      <xdr:rowOff>12700</xdr:rowOff>
    </xdr:from>
    <xdr:to>
      <xdr:col>16</xdr:col>
      <xdr:colOff>4979370</xdr:colOff>
      <xdr:row>15</xdr:row>
      <xdr:rowOff>177800</xdr:rowOff>
    </xdr:to>
    <xdr:sp macro="" textlink="">
      <xdr:nvSpPr>
        <xdr:cNvPr id="169058" name="Скругленный прямоугольник 169057">
          <a:extLst>
            <a:ext uri="{FF2B5EF4-FFF2-40B4-BE49-F238E27FC236}">
              <a16:creationId xmlns:a16="http://schemas.microsoft.com/office/drawing/2014/main" id="{00000000-0008-0000-0600-000062940200}"/>
            </a:ext>
          </a:extLst>
        </xdr:cNvPr>
        <xdr:cNvSpPr/>
      </xdr:nvSpPr>
      <xdr:spPr>
        <a:xfrm>
          <a:off x="16708535" y="3098800"/>
          <a:ext cx="100576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1066</a:t>
          </a:r>
        </a:p>
      </xdr:txBody>
    </xdr:sp>
    <xdr:clientData/>
  </xdr:twoCellAnchor>
  <xdr:twoCellAnchor>
    <xdr:from>
      <xdr:col>16</xdr:col>
      <xdr:colOff>5014401</xdr:colOff>
      <xdr:row>15</xdr:row>
      <xdr:rowOff>12700</xdr:rowOff>
    </xdr:from>
    <xdr:to>
      <xdr:col>16</xdr:col>
      <xdr:colOff>5758985</xdr:colOff>
      <xdr:row>15</xdr:row>
      <xdr:rowOff>177800</xdr:rowOff>
    </xdr:to>
    <xdr:sp macro="" textlink="">
      <xdr:nvSpPr>
        <xdr:cNvPr id="169059" name="Скругленный прямоугольник 169058">
          <a:extLst>
            <a:ext uri="{FF2B5EF4-FFF2-40B4-BE49-F238E27FC236}">
              <a16:creationId xmlns:a16="http://schemas.microsoft.com/office/drawing/2014/main" id="{00000000-0008-0000-0600-000063940200}"/>
            </a:ext>
          </a:extLst>
        </xdr:cNvPr>
        <xdr:cNvSpPr/>
      </xdr:nvSpPr>
      <xdr:spPr>
        <a:xfrm>
          <a:off x="17749326" y="3098800"/>
          <a:ext cx="74458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B4" mc:Ignorable="a14" a14:legacySpreadsheetColorIndex="4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DE" mc:Ignorable="a14" a14:legacySpreadsheetColorIndex="4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64" mc:Ignorable="a14" a14:legacySpreadsheetColorIndex="4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796</a:t>
          </a:r>
        </a:p>
      </xdr:txBody>
    </xdr:sp>
    <xdr:clientData/>
  </xdr:twoCellAnchor>
  <xdr:twoCellAnchor>
    <xdr:from>
      <xdr:col>16</xdr:col>
      <xdr:colOff>0</xdr:colOff>
      <xdr:row>16</xdr:row>
      <xdr:rowOff>12700</xdr:rowOff>
    </xdr:from>
    <xdr:to>
      <xdr:col>16</xdr:col>
      <xdr:colOff>1450725</xdr:colOff>
      <xdr:row>16</xdr:row>
      <xdr:rowOff>177800</xdr:rowOff>
    </xdr:to>
    <xdr:sp macro="" textlink="">
      <xdr:nvSpPr>
        <xdr:cNvPr id="169060" name="Скругленный прямоугольник 169059">
          <a:extLst>
            <a:ext uri="{FF2B5EF4-FFF2-40B4-BE49-F238E27FC236}">
              <a16:creationId xmlns:a16="http://schemas.microsoft.com/office/drawing/2014/main" id="{00000000-0008-0000-0600-000064940200}"/>
            </a:ext>
          </a:extLst>
        </xdr:cNvPr>
        <xdr:cNvSpPr/>
      </xdr:nvSpPr>
      <xdr:spPr>
        <a:xfrm>
          <a:off x="12734925" y="3289300"/>
          <a:ext cx="14507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7C" mc:Ignorable="a14" a14:legacySpreadsheetColorIndex="1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CB" mc:Ignorable="a14" a14:legacySpreadsheetColorIndex="1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00" mc:Ignorable="a14" a14:legacySpreadsheetColorIndex="1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1485756</xdr:colOff>
      <xdr:row>16</xdr:row>
      <xdr:rowOff>12700</xdr:rowOff>
    </xdr:from>
    <xdr:to>
      <xdr:col>16</xdr:col>
      <xdr:colOff>2801057</xdr:colOff>
      <xdr:row>16</xdr:row>
      <xdr:rowOff>177800</xdr:rowOff>
    </xdr:to>
    <xdr:sp macro="" textlink="">
      <xdr:nvSpPr>
        <xdr:cNvPr id="169061" name="Скругленный прямоугольник 169060">
          <a:extLst>
            <a:ext uri="{FF2B5EF4-FFF2-40B4-BE49-F238E27FC236}">
              <a16:creationId xmlns:a16="http://schemas.microsoft.com/office/drawing/2014/main" id="{00000000-0008-0000-0600-000065940200}"/>
            </a:ext>
          </a:extLst>
        </xdr:cNvPr>
        <xdr:cNvSpPr/>
      </xdr:nvSpPr>
      <xdr:spPr>
        <a:xfrm>
          <a:off x="14220681" y="3289300"/>
          <a:ext cx="131530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B4FF" mc:Ignorable="a14" a14:legacySpreadsheetColorIndex="2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DEFF" mc:Ignorable="a14" a14:legacySpreadsheetColorIndex="2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64AA" mc:Ignorable="a14" a14:legacySpreadsheetColorIndex="2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1386</a:t>
          </a:r>
        </a:p>
      </xdr:txBody>
    </xdr:sp>
    <xdr:clientData/>
  </xdr:twoCellAnchor>
  <xdr:twoCellAnchor>
    <xdr:from>
      <xdr:col>16</xdr:col>
      <xdr:colOff>2836087</xdr:colOff>
      <xdr:row>16</xdr:row>
      <xdr:rowOff>12700</xdr:rowOff>
    </xdr:from>
    <xdr:to>
      <xdr:col>16</xdr:col>
      <xdr:colOff>4112696</xdr:colOff>
      <xdr:row>16</xdr:row>
      <xdr:rowOff>177800</xdr:rowOff>
    </xdr:to>
    <xdr:sp macro="" textlink="">
      <xdr:nvSpPr>
        <xdr:cNvPr id="169062" name="Скругленный прямоугольник 169061">
          <a:extLst>
            <a:ext uri="{FF2B5EF4-FFF2-40B4-BE49-F238E27FC236}">
              <a16:creationId xmlns:a16="http://schemas.microsoft.com/office/drawing/2014/main" id="{00000000-0008-0000-0600-000066940200}"/>
            </a:ext>
          </a:extLst>
        </xdr:cNvPr>
        <xdr:cNvSpPr/>
      </xdr:nvSpPr>
      <xdr:spPr>
        <a:xfrm>
          <a:off x="15571012" y="3289300"/>
          <a:ext cx="127660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6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6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6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1346</a:t>
          </a:r>
        </a:p>
      </xdr:txBody>
    </xdr:sp>
    <xdr:clientData/>
  </xdr:twoCellAnchor>
  <xdr:twoCellAnchor>
    <xdr:from>
      <xdr:col>16</xdr:col>
      <xdr:colOff>4147727</xdr:colOff>
      <xdr:row>16</xdr:row>
      <xdr:rowOff>12700</xdr:rowOff>
    </xdr:from>
    <xdr:to>
      <xdr:col>16</xdr:col>
      <xdr:colOff>5066427</xdr:colOff>
      <xdr:row>16</xdr:row>
      <xdr:rowOff>177800</xdr:rowOff>
    </xdr:to>
    <xdr:sp macro="" textlink="">
      <xdr:nvSpPr>
        <xdr:cNvPr id="169063" name="Скругленный прямоугольник 169062">
          <a:extLst>
            <a:ext uri="{FF2B5EF4-FFF2-40B4-BE49-F238E27FC236}">
              <a16:creationId xmlns:a16="http://schemas.microsoft.com/office/drawing/2014/main" id="{00000000-0008-0000-0600-000067940200}"/>
            </a:ext>
          </a:extLst>
        </xdr:cNvPr>
        <xdr:cNvSpPr/>
      </xdr:nvSpPr>
      <xdr:spPr>
        <a:xfrm>
          <a:off x="16882652" y="3289300"/>
          <a:ext cx="91870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3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3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3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976</a:t>
          </a:r>
        </a:p>
      </xdr:txBody>
    </xdr:sp>
    <xdr:clientData/>
  </xdr:twoCellAnchor>
  <xdr:twoCellAnchor>
    <xdr:from>
      <xdr:col>16</xdr:col>
      <xdr:colOff>5101459</xdr:colOff>
      <xdr:row>16</xdr:row>
      <xdr:rowOff>12700</xdr:rowOff>
    </xdr:from>
    <xdr:to>
      <xdr:col>16</xdr:col>
      <xdr:colOff>5758985</xdr:colOff>
      <xdr:row>16</xdr:row>
      <xdr:rowOff>177800</xdr:rowOff>
    </xdr:to>
    <xdr:sp macro="" textlink="">
      <xdr:nvSpPr>
        <xdr:cNvPr id="169064" name="Скругленный прямоугольник 169063">
          <a:extLst>
            <a:ext uri="{FF2B5EF4-FFF2-40B4-BE49-F238E27FC236}">
              <a16:creationId xmlns:a16="http://schemas.microsoft.com/office/drawing/2014/main" id="{00000000-0008-0000-0600-000068940200}"/>
            </a:ext>
          </a:extLst>
        </xdr:cNvPr>
        <xdr:cNvSpPr/>
      </xdr:nvSpPr>
      <xdr:spPr>
        <a:xfrm>
          <a:off x="17836384" y="3289300"/>
          <a:ext cx="65752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706</a:t>
          </a:r>
        </a:p>
      </xdr:txBody>
    </xdr:sp>
    <xdr:clientData/>
  </xdr:twoCellAnchor>
  <xdr:twoCellAnchor>
    <xdr:from>
      <xdr:col>16</xdr:col>
      <xdr:colOff>0</xdr:colOff>
      <xdr:row>17</xdr:row>
      <xdr:rowOff>12700</xdr:rowOff>
    </xdr:from>
    <xdr:to>
      <xdr:col>16</xdr:col>
      <xdr:colOff>1450725</xdr:colOff>
      <xdr:row>17</xdr:row>
      <xdr:rowOff>177800</xdr:rowOff>
    </xdr:to>
    <xdr:sp macro="" textlink="">
      <xdr:nvSpPr>
        <xdr:cNvPr id="169065" name="Скругленный прямоугольник 169064">
          <a:extLst>
            <a:ext uri="{FF2B5EF4-FFF2-40B4-BE49-F238E27FC236}">
              <a16:creationId xmlns:a16="http://schemas.microsoft.com/office/drawing/2014/main" id="{00000000-0008-0000-0600-000069940200}"/>
            </a:ext>
          </a:extLst>
        </xdr:cNvPr>
        <xdr:cNvSpPr/>
      </xdr:nvSpPr>
      <xdr:spPr>
        <a:xfrm>
          <a:off x="12734925" y="3479800"/>
          <a:ext cx="14507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7C" mc:Ignorable="a14" a14:legacySpreadsheetColorIndex="1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CB" mc:Ignorable="a14" a14:legacySpreadsheetColorIndex="1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00" mc:Ignorable="a14" a14:legacySpreadsheetColorIndex="1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1485756</xdr:colOff>
      <xdr:row>17</xdr:row>
      <xdr:rowOff>12700</xdr:rowOff>
    </xdr:from>
    <xdr:to>
      <xdr:col>16</xdr:col>
      <xdr:colOff>2830077</xdr:colOff>
      <xdr:row>17</xdr:row>
      <xdr:rowOff>177800</xdr:rowOff>
    </xdr:to>
    <xdr:sp macro="" textlink="">
      <xdr:nvSpPr>
        <xdr:cNvPr id="169066" name="Скругленный прямоугольник 169065">
          <a:extLst>
            <a:ext uri="{FF2B5EF4-FFF2-40B4-BE49-F238E27FC236}">
              <a16:creationId xmlns:a16="http://schemas.microsoft.com/office/drawing/2014/main" id="{00000000-0008-0000-0600-00006A940200}"/>
            </a:ext>
          </a:extLst>
        </xdr:cNvPr>
        <xdr:cNvSpPr/>
      </xdr:nvSpPr>
      <xdr:spPr>
        <a:xfrm>
          <a:off x="14220681" y="3479800"/>
          <a:ext cx="134432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8383" mc:Ignorable="a14" a14:legacySpreadsheetColorIndex="6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CDCD" mc:Ignorable="a14" a14:legacySpreadsheetColorIndex="6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1E1E" mc:Ignorable="a14" a14:legacySpreadsheetColorIndex="6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1416</a:t>
          </a:r>
        </a:p>
      </xdr:txBody>
    </xdr:sp>
    <xdr:clientData/>
  </xdr:twoCellAnchor>
  <xdr:twoCellAnchor>
    <xdr:from>
      <xdr:col>16</xdr:col>
      <xdr:colOff>2865107</xdr:colOff>
      <xdr:row>17</xdr:row>
      <xdr:rowOff>12700</xdr:rowOff>
    </xdr:from>
    <xdr:to>
      <xdr:col>16</xdr:col>
      <xdr:colOff>4103022</xdr:colOff>
      <xdr:row>17</xdr:row>
      <xdr:rowOff>177800</xdr:rowOff>
    </xdr:to>
    <xdr:sp macro="" textlink="">
      <xdr:nvSpPr>
        <xdr:cNvPr id="169067" name="Скругленный прямоугольник 169066">
          <a:extLst>
            <a:ext uri="{FF2B5EF4-FFF2-40B4-BE49-F238E27FC236}">
              <a16:creationId xmlns:a16="http://schemas.microsoft.com/office/drawing/2014/main" id="{00000000-0008-0000-0600-00006B940200}"/>
            </a:ext>
          </a:extLst>
        </xdr:cNvPr>
        <xdr:cNvSpPr/>
      </xdr:nvSpPr>
      <xdr:spPr>
        <a:xfrm>
          <a:off x="15600032" y="34798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6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6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6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4138054</xdr:colOff>
      <xdr:row>17</xdr:row>
      <xdr:rowOff>12700</xdr:rowOff>
    </xdr:from>
    <xdr:to>
      <xdr:col>16</xdr:col>
      <xdr:colOff>5095449</xdr:colOff>
      <xdr:row>17</xdr:row>
      <xdr:rowOff>177800</xdr:rowOff>
    </xdr:to>
    <xdr:sp macro="" textlink="">
      <xdr:nvSpPr>
        <xdr:cNvPr id="169068" name="Скругленный прямоугольник 169067">
          <a:extLst>
            <a:ext uri="{FF2B5EF4-FFF2-40B4-BE49-F238E27FC236}">
              <a16:creationId xmlns:a16="http://schemas.microsoft.com/office/drawing/2014/main" id="{00000000-0008-0000-0600-00006C940200}"/>
            </a:ext>
          </a:extLst>
        </xdr:cNvPr>
        <xdr:cNvSpPr/>
      </xdr:nvSpPr>
      <xdr:spPr>
        <a:xfrm>
          <a:off x="16872979" y="3479800"/>
          <a:ext cx="95739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A4" mc:Ignorable="a14" a14:legacySpreadsheetColorIndex="3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D8" mc:Ignorable="a14" a14:legacySpreadsheetColorIndex="3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53" mc:Ignorable="a14" a14:legacySpreadsheetColorIndex="3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1016</a:t>
          </a:r>
        </a:p>
      </xdr:txBody>
    </xdr:sp>
    <xdr:clientData/>
  </xdr:twoCellAnchor>
  <xdr:twoCellAnchor>
    <xdr:from>
      <xdr:col>16</xdr:col>
      <xdr:colOff>5130478</xdr:colOff>
      <xdr:row>17</xdr:row>
      <xdr:rowOff>12700</xdr:rowOff>
    </xdr:from>
    <xdr:to>
      <xdr:col>16</xdr:col>
      <xdr:colOff>5758983</xdr:colOff>
      <xdr:row>17</xdr:row>
      <xdr:rowOff>177800</xdr:rowOff>
    </xdr:to>
    <xdr:sp macro="" textlink="">
      <xdr:nvSpPr>
        <xdr:cNvPr id="169069" name="Скругленный прямоугольник 169068">
          <a:extLst>
            <a:ext uri="{FF2B5EF4-FFF2-40B4-BE49-F238E27FC236}">
              <a16:creationId xmlns:a16="http://schemas.microsoft.com/office/drawing/2014/main" id="{00000000-0008-0000-0600-00006D940200}"/>
            </a:ext>
          </a:extLst>
        </xdr:cNvPr>
        <xdr:cNvSpPr/>
      </xdr:nvSpPr>
      <xdr:spPr>
        <a:xfrm>
          <a:off x="17865403" y="3479800"/>
          <a:ext cx="62850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676</a:t>
          </a:r>
        </a:p>
      </xdr:txBody>
    </xdr:sp>
    <xdr:clientData/>
  </xdr:twoCellAnchor>
  <xdr:twoCellAnchor>
    <xdr:from>
      <xdr:col>16</xdr:col>
      <xdr:colOff>0</xdr:colOff>
      <xdr:row>18</xdr:row>
      <xdr:rowOff>12700</xdr:rowOff>
    </xdr:from>
    <xdr:to>
      <xdr:col>16</xdr:col>
      <xdr:colOff>1450725</xdr:colOff>
      <xdr:row>18</xdr:row>
      <xdr:rowOff>177800</xdr:rowOff>
    </xdr:to>
    <xdr:sp macro="" textlink="">
      <xdr:nvSpPr>
        <xdr:cNvPr id="169070" name="Скругленный прямоугольник 169069">
          <a:extLst>
            <a:ext uri="{FF2B5EF4-FFF2-40B4-BE49-F238E27FC236}">
              <a16:creationId xmlns:a16="http://schemas.microsoft.com/office/drawing/2014/main" id="{00000000-0008-0000-0600-00006E940200}"/>
            </a:ext>
          </a:extLst>
        </xdr:cNvPr>
        <xdr:cNvSpPr/>
      </xdr:nvSpPr>
      <xdr:spPr>
        <a:xfrm>
          <a:off x="12734925" y="3670300"/>
          <a:ext cx="14507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7C" mc:Ignorable="a14" a14:legacySpreadsheetColorIndex="1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CB" mc:Ignorable="a14" a14:legacySpreadsheetColorIndex="1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00" mc:Ignorable="a14" a14:legacySpreadsheetColorIndex="1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1485756</xdr:colOff>
      <xdr:row>18</xdr:row>
      <xdr:rowOff>12700</xdr:rowOff>
    </xdr:from>
    <xdr:to>
      <xdr:col>16</xdr:col>
      <xdr:colOff>2917135</xdr:colOff>
      <xdr:row>18</xdr:row>
      <xdr:rowOff>177800</xdr:rowOff>
    </xdr:to>
    <xdr:sp macro="" textlink="">
      <xdr:nvSpPr>
        <xdr:cNvPr id="169071" name="Скругленный прямоугольник 169070">
          <a:extLst>
            <a:ext uri="{FF2B5EF4-FFF2-40B4-BE49-F238E27FC236}">
              <a16:creationId xmlns:a16="http://schemas.microsoft.com/office/drawing/2014/main" id="{00000000-0008-0000-0600-00006F940200}"/>
            </a:ext>
          </a:extLst>
        </xdr:cNvPr>
        <xdr:cNvSpPr/>
      </xdr:nvSpPr>
      <xdr:spPr>
        <a:xfrm>
          <a:off x="14220681" y="3670300"/>
          <a:ext cx="14313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83B4" mc:Ignorable="a14" a14:legacySpreadsheetColorIndex="6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CDDE" mc:Ignorable="a14" a14:legacySpreadsheetColorIndex="6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1E64" mc:Ignorable="a14" a14:legacySpreadsheetColorIndex="6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1506</a:t>
          </a:r>
        </a:p>
      </xdr:txBody>
    </xdr:sp>
    <xdr:clientData/>
  </xdr:twoCellAnchor>
  <xdr:twoCellAnchor>
    <xdr:from>
      <xdr:col>16</xdr:col>
      <xdr:colOff>2952166</xdr:colOff>
      <xdr:row>18</xdr:row>
      <xdr:rowOff>12700</xdr:rowOff>
    </xdr:from>
    <xdr:to>
      <xdr:col>16</xdr:col>
      <xdr:colOff>3870866</xdr:colOff>
      <xdr:row>18</xdr:row>
      <xdr:rowOff>177800</xdr:rowOff>
    </xdr:to>
    <xdr:sp macro="" textlink="">
      <xdr:nvSpPr>
        <xdr:cNvPr id="169072" name="Скругленный прямоугольник 169071">
          <a:extLst>
            <a:ext uri="{FF2B5EF4-FFF2-40B4-BE49-F238E27FC236}">
              <a16:creationId xmlns:a16="http://schemas.microsoft.com/office/drawing/2014/main" id="{00000000-0008-0000-0600-000070940200}"/>
            </a:ext>
          </a:extLst>
        </xdr:cNvPr>
        <xdr:cNvSpPr/>
      </xdr:nvSpPr>
      <xdr:spPr>
        <a:xfrm>
          <a:off x="15687091" y="3670300"/>
          <a:ext cx="91870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3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3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3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976</a:t>
          </a:r>
        </a:p>
      </xdr:txBody>
    </xdr:sp>
    <xdr:clientData/>
  </xdr:twoCellAnchor>
  <xdr:twoCellAnchor>
    <xdr:from>
      <xdr:col>16</xdr:col>
      <xdr:colOff>3905898</xdr:colOff>
      <xdr:row>18</xdr:row>
      <xdr:rowOff>12700</xdr:rowOff>
    </xdr:from>
    <xdr:to>
      <xdr:col>16</xdr:col>
      <xdr:colOff>4824599</xdr:colOff>
      <xdr:row>18</xdr:row>
      <xdr:rowOff>177800</xdr:rowOff>
    </xdr:to>
    <xdr:sp macro="" textlink="">
      <xdr:nvSpPr>
        <xdr:cNvPr id="169073" name="Скругленный прямоугольник 169072">
          <a:extLst>
            <a:ext uri="{FF2B5EF4-FFF2-40B4-BE49-F238E27FC236}">
              <a16:creationId xmlns:a16="http://schemas.microsoft.com/office/drawing/2014/main" id="{00000000-0008-0000-0600-000071940200}"/>
            </a:ext>
          </a:extLst>
        </xdr:cNvPr>
        <xdr:cNvSpPr/>
      </xdr:nvSpPr>
      <xdr:spPr>
        <a:xfrm>
          <a:off x="16640823" y="3670300"/>
          <a:ext cx="91870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3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3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3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976</a:t>
          </a:r>
        </a:p>
      </xdr:txBody>
    </xdr:sp>
    <xdr:clientData/>
  </xdr:twoCellAnchor>
  <xdr:twoCellAnchor>
    <xdr:from>
      <xdr:col>16</xdr:col>
      <xdr:colOff>4859629</xdr:colOff>
      <xdr:row>18</xdr:row>
      <xdr:rowOff>12700</xdr:rowOff>
    </xdr:from>
    <xdr:to>
      <xdr:col>16</xdr:col>
      <xdr:colOff>5758983</xdr:colOff>
      <xdr:row>18</xdr:row>
      <xdr:rowOff>177800</xdr:rowOff>
    </xdr:to>
    <xdr:sp macro="" textlink="">
      <xdr:nvSpPr>
        <xdr:cNvPr id="169184" name="Скругленный прямоугольник 169183">
          <a:extLst>
            <a:ext uri="{FF2B5EF4-FFF2-40B4-BE49-F238E27FC236}">
              <a16:creationId xmlns:a16="http://schemas.microsoft.com/office/drawing/2014/main" id="{00000000-0008-0000-0600-0000E0940200}"/>
            </a:ext>
          </a:extLst>
        </xdr:cNvPr>
        <xdr:cNvSpPr/>
      </xdr:nvSpPr>
      <xdr:spPr>
        <a:xfrm>
          <a:off x="17594554" y="3670300"/>
          <a:ext cx="89935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956</a:t>
          </a:r>
        </a:p>
      </xdr:txBody>
    </xdr:sp>
    <xdr:clientData/>
  </xdr:twoCellAnchor>
  <xdr:twoCellAnchor>
    <xdr:from>
      <xdr:col>16</xdr:col>
      <xdr:colOff>0</xdr:colOff>
      <xdr:row>19</xdr:row>
      <xdr:rowOff>12700</xdr:rowOff>
    </xdr:from>
    <xdr:to>
      <xdr:col>16</xdr:col>
      <xdr:colOff>1450725</xdr:colOff>
      <xdr:row>19</xdr:row>
      <xdr:rowOff>177800</xdr:rowOff>
    </xdr:to>
    <xdr:sp macro="" textlink="">
      <xdr:nvSpPr>
        <xdr:cNvPr id="169185" name="Скругленный прямоугольник 169184">
          <a:extLst>
            <a:ext uri="{FF2B5EF4-FFF2-40B4-BE49-F238E27FC236}">
              <a16:creationId xmlns:a16="http://schemas.microsoft.com/office/drawing/2014/main" id="{00000000-0008-0000-0600-0000E1940200}"/>
            </a:ext>
          </a:extLst>
        </xdr:cNvPr>
        <xdr:cNvSpPr/>
      </xdr:nvSpPr>
      <xdr:spPr>
        <a:xfrm>
          <a:off x="12734925" y="3860800"/>
          <a:ext cx="14507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7C" mc:Ignorable="a14" a14:legacySpreadsheetColorIndex="1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CB" mc:Ignorable="a14" a14:legacySpreadsheetColorIndex="1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00" mc:Ignorable="a14" a14:legacySpreadsheetColorIndex="1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1485756</xdr:colOff>
      <xdr:row>19</xdr:row>
      <xdr:rowOff>12700</xdr:rowOff>
    </xdr:from>
    <xdr:to>
      <xdr:col>16</xdr:col>
      <xdr:colOff>2936481</xdr:colOff>
      <xdr:row>19</xdr:row>
      <xdr:rowOff>177800</xdr:rowOff>
    </xdr:to>
    <xdr:sp macro="" textlink="">
      <xdr:nvSpPr>
        <xdr:cNvPr id="169186" name="Скругленный прямоугольник 169185">
          <a:extLst>
            <a:ext uri="{FF2B5EF4-FFF2-40B4-BE49-F238E27FC236}">
              <a16:creationId xmlns:a16="http://schemas.microsoft.com/office/drawing/2014/main" id="{00000000-0008-0000-0600-0000E2940200}"/>
            </a:ext>
          </a:extLst>
        </xdr:cNvPr>
        <xdr:cNvSpPr/>
      </xdr:nvSpPr>
      <xdr:spPr>
        <a:xfrm>
          <a:off x="14220681" y="3860800"/>
          <a:ext cx="14507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7C" mc:Ignorable="a14" a14:legacySpreadsheetColorIndex="1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CB" mc:Ignorable="a14" a14:legacySpreadsheetColorIndex="1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00" mc:Ignorable="a14" a14:legacySpreadsheetColorIndex="1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2971512</xdr:colOff>
      <xdr:row>19</xdr:row>
      <xdr:rowOff>12700</xdr:rowOff>
    </xdr:from>
    <xdr:to>
      <xdr:col>16</xdr:col>
      <xdr:colOff>4296485</xdr:colOff>
      <xdr:row>19</xdr:row>
      <xdr:rowOff>177800</xdr:rowOff>
    </xdr:to>
    <xdr:sp macro="" textlink="">
      <xdr:nvSpPr>
        <xdr:cNvPr id="169187" name="Скругленный прямоугольник 169186">
          <a:extLst>
            <a:ext uri="{FF2B5EF4-FFF2-40B4-BE49-F238E27FC236}">
              <a16:creationId xmlns:a16="http://schemas.microsoft.com/office/drawing/2014/main" id="{00000000-0008-0000-0600-0000E3940200}"/>
            </a:ext>
          </a:extLst>
        </xdr:cNvPr>
        <xdr:cNvSpPr/>
      </xdr:nvSpPr>
      <xdr:spPr>
        <a:xfrm>
          <a:off x="15706437" y="3860800"/>
          <a:ext cx="132497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6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6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6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1396</a:t>
          </a:r>
        </a:p>
      </xdr:txBody>
    </xdr:sp>
    <xdr:clientData/>
  </xdr:twoCellAnchor>
  <xdr:twoCellAnchor>
    <xdr:from>
      <xdr:col>16</xdr:col>
      <xdr:colOff>4331517</xdr:colOff>
      <xdr:row>19</xdr:row>
      <xdr:rowOff>12700</xdr:rowOff>
    </xdr:from>
    <xdr:to>
      <xdr:col>16</xdr:col>
      <xdr:colOff>5085775</xdr:colOff>
      <xdr:row>19</xdr:row>
      <xdr:rowOff>177800</xdr:rowOff>
    </xdr:to>
    <xdr:sp macro="" textlink="">
      <xdr:nvSpPr>
        <xdr:cNvPr id="169188" name="Скругленный прямоугольник 169187">
          <a:extLst>
            <a:ext uri="{FF2B5EF4-FFF2-40B4-BE49-F238E27FC236}">
              <a16:creationId xmlns:a16="http://schemas.microsoft.com/office/drawing/2014/main" id="{00000000-0008-0000-0600-0000E4940200}"/>
            </a:ext>
          </a:extLst>
        </xdr:cNvPr>
        <xdr:cNvSpPr/>
      </xdr:nvSpPr>
      <xdr:spPr>
        <a:xfrm>
          <a:off x="17066442" y="3860800"/>
          <a:ext cx="75425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D7FF" mc:Ignorable="a14" a14:legacySpreadsheetColorIndex="4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ECFF" mc:Ignorable="a14" a14:legacySpreadsheetColorIndex="4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87AA" mc:Ignorable="a14" a14:legacySpreadsheetColorIndex="4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806</a:t>
          </a:r>
        </a:p>
      </xdr:txBody>
    </xdr:sp>
    <xdr:clientData/>
  </xdr:twoCellAnchor>
  <xdr:twoCellAnchor>
    <xdr:from>
      <xdr:col>16</xdr:col>
      <xdr:colOff>5120805</xdr:colOff>
      <xdr:row>19</xdr:row>
      <xdr:rowOff>12700</xdr:rowOff>
    </xdr:from>
    <xdr:to>
      <xdr:col>16</xdr:col>
      <xdr:colOff>5758985</xdr:colOff>
      <xdr:row>19</xdr:row>
      <xdr:rowOff>177800</xdr:rowOff>
    </xdr:to>
    <xdr:sp macro="" textlink="">
      <xdr:nvSpPr>
        <xdr:cNvPr id="169189" name="Скругленный прямоугольник 169188">
          <a:extLst>
            <a:ext uri="{FF2B5EF4-FFF2-40B4-BE49-F238E27FC236}">
              <a16:creationId xmlns:a16="http://schemas.microsoft.com/office/drawing/2014/main" id="{00000000-0008-0000-0600-0000E5940200}"/>
            </a:ext>
          </a:extLst>
        </xdr:cNvPr>
        <xdr:cNvSpPr/>
      </xdr:nvSpPr>
      <xdr:spPr>
        <a:xfrm>
          <a:off x="17855730" y="3860800"/>
          <a:ext cx="63818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686</a:t>
          </a:r>
        </a:p>
      </xdr:txBody>
    </xdr:sp>
    <xdr:clientData/>
  </xdr:twoCellAnchor>
  <xdr:twoCellAnchor>
    <xdr:from>
      <xdr:col>16</xdr:col>
      <xdr:colOff>0</xdr:colOff>
      <xdr:row>20</xdr:row>
      <xdr:rowOff>12700</xdr:rowOff>
    </xdr:from>
    <xdr:to>
      <xdr:col>16</xdr:col>
      <xdr:colOff>1499091</xdr:colOff>
      <xdr:row>20</xdr:row>
      <xdr:rowOff>177800</xdr:rowOff>
    </xdr:to>
    <xdr:sp macro="" textlink="">
      <xdr:nvSpPr>
        <xdr:cNvPr id="169190" name="Скругленный прямоугольник 169189">
          <a:extLst>
            <a:ext uri="{FF2B5EF4-FFF2-40B4-BE49-F238E27FC236}">
              <a16:creationId xmlns:a16="http://schemas.microsoft.com/office/drawing/2014/main" id="{00000000-0008-0000-0600-0000E6940200}"/>
            </a:ext>
          </a:extLst>
        </xdr:cNvPr>
        <xdr:cNvSpPr/>
      </xdr:nvSpPr>
      <xdr:spPr>
        <a:xfrm>
          <a:off x="12734925" y="4051300"/>
          <a:ext cx="14990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A4" mc:Ignorable="a14" a14:legacySpreadsheetColorIndex="2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D8" mc:Ignorable="a14" a14:legacySpreadsheetColorIndex="2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53" mc:Ignorable="a14" a14:legacySpreadsheetColorIndex="2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1576</a:t>
          </a:r>
        </a:p>
      </xdr:txBody>
    </xdr:sp>
    <xdr:clientData/>
  </xdr:twoCellAnchor>
  <xdr:twoCellAnchor>
    <xdr:from>
      <xdr:col>16</xdr:col>
      <xdr:colOff>1534122</xdr:colOff>
      <xdr:row>20</xdr:row>
      <xdr:rowOff>12700</xdr:rowOff>
    </xdr:from>
    <xdr:to>
      <xdr:col>16</xdr:col>
      <xdr:colOff>2965501</xdr:colOff>
      <xdr:row>20</xdr:row>
      <xdr:rowOff>177800</xdr:rowOff>
    </xdr:to>
    <xdr:sp macro="" textlink="">
      <xdr:nvSpPr>
        <xdr:cNvPr id="169191" name="Скругленный прямоугольник 169190">
          <a:extLst>
            <a:ext uri="{FF2B5EF4-FFF2-40B4-BE49-F238E27FC236}">
              <a16:creationId xmlns:a16="http://schemas.microsoft.com/office/drawing/2014/main" id="{00000000-0008-0000-0600-0000E7940200}"/>
            </a:ext>
          </a:extLst>
        </xdr:cNvPr>
        <xdr:cNvSpPr/>
      </xdr:nvSpPr>
      <xdr:spPr>
        <a:xfrm>
          <a:off x="14269047" y="4051300"/>
          <a:ext cx="14313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83B4" mc:Ignorable="a14" a14:legacySpreadsheetColorIndex="6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CDDE" mc:Ignorable="a14" a14:legacySpreadsheetColorIndex="6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1E64" mc:Ignorable="a14" a14:legacySpreadsheetColorIndex="6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1506</a:t>
          </a:r>
        </a:p>
      </xdr:txBody>
    </xdr:sp>
    <xdr:clientData/>
  </xdr:twoCellAnchor>
  <xdr:twoCellAnchor>
    <xdr:from>
      <xdr:col>16</xdr:col>
      <xdr:colOff>3000532</xdr:colOff>
      <xdr:row>20</xdr:row>
      <xdr:rowOff>12700</xdr:rowOff>
    </xdr:from>
    <xdr:to>
      <xdr:col>16</xdr:col>
      <xdr:colOff>4112696</xdr:colOff>
      <xdr:row>20</xdr:row>
      <xdr:rowOff>177800</xdr:rowOff>
    </xdr:to>
    <xdr:sp macro="" textlink="">
      <xdr:nvSpPr>
        <xdr:cNvPr id="169192" name="Скругленный прямоугольник 169191">
          <a:extLst>
            <a:ext uri="{FF2B5EF4-FFF2-40B4-BE49-F238E27FC236}">
              <a16:creationId xmlns:a16="http://schemas.microsoft.com/office/drawing/2014/main" id="{00000000-0008-0000-0600-0000E8940200}"/>
            </a:ext>
          </a:extLst>
        </xdr:cNvPr>
        <xdr:cNvSpPr/>
      </xdr:nvSpPr>
      <xdr:spPr>
        <a:xfrm>
          <a:off x="15735457" y="4051300"/>
          <a:ext cx="111216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3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3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3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1176</a:t>
          </a:r>
        </a:p>
      </xdr:txBody>
    </xdr:sp>
    <xdr:clientData/>
  </xdr:twoCellAnchor>
  <xdr:twoCellAnchor>
    <xdr:from>
      <xdr:col>16</xdr:col>
      <xdr:colOff>4147727</xdr:colOff>
      <xdr:row>20</xdr:row>
      <xdr:rowOff>12700</xdr:rowOff>
    </xdr:from>
    <xdr:to>
      <xdr:col>16</xdr:col>
      <xdr:colOff>4940677</xdr:colOff>
      <xdr:row>20</xdr:row>
      <xdr:rowOff>177800</xdr:rowOff>
    </xdr:to>
    <xdr:sp macro="" textlink="">
      <xdr:nvSpPr>
        <xdr:cNvPr id="169193" name="Скругленный прямоугольник 169192">
          <a:extLst>
            <a:ext uri="{FF2B5EF4-FFF2-40B4-BE49-F238E27FC236}">
              <a16:creationId xmlns:a16="http://schemas.microsoft.com/office/drawing/2014/main" id="{00000000-0008-0000-0600-0000E9940200}"/>
            </a:ext>
          </a:extLst>
        </xdr:cNvPr>
        <xdr:cNvSpPr/>
      </xdr:nvSpPr>
      <xdr:spPr>
        <a:xfrm>
          <a:off x="16882652" y="4051300"/>
          <a:ext cx="79295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FF" mc:Ignorable="a14" a14:legacySpreadsheetColorIndex="4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FF" mc:Ignorable="a14" a14:legacySpreadsheetColorIndex="4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AA" mc:Ignorable="a14" a14:legacySpreadsheetColorIndex="4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846</a:t>
          </a:r>
        </a:p>
      </xdr:txBody>
    </xdr:sp>
    <xdr:clientData/>
  </xdr:twoCellAnchor>
  <xdr:twoCellAnchor>
    <xdr:from>
      <xdr:col>16</xdr:col>
      <xdr:colOff>4975707</xdr:colOff>
      <xdr:row>20</xdr:row>
      <xdr:rowOff>12700</xdr:rowOff>
    </xdr:from>
    <xdr:to>
      <xdr:col>16</xdr:col>
      <xdr:colOff>5758983</xdr:colOff>
      <xdr:row>20</xdr:row>
      <xdr:rowOff>177800</xdr:rowOff>
    </xdr:to>
    <xdr:sp macro="" textlink="">
      <xdr:nvSpPr>
        <xdr:cNvPr id="169194" name="Скругленный прямоугольник 169193">
          <a:extLst>
            <a:ext uri="{FF2B5EF4-FFF2-40B4-BE49-F238E27FC236}">
              <a16:creationId xmlns:a16="http://schemas.microsoft.com/office/drawing/2014/main" id="{00000000-0008-0000-0600-0000EA940200}"/>
            </a:ext>
          </a:extLst>
        </xdr:cNvPr>
        <xdr:cNvSpPr/>
      </xdr:nvSpPr>
      <xdr:spPr>
        <a:xfrm>
          <a:off x="17710632" y="4051300"/>
          <a:ext cx="78327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D7FF" mc:Ignorable="a14" a14:legacySpreadsheetColorIndex="4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ECFF" mc:Ignorable="a14" a14:legacySpreadsheetColorIndex="4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87AA" mc:Ignorable="a14" a14:legacySpreadsheetColorIndex="4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836</a:t>
          </a:r>
        </a:p>
      </xdr:txBody>
    </xdr:sp>
    <xdr:clientData/>
  </xdr:twoCellAnchor>
  <xdr:twoCellAnchor>
    <xdr:from>
      <xdr:col>16</xdr:col>
      <xdr:colOff>0</xdr:colOff>
      <xdr:row>21</xdr:row>
      <xdr:rowOff>12700</xdr:rowOff>
    </xdr:from>
    <xdr:to>
      <xdr:col>16</xdr:col>
      <xdr:colOff>1818306</xdr:colOff>
      <xdr:row>21</xdr:row>
      <xdr:rowOff>177800</xdr:rowOff>
    </xdr:to>
    <xdr:sp macro="" textlink="">
      <xdr:nvSpPr>
        <xdr:cNvPr id="169195" name="Скругленный прямоугольник 169194">
          <a:extLst>
            <a:ext uri="{FF2B5EF4-FFF2-40B4-BE49-F238E27FC236}">
              <a16:creationId xmlns:a16="http://schemas.microsoft.com/office/drawing/2014/main" id="{00000000-0008-0000-0600-0000EB940200}"/>
            </a:ext>
          </a:extLst>
        </xdr:cNvPr>
        <xdr:cNvSpPr/>
      </xdr:nvSpPr>
      <xdr:spPr>
        <a:xfrm>
          <a:off x="12734925" y="4241800"/>
          <a:ext cx="181830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7C" mc:Ignorable="a14" a14:legacySpreadsheetColorIndex="6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CB" mc:Ignorable="a14" a14:legacySpreadsheetColorIndex="6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00" mc:Ignorable="a14" a14:legacySpreadsheetColorIndex="6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1906</a:t>
          </a:r>
        </a:p>
      </xdr:txBody>
    </xdr:sp>
    <xdr:clientData/>
  </xdr:twoCellAnchor>
  <xdr:twoCellAnchor>
    <xdr:from>
      <xdr:col>16</xdr:col>
      <xdr:colOff>1853336</xdr:colOff>
      <xdr:row>21</xdr:row>
      <xdr:rowOff>12700</xdr:rowOff>
    </xdr:from>
    <xdr:to>
      <xdr:col>16</xdr:col>
      <xdr:colOff>3091252</xdr:colOff>
      <xdr:row>21</xdr:row>
      <xdr:rowOff>177800</xdr:rowOff>
    </xdr:to>
    <xdr:sp macro="" textlink="">
      <xdr:nvSpPr>
        <xdr:cNvPr id="169196" name="Скругленный прямоугольник 169195">
          <a:extLst>
            <a:ext uri="{FF2B5EF4-FFF2-40B4-BE49-F238E27FC236}">
              <a16:creationId xmlns:a16="http://schemas.microsoft.com/office/drawing/2014/main" id="{00000000-0008-0000-0600-0000EC940200}"/>
            </a:ext>
          </a:extLst>
        </xdr:cNvPr>
        <xdr:cNvSpPr/>
      </xdr:nvSpPr>
      <xdr:spPr>
        <a:xfrm>
          <a:off x="14588261" y="4241800"/>
          <a:ext cx="123791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6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6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6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3126282</xdr:colOff>
      <xdr:row>21</xdr:row>
      <xdr:rowOff>12700</xdr:rowOff>
    </xdr:from>
    <xdr:to>
      <xdr:col>16</xdr:col>
      <xdr:colOff>4257793</xdr:colOff>
      <xdr:row>21</xdr:row>
      <xdr:rowOff>177800</xdr:rowOff>
    </xdr:to>
    <xdr:sp macro="" textlink="">
      <xdr:nvSpPr>
        <xdr:cNvPr id="169197" name="Скругленный прямоугольник 169196">
          <a:extLst>
            <a:ext uri="{FF2B5EF4-FFF2-40B4-BE49-F238E27FC236}">
              <a16:creationId xmlns:a16="http://schemas.microsoft.com/office/drawing/2014/main" id="{00000000-0008-0000-0600-0000ED940200}"/>
            </a:ext>
          </a:extLst>
        </xdr:cNvPr>
        <xdr:cNvSpPr/>
      </xdr:nvSpPr>
      <xdr:spPr>
        <a:xfrm>
          <a:off x="15861207" y="4241800"/>
          <a:ext cx="113151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D7FF" mc:Ignorable="a14" a14:legacySpreadsheetColorIndex="3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ECFF" mc:Ignorable="a14" a14:legacySpreadsheetColorIndex="3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87AA" mc:Ignorable="a14" a14:legacySpreadsheetColorIndex="3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1196</a:t>
          </a:r>
        </a:p>
      </xdr:txBody>
    </xdr:sp>
    <xdr:clientData/>
  </xdr:twoCellAnchor>
  <xdr:twoCellAnchor>
    <xdr:from>
      <xdr:col>16</xdr:col>
      <xdr:colOff>4292825</xdr:colOff>
      <xdr:row>21</xdr:row>
      <xdr:rowOff>12700</xdr:rowOff>
    </xdr:from>
    <xdr:to>
      <xdr:col>16</xdr:col>
      <xdr:colOff>5105121</xdr:colOff>
      <xdr:row>21</xdr:row>
      <xdr:rowOff>177800</xdr:rowOff>
    </xdr:to>
    <xdr:sp macro="" textlink="">
      <xdr:nvSpPr>
        <xdr:cNvPr id="169198" name="Скругленный прямоугольник 169197">
          <a:extLst>
            <a:ext uri="{FF2B5EF4-FFF2-40B4-BE49-F238E27FC236}">
              <a16:creationId xmlns:a16="http://schemas.microsoft.com/office/drawing/2014/main" id="{00000000-0008-0000-0600-0000EE940200}"/>
            </a:ext>
          </a:extLst>
        </xdr:cNvPr>
        <xdr:cNvSpPr/>
      </xdr:nvSpPr>
      <xdr:spPr>
        <a:xfrm>
          <a:off x="17027750" y="4241800"/>
          <a:ext cx="81229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0E0" mc:Ignorable="a14" a14:legacySpreadsheetColorIndex="7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6F0" mc:Ignorable="a14" a14:legacySpreadsheetColorIndex="7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D8E" mc:Ignorable="a14" a14:legacySpreadsheetColorIndex="7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866</a:t>
          </a:r>
        </a:p>
      </xdr:txBody>
    </xdr:sp>
    <xdr:clientData/>
  </xdr:twoCellAnchor>
  <xdr:twoCellAnchor>
    <xdr:from>
      <xdr:col>16</xdr:col>
      <xdr:colOff>5140151</xdr:colOff>
      <xdr:row>21</xdr:row>
      <xdr:rowOff>12700</xdr:rowOff>
    </xdr:from>
    <xdr:to>
      <xdr:col>16</xdr:col>
      <xdr:colOff>5758985</xdr:colOff>
      <xdr:row>21</xdr:row>
      <xdr:rowOff>177800</xdr:rowOff>
    </xdr:to>
    <xdr:sp macro="" textlink="">
      <xdr:nvSpPr>
        <xdr:cNvPr id="169199" name="Скругленный прямоугольник 169198">
          <a:extLst>
            <a:ext uri="{FF2B5EF4-FFF2-40B4-BE49-F238E27FC236}">
              <a16:creationId xmlns:a16="http://schemas.microsoft.com/office/drawing/2014/main" id="{00000000-0008-0000-0600-0000EF940200}"/>
            </a:ext>
          </a:extLst>
        </xdr:cNvPr>
        <xdr:cNvSpPr/>
      </xdr:nvSpPr>
      <xdr:spPr>
        <a:xfrm>
          <a:off x="17875076" y="4241800"/>
          <a:ext cx="61883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48484" mc:Ignorable="a14" a14:legacySpreadsheetColorIndex="7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ECECE" mc:Ignorable="a14" a14:legacySpreadsheetColorIndex="7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212121" mc:Ignorable="a14" a14:legacySpreadsheetColorIndex="7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666</a:t>
          </a:r>
        </a:p>
      </xdr:txBody>
    </xdr:sp>
    <xdr:clientData/>
  </xdr:twoCellAnchor>
  <xdr:twoCellAnchor>
    <xdr:from>
      <xdr:col>16</xdr:col>
      <xdr:colOff>0</xdr:colOff>
      <xdr:row>22</xdr:row>
      <xdr:rowOff>12700</xdr:rowOff>
    </xdr:from>
    <xdr:to>
      <xdr:col>16</xdr:col>
      <xdr:colOff>1847324</xdr:colOff>
      <xdr:row>22</xdr:row>
      <xdr:rowOff>177800</xdr:rowOff>
    </xdr:to>
    <xdr:sp macro="" textlink="">
      <xdr:nvSpPr>
        <xdr:cNvPr id="169200" name="Скругленный прямоугольник 169199">
          <a:extLst>
            <a:ext uri="{FF2B5EF4-FFF2-40B4-BE49-F238E27FC236}">
              <a16:creationId xmlns:a16="http://schemas.microsoft.com/office/drawing/2014/main" id="{00000000-0008-0000-0600-0000F0940200}"/>
            </a:ext>
          </a:extLst>
        </xdr:cNvPr>
        <xdr:cNvSpPr/>
      </xdr:nvSpPr>
      <xdr:spPr>
        <a:xfrm>
          <a:off x="12734925" y="4432300"/>
          <a:ext cx="184732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1936</a:t>
          </a:r>
        </a:p>
      </xdr:txBody>
    </xdr:sp>
    <xdr:clientData/>
  </xdr:twoCellAnchor>
  <xdr:twoCellAnchor>
    <xdr:from>
      <xdr:col>16</xdr:col>
      <xdr:colOff>1882356</xdr:colOff>
      <xdr:row>22</xdr:row>
      <xdr:rowOff>12700</xdr:rowOff>
    </xdr:from>
    <xdr:to>
      <xdr:col>16</xdr:col>
      <xdr:colOff>3207330</xdr:colOff>
      <xdr:row>22</xdr:row>
      <xdr:rowOff>177800</xdr:rowOff>
    </xdr:to>
    <xdr:sp macro="" textlink="">
      <xdr:nvSpPr>
        <xdr:cNvPr id="169201" name="Скругленный прямоугольник 169200">
          <a:extLst>
            <a:ext uri="{FF2B5EF4-FFF2-40B4-BE49-F238E27FC236}">
              <a16:creationId xmlns:a16="http://schemas.microsoft.com/office/drawing/2014/main" id="{00000000-0008-0000-0600-0000F1940200}"/>
            </a:ext>
          </a:extLst>
        </xdr:cNvPr>
        <xdr:cNvSpPr/>
      </xdr:nvSpPr>
      <xdr:spPr>
        <a:xfrm>
          <a:off x="14617281" y="4432300"/>
          <a:ext cx="132497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6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6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6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1396</a:t>
          </a:r>
        </a:p>
      </xdr:txBody>
    </xdr:sp>
    <xdr:clientData/>
  </xdr:twoCellAnchor>
  <xdr:twoCellAnchor>
    <xdr:from>
      <xdr:col>16</xdr:col>
      <xdr:colOff>3242360</xdr:colOff>
      <xdr:row>22</xdr:row>
      <xdr:rowOff>12700</xdr:rowOff>
    </xdr:from>
    <xdr:to>
      <xdr:col>16</xdr:col>
      <xdr:colOff>4489949</xdr:colOff>
      <xdr:row>22</xdr:row>
      <xdr:rowOff>177800</xdr:rowOff>
    </xdr:to>
    <xdr:sp macro="" textlink="">
      <xdr:nvSpPr>
        <xdr:cNvPr id="169202" name="Скругленный прямоугольник 169201">
          <a:extLst>
            <a:ext uri="{FF2B5EF4-FFF2-40B4-BE49-F238E27FC236}">
              <a16:creationId xmlns:a16="http://schemas.microsoft.com/office/drawing/2014/main" id="{00000000-0008-0000-0600-0000F2940200}"/>
            </a:ext>
          </a:extLst>
        </xdr:cNvPr>
        <xdr:cNvSpPr/>
      </xdr:nvSpPr>
      <xdr:spPr>
        <a:xfrm>
          <a:off x="15977285" y="4432300"/>
          <a:ext cx="12475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1316</a:t>
          </a:r>
        </a:p>
      </xdr:txBody>
    </xdr:sp>
    <xdr:clientData/>
  </xdr:twoCellAnchor>
  <xdr:twoCellAnchor>
    <xdr:from>
      <xdr:col>16</xdr:col>
      <xdr:colOff>4524980</xdr:colOff>
      <xdr:row>22</xdr:row>
      <xdr:rowOff>12700</xdr:rowOff>
    </xdr:from>
    <xdr:to>
      <xdr:col>16</xdr:col>
      <xdr:colOff>5163159</xdr:colOff>
      <xdr:row>22</xdr:row>
      <xdr:rowOff>177800</xdr:rowOff>
    </xdr:to>
    <xdr:sp macro="" textlink="">
      <xdr:nvSpPr>
        <xdr:cNvPr id="169203" name="Скругленный прямоугольник 169202">
          <a:extLst>
            <a:ext uri="{FF2B5EF4-FFF2-40B4-BE49-F238E27FC236}">
              <a16:creationId xmlns:a16="http://schemas.microsoft.com/office/drawing/2014/main" id="{00000000-0008-0000-0600-0000F3940200}"/>
            </a:ext>
          </a:extLst>
        </xdr:cNvPr>
        <xdr:cNvSpPr/>
      </xdr:nvSpPr>
      <xdr:spPr>
        <a:xfrm>
          <a:off x="17259905" y="4432300"/>
          <a:ext cx="6381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686</a:t>
          </a:r>
        </a:p>
      </xdr:txBody>
    </xdr:sp>
    <xdr:clientData/>
  </xdr:twoCellAnchor>
  <xdr:twoCellAnchor>
    <xdr:from>
      <xdr:col>16</xdr:col>
      <xdr:colOff>5198190</xdr:colOff>
      <xdr:row>22</xdr:row>
      <xdr:rowOff>12700</xdr:rowOff>
    </xdr:from>
    <xdr:to>
      <xdr:col>16</xdr:col>
      <xdr:colOff>5758983</xdr:colOff>
      <xdr:row>22</xdr:row>
      <xdr:rowOff>177800</xdr:rowOff>
    </xdr:to>
    <xdr:sp macro="" textlink="">
      <xdr:nvSpPr>
        <xdr:cNvPr id="169204" name="Скругленный прямоугольник 169203">
          <a:extLst>
            <a:ext uri="{FF2B5EF4-FFF2-40B4-BE49-F238E27FC236}">
              <a16:creationId xmlns:a16="http://schemas.microsoft.com/office/drawing/2014/main" id="{00000000-0008-0000-0600-0000F4940200}"/>
            </a:ext>
          </a:extLst>
        </xdr:cNvPr>
        <xdr:cNvSpPr/>
      </xdr:nvSpPr>
      <xdr:spPr>
        <a:xfrm>
          <a:off x="17933115" y="4432300"/>
          <a:ext cx="56079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D7D7" mc:Ignorable="a14" a14:legacySpreadsheetColorIndex="4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ECEC" mc:Ignorable="a14" a14:legacySpreadsheetColorIndex="4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8787" mc:Ignorable="a14" a14:legacySpreadsheetColorIndex="4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606</a:t>
          </a:r>
        </a:p>
      </xdr:txBody>
    </xdr:sp>
    <xdr:clientData/>
  </xdr:twoCellAnchor>
  <xdr:twoCellAnchor>
    <xdr:from>
      <xdr:col>16</xdr:col>
      <xdr:colOff>0</xdr:colOff>
      <xdr:row>23</xdr:row>
      <xdr:rowOff>12700</xdr:rowOff>
    </xdr:from>
    <xdr:to>
      <xdr:col>16</xdr:col>
      <xdr:colOff>2011769</xdr:colOff>
      <xdr:row>23</xdr:row>
      <xdr:rowOff>177800</xdr:rowOff>
    </xdr:to>
    <xdr:sp macro="" textlink="">
      <xdr:nvSpPr>
        <xdr:cNvPr id="169205" name="Скругленный прямоугольник 169204">
          <a:extLst>
            <a:ext uri="{FF2B5EF4-FFF2-40B4-BE49-F238E27FC236}">
              <a16:creationId xmlns:a16="http://schemas.microsoft.com/office/drawing/2014/main" id="{00000000-0008-0000-0600-0000F5940200}"/>
            </a:ext>
          </a:extLst>
        </xdr:cNvPr>
        <xdr:cNvSpPr/>
      </xdr:nvSpPr>
      <xdr:spPr>
        <a:xfrm>
          <a:off x="12734925" y="4622800"/>
          <a:ext cx="201176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8396" mc:Ignorable="a14" a14:legacySpreadsheetColorIndex="5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DD3" mc:Ignorable="a14" a14:legacySpreadsheetColorIndex="5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1E41" mc:Ignorable="a14" a14:legacySpreadsheetColorIndex="5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2106</a:t>
          </a:r>
        </a:p>
      </xdr:txBody>
    </xdr:sp>
    <xdr:clientData/>
  </xdr:twoCellAnchor>
  <xdr:twoCellAnchor>
    <xdr:from>
      <xdr:col>16</xdr:col>
      <xdr:colOff>2046799</xdr:colOff>
      <xdr:row>23</xdr:row>
      <xdr:rowOff>12700</xdr:rowOff>
    </xdr:from>
    <xdr:to>
      <xdr:col>16</xdr:col>
      <xdr:colOff>3304060</xdr:colOff>
      <xdr:row>23</xdr:row>
      <xdr:rowOff>177800</xdr:rowOff>
    </xdr:to>
    <xdr:sp macro="" textlink="">
      <xdr:nvSpPr>
        <xdr:cNvPr id="169206" name="Скругленный прямоугольник 169205">
          <a:extLst>
            <a:ext uri="{FF2B5EF4-FFF2-40B4-BE49-F238E27FC236}">
              <a16:creationId xmlns:a16="http://schemas.microsoft.com/office/drawing/2014/main" id="{00000000-0008-0000-0600-0000F6940200}"/>
            </a:ext>
          </a:extLst>
        </xdr:cNvPr>
        <xdr:cNvSpPr/>
      </xdr:nvSpPr>
      <xdr:spPr>
        <a:xfrm>
          <a:off x="14781724" y="4622800"/>
          <a:ext cx="12572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6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6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3339092</xdr:colOff>
      <xdr:row>23</xdr:row>
      <xdr:rowOff>12700</xdr:rowOff>
    </xdr:from>
    <xdr:to>
      <xdr:col>16</xdr:col>
      <xdr:colOff>4470603</xdr:colOff>
      <xdr:row>23</xdr:row>
      <xdr:rowOff>177800</xdr:rowOff>
    </xdr:to>
    <xdr:sp macro="" textlink="">
      <xdr:nvSpPr>
        <xdr:cNvPr id="169207" name="Скругленный прямоугольник 169206">
          <a:extLst>
            <a:ext uri="{FF2B5EF4-FFF2-40B4-BE49-F238E27FC236}">
              <a16:creationId xmlns:a16="http://schemas.microsoft.com/office/drawing/2014/main" id="{00000000-0008-0000-0600-0000F7940200}"/>
            </a:ext>
          </a:extLst>
        </xdr:cNvPr>
        <xdr:cNvSpPr/>
      </xdr:nvSpPr>
      <xdr:spPr>
        <a:xfrm>
          <a:off x="16074017" y="4622800"/>
          <a:ext cx="113151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D7FF" mc:Ignorable="a14" a14:legacySpreadsheetColorIndex="3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ECFF" mc:Ignorable="a14" a14:legacySpreadsheetColorIndex="3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87AA" mc:Ignorable="a14" a14:legacySpreadsheetColorIndex="3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1196</a:t>
          </a:r>
        </a:p>
      </xdr:txBody>
    </xdr:sp>
    <xdr:clientData/>
  </xdr:twoCellAnchor>
  <xdr:twoCellAnchor>
    <xdr:from>
      <xdr:col>16</xdr:col>
      <xdr:colOff>4505634</xdr:colOff>
      <xdr:row>23</xdr:row>
      <xdr:rowOff>12700</xdr:rowOff>
    </xdr:from>
    <xdr:to>
      <xdr:col>16</xdr:col>
      <xdr:colOff>5211525</xdr:colOff>
      <xdr:row>23</xdr:row>
      <xdr:rowOff>177800</xdr:rowOff>
    </xdr:to>
    <xdr:sp macro="" textlink="">
      <xdr:nvSpPr>
        <xdr:cNvPr id="169208" name="Скругленный прямоугольник 169207">
          <a:extLst>
            <a:ext uri="{FF2B5EF4-FFF2-40B4-BE49-F238E27FC236}">
              <a16:creationId xmlns:a16="http://schemas.microsoft.com/office/drawing/2014/main" id="{00000000-0008-0000-0600-0000F8940200}"/>
            </a:ext>
          </a:extLst>
        </xdr:cNvPr>
        <xdr:cNvSpPr/>
      </xdr:nvSpPr>
      <xdr:spPr>
        <a:xfrm>
          <a:off x="17240559" y="4622800"/>
          <a:ext cx="7058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B4FF" mc:Ignorable="a14" a14:legacySpreadsheetColorIndex="4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DEFF" mc:Ignorable="a14" a14:legacySpreadsheetColorIndex="4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64AA" mc:Ignorable="a14" a14:legacySpreadsheetColorIndex="4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756</a:t>
          </a:r>
        </a:p>
      </xdr:txBody>
    </xdr:sp>
    <xdr:clientData/>
  </xdr:twoCellAnchor>
  <xdr:twoCellAnchor>
    <xdr:from>
      <xdr:col>16</xdr:col>
      <xdr:colOff>5246556</xdr:colOff>
      <xdr:row>23</xdr:row>
      <xdr:rowOff>12700</xdr:rowOff>
    </xdr:from>
    <xdr:to>
      <xdr:col>16</xdr:col>
      <xdr:colOff>5758983</xdr:colOff>
      <xdr:row>23</xdr:row>
      <xdr:rowOff>177800</xdr:rowOff>
    </xdr:to>
    <xdr:sp macro="" textlink="">
      <xdr:nvSpPr>
        <xdr:cNvPr id="169209" name="Скругленный прямоугольник 169208">
          <a:extLst>
            <a:ext uri="{FF2B5EF4-FFF2-40B4-BE49-F238E27FC236}">
              <a16:creationId xmlns:a16="http://schemas.microsoft.com/office/drawing/2014/main" id="{00000000-0008-0000-0600-0000F9940200}"/>
            </a:ext>
          </a:extLst>
        </xdr:cNvPr>
        <xdr:cNvSpPr/>
      </xdr:nvSpPr>
      <xdr:spPr>
        <a:xfrm>
          <a:off x="17981481" y="4622800"/>
          <a:ext cx="51242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96FF" mc:Ignorable="a14" a14:legacySpreadsheetColorIndex="4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D3FF" mc:Ignorable="a14" a14:legacySpreadsheetColorIndex="4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41AA" mc:Ignorable="a14" a14:legacySpreadsheetColorIndex="4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556</a:t>
          </a:r>
        </a:p>
      </xdr:txBody>
    </xdr:sp>
    <xdr:clientData/>
  </xdr:twoCellAnchor>
  <xdr:twoCellAnchor>
    <xdr:from>
      <xdr:col>16</xdr:col>
      <xdr:colOff>0</xdr:colOff>
      <xdr:row>24</xdr:row>
      <xdr:rowOff>12700</xdr:rowOff>
    </xdr:from>
    <xdr:to>
      <xdr:col>16</xdr:col>
      <xdr:colOff>2040789</xdr:colOff>
      <xdr:row>24</xdr:row>
      <xdr:rowOff>177800</xdr:rowOff>
    </xdr:to>
    <xdr:sp macro="" textlink="">
      <xdr:nvSpPr>
        <xdr:cNvPr id="169210" name="Скругленный прямоугольник 169209">
          <a:extLst>
            <a:ext uri="{FF2B5EF4-FFF2-40B4-BE49-F238E27FC236}">
              <a16:creationId xmlns:a16="http://schemas.microsoft.com/office/drawing/2014/main" id="{00000000-0008-0000-0600-0000FA940200}"/>
            </a:ext>
          </a:extLst>
        </xdr:cNvPr>
        <xdr:cNvSpPr/>
      </xdr:nvSpPr>
      <xdr:spPr>
        <a:xfrm>
          <a:off x="12734925" y="4813300"/>
          <a:ext cx="20407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96B4" mc:Ignorable="a14" a14:legacySpreadsheetColorIndex="5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D3DE" mc:Ignorable="a14" a14:legacySpreadsheetColorIndex="5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4164" mc:Ignorable="a14" a14:legacySpreadsheetColorIndex="5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2136</a:t>
          </a:r>
        </a:p>
      </xdr:txBody>
    </xdr:sp>
    <xdr:clientData/>
  </xdr:twoCellAnchor>
  <xdr:twoCellAnchor>
    <xdr:from>
      <xdr:col>16</xdr:col>
      <xdr:colOff>2075819</xdr:colOff>
      <xdr:row>24</xdr:row>
      <xdr:rowOff>12700</xdr:rowOff>
    </xdr:from>
    <xdr:to>
      <xdr:col>16</xdr:col>
      <xdr:colOff>3139618</xdr:colOff>
      <xdr:row>24</xdr:row>
      <xdr:rowOff>177800</xdr:rowOff>
    </xdr:to>
    <xdr:sp macro="" textlink="">
      <xdr:nvSpPr>
        <xdr:cNvPr id="169211" name="Скругленный прямоугольник 169210">
          <a:extLst>
            <a:ext uri="{FF2B5EF4-FFF2-40B4-BE49-F238E27FC236}">
              <a16:creationId xmlns:a16="http://schemas.microsoft.com/office/drawing/2014/main" id="{00000000-0008-0000-0600-0000FB940200}"/>
            </a:ext>
          </a:extLst>
        </xdr:cNvPr>
        <xdr:cNvSpPr/>
      </xdr:nvSpPr>
      <xdr:spPr>
        <a:xfrm>
          <a:off x="14810744" y="4813300"/>
          <a:ext cx="106379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5D5D5" mc:Ignorable="a14" a14:legacySpreadsheetColorIndex="7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BEBEB" mc:Ignorable="a14" a14:legacySpreadsheetColorIndex="7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48484" mc:Ignorable="a14" a14:legacySpreadsheetColorIndex="7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1126</a:t>
          </a:r>
        </a:p>
      </xdr:txBody>
    </xdr:sp>
    <xdr:clientData/>
  </xdr:twoCellAnchor>
  <xdr:twoCellAnchor>
    <xdr:from>
      <xdr:col>16</xdr:col>
      <xdr:colOff>3174648</xdr:colOff>
      <xdr:row>24</xdr:row>
      <xdr:rowOff>12700</xdr:rowOff>
    </xdr:from>
    <xdr:to>
      <xdr:col>16</xdr:col>
      <xdr:colOff>4180408</xdr:colOff>
      <xdr:row>24</xdr:row>
      <xdr:rowOff>177800</xdr:rowOff>
    </xdr:to>
    <xdr:sp macro="" textlink="">
      <xdr:nvSpPr>
        <xdr:cNvPr id="169212" name="Скругленный прямоугольник 169211">
          <a:extLst>
            <a:ext uri="{FF2B5EF4-FFF2-40B4-BE49-F238E27FC236}">
              <a16:creationId xmlns:a16="http://schemas.microsoft.com/office/drawing/2014/main" id="{00000000-0008-0000-0600-0000FC940200}"/>
            </a:ext>
          </a:extLst>
        </xdr:cNvPr>
        <xdr:cNvSpPr/>
      </xdr:nvSpPr>
      <xdr:spPr>
        <a:xfrm>
          <a:off x="15909573" y="4813300"/>
          <a:ext cx="100576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1066</a:t>
          </a:r>
        </a:p>
      </xdr:txBody>
    </xdr:sp>
    <xdr:clientData/>
  </xdr:twoCellAnchor>
  <xdr:twoCellAnchor>
    <xdr:from>
      <xdr:col>16</xdr:col>
      <xdr:colOff>4215439</xdr:colOff>
      <xdr:row>24</xdr:row>
      <xdr:rowOff>12700</xdr:rowOff>
    </xdr:from>
    <xdr:to>
      <xdr:col>16</xdr:col>
      <xdr:colOff>4998715</xdr:colOff>
      <xdr:row>24</xdr:row>
      <xdr:rowOff>177800</xdr:rowOff>
    </xdr:to>
    <xdr:sp macro="" textlink="">
      <xdr:nvSpPr>
        <xdr:cNvPr id="169213" name="Скругленный прямоугольник 169212">
          <a:extLst>
            <a:ext uri="{FF2B5EF4-FFF2-40B4-BE49-F238E27FC236}">
              <a16:creationId xmlns:a16="http://schemas.microsoft.com/office/drawing/2014/main" id="{00000000-0008-0000-0600-0000FD940200}"/>
            </a:ext>
          </a:extLst>
        </xdr:cNvPr>
        <xdr:cNvSpPr/>
      </xdr:nvSpPr>
      <xdr:spPr>
        <a:xfrm>
          <a:off x="16950364" y="4813300"/>
          <a:ext cx="78327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D7FF" mc:Ignorable="a14" a14:legacySpreadsheetColorIndex="4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ECFF" mc:Ignorable="a14" a14:legacySpreadsheetColorIndex="4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87AA" mc:Ignorable="a14" a14:legacySpreadsheetColorIndex="4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836</a:t>
          </a:r>
        </a:p>
      </xdr:txBody>
    </xdr:sp>
    <xdr:clientData/>
  </xdr:twoCellAnchor>
  <xdr:twoCellAnchor>
    <xdr:from>
      <xdr:col>16</xdr:col>
      <xdr:colOff>5033747</xdr:colOff>
      <xdr:row>24</xdr:row>
      <xdr:rowOff>12700</xdr:rowOff>
    </xdr:from>
    <xdr:to>
      <xdr:col>16</xdr:col>
      <xdr:colOff>5758985</xdr:colOff>
      <xdr:row>24</xdr:row>
      <xdr:rowOff>177800</xdr:rowOff>
    </xdr:to>
    <xdr:sp macro="" textlink="">
      <xdr:nvSpPr>
        <xdr:cNvPr id="169214" name="Скругленный прямоугольник 169213">
          <a:extLst>
            <a:ext uri="{FF2B5EF4-FFF2-40B4-BE49-F238E27FC236}">
              <a16:creationId xmlns:a16="http://schemas.microsoft.com/office/drawing/2014/main" id="{00000000-0008-0000-0600-0000FE940200}"/>
            </a:ext>
          </a:extLst>
        </xdr:cNvPr>
        <xdr:cNvSpPr/>
      </xdr:nvSpPr>
      <xdr:spPr>
        <a:xfrm>
          <a:off x="17768672" y="4813300"/>
          <a:ext cx="72523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D7" mc:Ignorable="a14" a14:legacySpreadsheetColorIndex="4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EC" mc:Ignorable="a14" a14:legacySpreadsheetColorIndex="4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87" mc:Ignorable="a14" a14:legacySpreadsheetColorIndex="4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776</a:t>
          </a:r>
        </a:p>
      </xdr:txBody>
    </xdr:sp>
    <xdr:clientData/>
  </xdr:twoCellAnchor>
  <xdr:twoCellAnchor>
    <xdr:from>
      <xdr:col>16</xdr:col>
      <xdr:colOff>0</xdr:colOff>
      <xdr:row>25</xdr:row>
      <xdr:rowOff>12700</xdr:rowOff>
    </xdr:from>
    <xdr:to>
      <xdr:col>16</xdr:col>
      <xdr:colOff>2185885</xdr:colOff>
      <xdr:row>25</xdr:row>
      <xdr:rowOff>177800</xdr:rowOff>
    </xdr:to>
    <xdr:sp macro="" textlink="">
      <xdr:nvSpPr>
        <xdr:cNvPr id="169215" name="Скругленный прямоугольник 169214">
          <a:extLst>
            <a:ext uri="{FF2B5EF4-FFF2-40B4-BE49-F238E27FC236}">
              <a16:creationId xmlns:a16="http://schemas.microsoft.com/office/drawing/2014/main" id="{00000000-0008-0000-0600-0000FF940200}"/>
            </a:ext>
          </a:extLst>
        </xdr:cNvPr>
        <xdr:cNvSpPr/>
      </xdr:nvSpPr>
      <xdr:spPr>
        <a:xfrm>
          <a:off x="12734925" y="5003800"/>
          <a:ext cx="218588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B47C" mc:Ignorable="a14" a14:legacySpreadsheetColorIndex="5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ECB" mc:Ignorable="a14" a14:legacySpreadsheetColorIndex="5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6400" mc:Ignorable="a14" a14:legacySpreadsheetColorIndex="5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2286</a:t>
          </a:r>
        </a:p>
      </xdr:txBody>
    </xdr:sp>
    <xdr:clientData/>
  </xdr:twoCellAnchor>
  <xdr:twoCellAnchor>
    <xdr:from>
      <xdr:col>16</xdr:col>
      <xdr:colOff>2220917</xdr:colOff>
      <xdr:row>25</xdr:row>
      <xdr:rowOff>12700</xdr:rowOff>
    </xdr:from>
    <xdr:to>
      <xdr:col>16</xdr:col>
      <xdr:colOff>3275042</xdr:colOff>
      <xdr:row>25</xdr:row>
      <xdr:rowOff>177800</xdr:rowOff>
    </xdr:to>
    <xdr:sp macro="" textlink="">
      <xdr:nvSpPr>
        <xdr:cNvPr id="169216" name="Скругленный прямоугольник 169215">
          <a:extLst>
            <a:ext uri="{FF2B5EF4-FFF2-40B4-BE49-F238E27FC236}">
              <a16:creationId xmlns:a16="http://schemas.microsoft.com/office/drawing/2014/main" id="{00000000-0008-0000-0600-000000950200}"/>
            </a:ext>
          </a:extLst>
        </xdr:cNvPr>
        <xdr:cNvSpPr/>
      </xdr:nvSpPr>
      <xdr:spPr>
        <a:xfrm>
          <a:off x="14955842" y="5003800"/>
          <a:ext cx="10541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A4" mc:Ignorable="a14" a14:legacySpreadsheetColorIndex="3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D8" mc:Ignorable="a14" a14:legacySpreadsheetColorIndex="3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53" mc:Ignorable="a14" a14:legacySpreadsheetColorIndex="3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1116</a:t>
          </a:r>
        </a:p>
      </xdr:txBody>
    </xdr:sp>
    <xdr:clientData/>
  </xdr:twoCellAnchor>
  <xdr:twoCellAnchor>
    <xdr:from>
      <xdr:col>16</xdr:col>
      <xdr:colOff>3310072</xdr:colOff>
      <xdr:row>25</xdr:row>
      <xdr:rowOff>12700</xdr:rowOff>
    </xdr:from>
    <xdr:to>
      <xdr:col>16</xdr:col>
      <xdr:colOff>4315833</xdr:colOff>
      <xdr:row>25</xdr:row>
      <xdr:rowOff>177800</xdr:rowOff>
    </xdr:to>
    <xdr:sp macro="" textlink="">
      <xdr:nvSpPr>
        <xdr:cNvPr id="169217" name="Скругленный прямоугольник 169216">
          <a:extLst>
            <a:ext uri="{FF2B5EF4-FFF2-40B4-BE49-F238E27FC236}">
              <a16:creationId xmlns:a16="http://schemas.microsoft.com/office/drawing/2014/main" id="{00000000-0008-0000-0600-000001950200}"/>
            </a:ext>
          </a:extLst>
        </xdr:cNvPr>
        <xdr:cNvSpPr/>
      </xdr:nvSpPr>
      <xdr:spPr>
        <a:xfrm>
          <a:off x="16044997" y="5003800"/>
          <a:ext cx="10057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1066</a:t>
          </a:r>
        </a:p>
      </xdr:txBody>
    </xdr:sp>
    <xdr:clientData/>
  </xdr:twoCellAnchor>
  <xdr:twoCellAnchor>
    <xdr:from>
      <xdr:col>16</xdr:col>
      <xdr:colOff>4350863</xdr:colOff>
      <xdr:row>25</xdr:row>
      <xdr:rowOff>12700</xdr:rowOff>
    </xdr:from>
    <xdr:to>
      <xdr:col>16</xdr:col>
      <xdr:colOff>5134139</xdr:colOff>
      <xdr:row>25</xdr:row>
      <xdr:rowOff>177800</xdr:rowOff>
    </xdr:to>
    <xdr:sp macro="" textlink="">
      <xdr:nvSpPr>
        <xdr:cNvPr id="169218" name="Скругленный прямоугольник 169217">
          <a:extLst>
            <a:ext uri="{FF2B5EF4-FFF2-40B4-BE49-F238E27FC236}">
              <a16:creationId xmlns:a16="http://schemas.microsoft.com/office/drawing/2014/main" id="{00000000-0008-0000-0600-000002950200}"/>
            </a:ext>
          </a:extLst>
        </xdr:cNvPr>
        <xdr:cNvSpPr/>
      </xdr:nvSpPr>
      <xdr:spPr>
        <a:xfrm>
          <a:off x="17085788" y="5003800"/>
          <a:ext cx="78327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D7FF" mc:Ignorable="a14" a14:legacySpreadsheetColorIndex="4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ECFF" mc:Ignorable="a14" a14:legacySpreadsheetColorIndex="4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87AA" mc:Ignorable="a14" a14:legacySpreadsheetColorIndex="4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836</a:t>
          </a:r>
        </a:p>
      </xdr:txBody>
    </xdr:sp>
    <xdr:clientData/>
  </xdr:twoCellAnchor>
  <xdr:twoCellAnchor>
    <xdr:from>
      <xdr:col>16</xdr:col>
      <xdr:colOff>5169171</xdr:colOff>
      <xdr:row>25</xdr:row>
      <xdr:rowOff>12700</xdr:rowOff>
    </xdr:from>
    <xdr:to>
      <xdr:col>16</xdr:col>
      <xdr:colOff>5758985</xdr:colOff>
      <xdr:row>25</xdr:row>
      <xdr:rowOff>177800</xdr:rowOff>
    </xdr:to>
    <xdr:sp macro="" textlink="">
      <xdr:nvSpPr>
        <xdr:cNvPr id="169219" name="Скругленный прямоугольник 169218">
          <a:extLst>
            <a:ext uri="{FF2B5EF4-FFF2-40B4-BE49-F238E27FC236}">
              <a16:creationId xmlns:a16="http://schemas.microsoft.com/office/drawing/2014/main" id="{00000000-0008-0000-0600-000003950200}"/>
            </a:ext>
          </a:extLst>
        </xdr:cNvPr>
        <xdr:cNvSpPr/>
      </xdr:nvSpPr>
      <xdr:spPr>
        <a:xfrm>
          <a:off x="17904096" y="5003800"/>
          <a:ext cx="58981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636</a:t>
          </a:r>
        </a:p>
      </xdr:txBody>
    </xdr:sp>
    <xdr:clientData/>
  </xdr:twoCellAnchor>
  <xdr:twoCellAnchor>
    <xdr:from>
      <xdr:col>16</xdr:col>
      <xdr:colOff>0</xdr:colOff>
      <xdr:row>26</xdr:row>
      <xdr:rowOff>12700</xdr:rowOff>
    </xdr:from>
    <xdr:to>
      <xdr:col>16</xdr:col>
      <xdr:colOff>1992423</xdr:colOff>
      <xdr:row>26</xdr:row>
      <xdr:rowOff>177800</xdr:rowOff>
    </xdr:to>
    <xdr:sp macro="" textlink="">
      <xdr:nvSpPr>
        <xdr:cNvPr id="169220" name="Скругленный прямоугольник 169219">
          <a:extLst>
            <a:ext uri="{FF2B5EF4-FFF2-40B4-BE49-F238E27FC236}">
              <a16:creationId xmlns:a16="http://schemas.microsoft.com/office/drawing/2014/main" id="{00000000-0008-0000-0600-000004950200}"/>
            </a:ext>
          </a:extLst>
        </xdr:cNvPr>
        <xdr:cNvSpPr/>
      </xdr:nvSpPr>
      <xdr:spPr>
        <a:xfrm>
          <a:off x="12734925" y="5194300"/>
          <a:ext cx="199242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B496" mc:Ignorable="a14" a14:legacySpreadsheetColorIndex="5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DED3" mc:Ignorable="a14" a14:legacySpreadsheetColorIndex="5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6441" mc:Ignorable="a14" a14:legacySpreadsheetColorIndex="5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2086</a:t>
          </a:r>
        </a:p>
      </xdr:txBody>
    </xdr:sp>
    <xdr:clientData/>
  </xdr:twoCellAnchor>
  <xdr:twoCellAnchor>
    <xdr:from>
      <xdr:col>16</xdr:col>
      <xdr:colOff>2027453</xdr:colOff>
      <xdr:row>26</xdr:row>
      <xdr:rowOff>12700</xdr:rowOff>
    </xdr:from>
    <xdr:to>
      <xdr:col>16</xdr:col>
      <xdr:colOff>3971510</xdr:colOff>
      <xdr:row>26</xdr:row>
      <xdr:rowOff>177800</xdr:rowOff>
    </xdr:to>
    <xdr:sp macro="" textlink="">
      <xdr:nvSpPr>
        <xdr:cNvPr id="169221" name="Скругленный прямоугольник 169220">
          <a:extLst>
            <a:ext uri="{FF2B5EF4-FFF2-40B4-BE49-F238E27FC236}">
              <a16:creationId xmlns:a16="http://schemas.microsoft.com/office/drawing/2014/main" id="{00000000-0008-0000-0600-000005950200}"/>
            </a:ext>
          </a:extLst>
        </xdr:cNvPr>
        <xdr:cNvSpPr/>
      </xdr:nvSpPr>
      <xdr:spPr>
        <a:xfrm>
          <a:off x="14762378" y="5194300"/>
          <a:ext cx="194405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A4" mc:Ignorable="a14" a14:legacySpreadsheetColorIndex="2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D8" mc:Ignorable="a14" a14:legacySpreadsheetColorIndex="2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53" mc:Ignorable="a14" a14:legacySpreadsheetColorIndex="2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2036</a:t>
          </a:r>
        </a:p>
      </xdr:txBody>
    </xdr:sp>
    <xdr:clientData/>
  </xdr:twoCellAnchor>
  <xdr:twoCellAnchor>
    <xdr:from>
      <xdr:col>16</xdr:col>
      <xdr:colOff>4006541</xdr:colOff>
      <xdr:row>26</xdr:row>
      <xdr:rowOff>12700</xdr:rowOff>
    </xdr:from>
    <xdr:to>
      <xdr:col>16</xdr:col>
      <xdr:colOff>5757135</xdr:colOff>
      <xdr:row>26</xdr:row>
      <xdr:rowOff>177800</xdr:rowOff>
    </xdr:to>
    <xdr:sp macro="" textlink="">
      <xdr:nvSpPr>
        <xdr:cNvPr id="169222" name="Скругленный прямоугольник 169221">
          <a:extLst>
            <a:ext uri="{FF2B5EF4-FFF2-40B4-BE49-F238E27FC236}">
              <a16:creationId xmlns:a16="http://schemas.microsoft.com/office/drawing/2014/main" id="{00000000-0008-0000-0600-000006950200}"/>
            </a:ext>
          </a:extLst>
        </xdr:cNvPr>
        <xdr:cNvSpPr/>
      </xdr:nvSpPr>
      <xdr:spPr>
        <a:xfrm>
          <a:off x="16741466" y="5194300"/>
          <a:ext cx="175059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83837C" mc:Ignorable="a14" a14:legacySpreadsheetColorIndex="5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DCDCB" mc:Ignorable="a14" a14:legacySpreadsheetColorIndex="5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1E1E00" mc:Ignorable="a14" a14:legacySpreadsheetColorIndex="5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1836</a:t>
          </a:r>
        </a:p>
      </xdr:txBody>
    </xdr:sp>
    <xdr:clientData/>
  </xdr:twoCellAnchor>
  <xdr:twoCellAnchor>
    <xdr:from>
      <xdr:col>16</xdr:col>
      <xdr:colOff>0</xdr:colOff>
      <xdr:row>27</xdr:row>
      <xdr:rowOff>12700</xdr:rowOff>
    </xdr:from>
    <xdr:to>
      <xdr:col>16</xdr:col>
      <xdr:colOff>2243925</xdr:colOff>
      <xdr:row>27</xdr:row>
      <xdr:rowOff>177800</xdr:rowOff>
    </xdr:to>
    <xdr:sp macro="" textlink="">
      <xdr:nvSpPr>
        <xdr:cNvPr id="169223" name="Скругленный прямоугольник 169222">
          <a:extLst>
            <a:ext uri="{FF2B5EF4-FFF2-40B4-BE49-F238E27FC236}">
              <a16:creationId xmlns:a16="http://schemas.microsoft.com/office/drawing/2014/main" id="{00000000-0008-0000-0600-000007950200}"/>
            </a:ext>
          </a:extLst>
        </xdr:cNvPr>
        <xdr:cNvSpPr/>
      </xdr:nvSpPr>
      <xdr:spPr>
        <a:xfrm>
          <a:off x="12734925" y="5384800"/>
          <a:ext cx="22439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D77C" mc:Ignorable="a14" a14:legacySpreadsheetColorIndex="5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ECCB" mc:Ignorable="a14" a14:legacySpreadsheetColorIndex="5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8700" mc:Ignorable="a14" a14:legacySpreadsheetColorIndex="5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2346</a:t>
          </a:r>
        </a:p>
      </xdr:txBody>
    </xdr:sp>
    <xdr:clientData/>
  </xdr:twoCellAnchor>
  <xdr:twoCellAnchor>
    <xdr:from>
      <xdr:col>16</xdr:col>
      <xdr:colOff>2278955</xdr:colOff>
      <xdr:row>27</xdr:row>
      <xdr:rowOff>12700</xdr:rowOff>
    </xdr:from>
    <xdr:to>
      <xdr:col>16</xdr:col>
      <xdr:colOff>4358436</xdr:colOff>
      <xdr:row>27</xdr:row>
      <xdr:rowOff>177800</xdr:rowOff>
    </xdr:to>
    <xdr:sp macro="" textlink="">
      <xdr:nvSpPr>
        <xdr:cNvPr id="169224" name="Скругленный прямоугольник 169223">
          <a:extLst>
            <a:ext uri="{FF2B5EF4-FFF2-40B4-BE49-F238E27FC236}">
              <a16:creationId xmlns:a16="http://schemas.microsoft.com/office/drawing/2014/main" id="{00000000-0008-0000-0600-000008950200}"/>
            </a:ext>
          </a:extLst>
        </xdr:cNvPr>
        <xdr:cNvSpPr/>
      </xdr:nvSpPr>
      <xdr:spPr>
        <a:xfrm>
          <a:off x="15013880" y="5384800"/>
          <a:ext cx="207948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967C" mc:Ignorable="a14" a14:legacySpreadsheetColorIndex="5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3CB" mc:Ignorable="a14" a14:legacySpreadsheetColorIndex="5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4100" mc:Ignorable="a14" a14:legacySpreadsheetColorIndex="5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2176</a:t>
          </a:r>
        </a:p>
      </xdr:txBody>
    </xdr:sp>
    <xdr:clientData/>
  </xdr:twoCellAnchor>
  <xdr:twoCellAnchor>
    <xdr:from>
      <xdr:col>16</xdr:col>
      <xdr:colOff>4393468</xdr:colOff>
      <xdr:row>27</xdr:row>
      <xdr:rowOff>12700</xdr:rowOff>
    </xdr:from>
    <xdr:to>
      <xdr:col>16</xdr:col>
      <xdr:colOff>5757135</xdr:colOff>
      <xdr:row>27</xdr:row>
      <xdr:rowOff>177800</xdr:rowOff>
    </xdr:to>
    <xdr:sp macro="" textlink="">
      <xdr:nvSpPr>
        <xdr:cNvPr id="169225" name="Скругленный прямоугольник 169224">
          <a:extLst>
            <a:ext uri="{FF2B5EF4-FFF2-40B4-BE49-F238E27FC236}">
              <a16:creationId xmlns:a16="http://schemas.microsoft.com/office/drawing/2014/main" id="{00000000-0008-0000-0600-000009950200}"/>
            </a:ext>
          </a:extLst>
        </xdr:cNvPr>
        <xdr:cNvSpPr/>
      </xdr:nvSpPr>
      <xdr:spPr>
        <a:xfrm>
          <a:off x="17128393" y="5384800"/>
          <a:ext cx="136366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1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1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1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1436</a:t>
          </a:r>
        </a:p>
      </xdr:txBody>
    </xdr:sp>
    <xdr:clientData/>
  </xdr:twoCellAnchor>
  <xdr:twoCellAnchor>
    <xdr:from>
      <xdr:col>16</xdr:col>
      <xdr:colOff>0</xdr:colOff>
      <xdr:row>28</xdr:row>
      <xdr:rowOff>12700</xdr:rowOff>
    </xdr:from>
    <xdr:to>
      <xdr:col>16</xdr:col>
      <xdr:colOff>1973076</xdr:colOff>
      <xdr:row>28</xdr:row>
      <xdr:rowOff>177800</xdr:rowOff>
    </xdr:to>
    <xdr:sp macro="" textlink="">
      <xdr:nvSpPr>
        <xdr:cNvPr id="169226" name="Скругленный прямоугольник 169225">
          <a:extLst>
            <a:ext uri="{FF2B5EF4-FFF2-40B4-BE49-F238E27FC236}">
              <a16:creationId xmlns:a16="http://schemas.microsoft.com/office/drawing/2014/main" id="{00000000-0008-0000-0600-00000A950200}"/>
            </a:ext>
          </a:extLst>
        </xdr:cNvPr>
        <xdr:cNvSpPr/>
      </xdr:nvSpPr>
      <xdr:spPr>
        <a:xfrm>
          <a:off x="12734925" y="5575300"/>
          <a:ext cx="197307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837C" mc:Ignorable="a14" a14:legacySpreadsheetColorIndex="5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DCB" mc:Ignorable="a14" a14:legacySpreadsheetColorIndex="5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1E00" mc:Ignorable="a14" a14:legacySpreadsheetColorIndex="5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2066</a:t>
          </a:r>
        </a:p>
      </xdr:txBody>
    </xdr:sp>
    <xdr:clientData/>
  </xdr:twoCellAnchor>
  <xdr:twoCellAnchor>
    <xdr:from>
      <xdr:col>16</xdr:col>
      <xdr:colOff>2008107</xdr:colOff>
      <xdr:row>28</xdr:row>
      <xdr:rowOff>12700</xdr:rowOff>
    </xdr:from>
    <xdr:to>
      <xdr:col>16</xdr:col>
      <xdr:colOff>3342754</xdr:colOff>
      <xdr:row>28</xdr:row>
      <xdr:rowOff>177800</xdr:rowOff>
    </xdr:to>
    <xdr:sp macro="" textlink="">
      <xdr:nvSpPr>
        <xdr:cNvPr id="169227" name="Скругленный прямоугольник 169226">
          <a:extLst>
            <a:ext uri="{FF2B5EF4-FFF2-40B4-BE49-F238E27FC236}">
              <a16:creationId xmlns:a16="http://schemas.microsoft.com/office/drawing/2014/main" id="{00000000-0008-0000-0600-00000B950200}"/>
            </a:ext>
          </a:extLst>
        </xdr:cNvPr>
        <xdr:cNvSpPr/>
      </xdr:nvSpPr>
      <xdr:spPr>
        <a:xfrm>
          <a:off x="14743032" y="5575300"/>
          <a:ext cx="13346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6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6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3377785</xdr:colOff>
      <xdr:row>28</xdr:row>
      <xdr:rowOff>12700</xdr:rowOff>
    </xdr:from>
    <xdr:to>
      <xdr:col>16</xdr:col>
      <xdr:colOff>4615700</xdr:colOff>
      <xdr:row>28</xdr:row>
      <xdr:rowOff>177800</xdr:rowOff>
    </xdr:to>
    <xdr:sp macro="" textlink="">
      <xdr:nvSpPr>
        <xdr:cNvPr id="169228" name="Скругленный прямоугольник 169227">
          <a:extLst>
            <a:ext uri="{FF2B5EF4-FFF2-40B4-BE49-F238E27FC236}">
              <a16:creationId xmlns:a16="http://schemas.microsoft.com/office/drawing/2014/main" id="{00000000-0008-0000-0600-00000C950200}"/>
            </a:ext>
          </a:extLst>
        </xdr:cNvPr>
        <xdr:cNvSpPr/>
      </xdr:nvSpPr>
      <xdr:spPr>
        <a:xfrm>
          <a:off x="16112710" y="55753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6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6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6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4650732</xdr:colOff>
      <xdr:row>28</xdr:row>
      <xdr:rowOff>12700</xdr:rowOff>
    </xdr:from>
    <xdr:to>
      <xdr:col>16</xdr:col>
      <xdr:colOff>5753222</xdr:colOff>
      <xdr:row>28</xdr:row>
      <xdr:rowOff>177800</xdr:rowOff>
    </xdr:to>
    <xdr:sp macro="" textlink="">
      <xdr:nvSpPr>
        <xdr:cNvPr id="169229" name="Скругленный прямоугольник 169228">
          <a:extLst>
            <a:ext uri="{FF2B5EF4-FFF2-40B4-BE49-F238E27FC236}">
              <a16:creationId xmlns:a16="http://schemas.microsoft.com/office/drawing/2014/main" id="{00000000-0008-0000-0600-00000D950200}"/>
            </a:ext>
          </a:extLst>
        </xdr:cNvPr>
        <xdr:cNvSpPr/>
      </xdr:nvSpPr>
      <xdr:spPr>
        <a:xfrm>
          <a:off x="17385657" y="5575300"/>
          <a:ext cx="110249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0</xdr:colOff>
      <xdr:row>29</xdr:row>
      <xdr:rowOff>12700</xdr:rowOff>
    </xdr:from>
    <xdr:to>
      <xdr:col>16</xdr:col>
      <xdr:colOff>2031115</xdr:colOff>
      <xdr:row>29</xdr:row>
      <xdr:rowOff>177800</xdr:rowOff>
    </xdr:to>
    <xdr:sp macro="" textlink="">
      <xdr:nvSpPr>
        <xdr:cNvPr id="169230" name="Скругленный прямоугольник 169229">
          <a:extLst>
            <a:ext uri="{FF2B5EF4-FFF2-40B4-BE49-F238E27FC236}">
              <a16:creationId xmlns:a16="http://schemas.microsoft.com/office/drawing/2014/main" id="{00000000-0008-0000-0600-00000E950200}"/>
            </a:ext>
          </a:extLst>
        </xdr:cNvPr>
        <xdr:cNvSpPr/>
      </xdr:nvSpPr>
      <xdr:spPr>
        <a:xfrm>
          <a:off x="12734925" y="5765800"/>
          <a:ext cx="20311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2B2B2" mc:Ignorable="a14" a14:legacySpreadsheetColorIndex="5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DDDDD" mc:Ignorable="a14" a14:legacySpreadsheetColorIndex="5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26262" mc:Ignorable="a14" a14:legacySpreadsheetColorIndex="5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2126</a:t>
          </a:r>
        </a:p>
      </xdr:txBody>
    </xdr:sp>
    <xdr:clientData/>
  </xdr:twoCellAnchor>
  <xdr:twoCellAnchor>
    <xdr:from>
      <xdr:col>16</xdr:col>
      <xdr:colOff>2066147</xdr:colOff>
      <xdr:row>29</xdr:row>
      <xdr:rowOff>12700</xdr:rowOff>
    </xdr:from>
    <xdr:to>
      <xdr:col>16</xdr:col>
      <xdr:colOff>3371774</xdr:colOff>
      <xdr:row>29</xdr:row>
      <xdr:rowOff>177800</xdr:rowOff>
    </xdr:to>
    <xdr:sp macro="" textlink="">
      <xdr:nvSpPr>
        <xdr:cNvPr id="169231" name="Скругленный прямоугольник 169230">
          <a:extLst>
            <a:ext uri="{FF2B5EF4-FFF2-40B4-BE49-F238E27FC236}">
              <a16:creationId xmlns:a16="http://schemas.microsoft.com/office/drawing/2014/main" id="{00000000-0008-0000-0600-00000F950200}"/>
            </a:ext>
          </a:extLst>
        </xdr:cNvPr>
        <xdr:cNvSpPr/>
      </xdr:nvSpPr>
      <xdr:spPr>
        <a:xfrm>
          <a:off x="14801072" y="5765800"/>
          <a:ext cx="130562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59595" mc:Ignorable="a14" a14:legacySpreadsheetColorIndex="6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D3D3" mc:Ignorable="a14" a14:legacySpreadsheetColorIndex="6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04040" mc:Ignorable="a14" a14:legacySpreadsheetColorIndex="6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1376</a:t>
          </a:r>
        </a:p>
      </xdr:txBody>
    </xdr:sp>
    <xdr:clientData/>
  </xdr:twoCellAnchor>
  <xdr:twoCellAnchor>
    <xdr:from>
      <xdr:col>16</xdr:col>
      <xdr:colOff>3406804</xdr:colOff>
      <xdr:row>29</xdr:row>
      <xdr:rowOff>12700</xdr:rowOff>
    </xdr:from>
    <xdr:to>
      <xdr:col>16</xdr:col>
      <xdr:colOff>3861194</xdr:colOff>
      <xdr:row>29</xdr:row>
      <xdr:rowOff>177800</xdr:rowOff>
    </xdr:to>
    <xdr:sp macro="" textlink="">
      <xdr:nvSpPr>
        <xdr:cNvPr id="169232" name="Скругленный прямоугольник 169231">
          <a:extLst>
            <a:ext uri="{FF2B5EF4-FFF2-40B4-BE49-F238E27FC236}">
              <a16:creationId xmlns:a16="http://schemas.microsoft.com/office/drawing/2014/main" id="{00000000-0008-0000-0600-000010950200}"/>
            </a:ext>
          </a:extLst>
        </xdr:cNvPr>
        <xdr:cNvSpPr/>
      </xdr:nvSpPr>
      <xdr:spPr>
        <a:xfrm>
          <a:off x="16141729" y="5765800"/>
          <a:ext cx="45439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CFCFCF" mc:Ignorable="a14" a14:legacySpreadsheetColorIndex="2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8E8E8" mc:Ignorable="a14" a14:legacySpreadsheetColorIndex="2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7F7F7F" mc:Ignorable="a14" a14:legacySpreadsheetColorIndex="2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496</a:t>
          </a:r>
        </a:p>
      </xdr:txBody>
    </xdr:sp>
    <xdr:clientData/>
  </xdr:twoCellAnchor>
  <xdr:twoCellAnchor>
    <xdr:from>
      <xdr:col>16</xdr:col>
      <xdr:colOff>3896224</xdr:colOff>
      <xdr:row>29</xdr:row>
      <xdr:rowOff>12700</xdr:rowOff>
    </xdr:from>
    <xdr:to>
      <xdr:col>16</xdr:col>
      <xdr:colOff>5768699</xdr:colOff>
      <xdr:row>29</xdr:row>
      <xdr:rowOff>177800</xdr:rowOff>
    </xdr:to>
    <xdr:sp macro="" textlink="">
      <xdr:nvSpPr>
        <xdr:cNvPr id="169233" name="Скругленный прямоугольник 169232">
          <a:extLst>
            <a:ext uri="{FF2B5EF4-FFF2-40B4-BE49-F238E27FC236}">
              <a16:creationId xmlns:a16="http://schemas.microsoft.com/office/drawing/2014/main" id="{00000000-0008-0000-0600-000011950200}"/>
            </a:ext>
          </a:extLst>
        </xdr:cNvPr>
        <xdr:cNvSpPr/>
      </xdr:nvSpPr>
      <xdr:spPr>
        <a:xfrm>
          <a:off x="16631149" y="5765800"/>
          <a:ext cx="187247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Остаток: 1962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44825</xdr:colOff>
      <xdr:row>17</xdr:row>
      <xdr:rowOff>150420</xdr:rowOff>
    </xdr:from>
    <xdr:to>
      <xdr:col>3</xdr:col>
      <xdr:colOff>307043</xdr:colOff>
      <xdr:row>19</xdr:row>
      <xdr:rowOff>76200</xdr:rowOff>
    </xdr:to>
    <xdr:sp macro="[0]!Raskroy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25800" y="3617520"/>
          <a:ext cx="1214718" cy="30678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Расчет</a:t>
          </a:r>
          <a:r>
            <a:rPr lang="en-US" sz="1100"/>
            <a:t> DP</a:t>
          </a:r>
          <a:endParaRPr lang="ru-RU" sz="1100"/>
        </a:p>
      </xdr:txBody>
    </xdr:sp>
    <xdr:clientData fPrintsWithSheet="0"/>
  </xdr:twoCellAnchor>
  <xdr:twoCellAnchor>
    <xdr:from>
      <xdr:col>3</xdr:col>
      <xdr:colOff>472817</xdr:colOff>
      <xdr:row>17</xdr:row>
      <xdr:rowOff>150420</xdr:rowOff>
    </xdr:from>
    <xdr:to>
      <xdr:col>4</xdr:col>
      <xdr:colOff>735035</xdr:colOff>
      <xdr:row>19</xdr:row>
      <xdr:rowOff>76200</xdr:rowOff>
    </xdr:to>
    <xdr:sp macro="[0]!ClearData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606292" y="3617520"/>
          <a:ext cx="1214718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Очистить все</a:t>
          </a:r>
        </a:p>
      </xdr:txBody>
    </xdr:sp>
    <xdr:clientData fPrintsWithSheet="0"/>
  </xdr:twoCellAnchor>
  <xdr:twoCellAnchor>
    <xdr:from>
      <xdr:col>4</xdr:col>
      <xdr:colOff>924205</xdr:colOff>
      <xdr:row>17</xdr:row>
      <xdr:rowOff>150420</xdr:rowOff>
    </xdr:from>
    <xdr:to>
      <xdr:col>7</xdr:col>
      <xdr:colOff>21011</xdr:colOff>
      <xdr:row>19</xdr:row>
      <xdr:rowOff>76200</xdr:rowOff>
    </xdr:to>
    <xdr:sp macro="[0]!OutGraph" textlink="">
      <xdr:nvSpPr>
        <xdr:cNvPr id="4" name="Скругленный прямоугольник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010180" y="3617520"/>
          <a:ext cx="1220881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Отобразить</a:t>
          </a:r>
        </a:p>
      </xdr:txBody>
    </xdr:sp>
    <xdr:clientData fPrintsWithSheet="0"/>
  </xdr:twoCellAnchor>
  <xdr:twoCellAnchor>
    <xdr:from>
      <xdr:col>7</xdr:col>
      <xdr:colOff>197224</xdr:colOff>
      <xdr:row>17</xdr:row>
      <xdr:rowOff>150420</xdr:rowOff>
    </xdr:from>
    <xdr:to>
      <xdr:col>8</xdr:col>
      <xdr:colOff>806824</xdr:colOff>
      <xdr:row>19</xdr:row>
      <xdr:rowOff>76200</xdr:rowOff>
    </xdr:to>
    <xdr:sp macro="[0]!Export2PDF" textlink="">
      <xdr:nvSpPr>
        <xdr:cNvPr id="5" name="Скругленный прямоугольник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4407274" y="3617520"/>
          <a:ext cx="1209675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Экспорт в </a:t>
          </a:r>
          <a:r>
            <a:rPr lang="en-US" sz="1100"/>
            <a:t>PDF</a:t>
          </a:r>
          <a:endParaRPr lang="ru-RU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13</xdr:row>
          <xdr:rowOff>180975</xdr:rowOff>
        </xdr:from>
        <xdr:to>
          <xdr:col>9</xdr:col>
          <xdr:colOff>9525</xdr:colOff>
          <xdr:row>15</xdr:row>
          <xdr:rowOff>0</xdr:rowOff>
        </xdr:to>
        <xdr:sp macro="" textlink="">
          <xdr:nvSpPr>
            <xdr:cNvPr id="171009" name="Drop Down 1" hidden="1">
              <a:extLst>
                <a:ext uri="{63B3BB69-23CF-44E3-9099-C40C66FF867C}">
                  <a14:compatExt spid="_x0000_s171009"/>
                </a:ext>
                <a:ext uri="{FF2B5EF4-FFF2-40B4-BE49-F238E27FC236}">
                  <a16:creationId xmlns:a16="http://schemas.microsoft.com/office/drawing/2014/main" id="{00000000-0008-0000-0700-0000019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13</xdr:row>
          <xdr:rowOff>161925</xdr:rowOff>
        </xdr:from>
        <xdr:to>
          <xdr:col>5</xdr:col>
          <xdr:colOff>981075</xdr:colOff>
          <xdr:row>15</xdr:row>
          <xdr:rowOff>0</xdr:rowOff>
        </xdr:to>
        <xdr:sp macro="" textlink="">
          <xdr:nvSpPr>
            <xdr:cNvPr id="171010" name="Check Box 2" hidden="1">
              <a:extLst>
                <a:ext uri="{63B3BB69-23CF-44E3-9099-C40C66FF867C}">
                  <a14:compatExt spid="_x0000_s171010"/>
                </a:ext>
                <a:ext uri="{FF2B5EF4-FFF2-40B4-BE49-F238E27FC236}">
                  <a16:creationId xmlns:a16="http://schemas.microsoft.com/office/drawing/2014/main" id="{00000000-0008-0000-0700-0000029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Группировать решение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14</xdr:row>
          <xdr:rowOff>161925</xdr:rowOff>
        </xdr:from>
        <xdr:to>
          <xdr:col>5</xdr:col>
          <xdr:colOff>981075</xdr:colOff>
          <xdr:row>16</xdr:row>
          <xdr:rowOff>0</xdr:rowOff>
        </xdr:to>
        <xdr:sp macro="" textlink="">
          <xdr:nvSpPr>
            <xdr:cNvPr id="171011" name="Check Box 3" hidden="1">
              <a:extLst>
                <a:ext uri="{63B3BB69-23CF-44E3-9099-C40C66FF867C}">
                  <a14:compatExt spid="_x0000_s171011"/>
                </a:ext>
                <a:ext uri="{FF2B5EF4-FFF2-40B4-BE49-F238E27FC236}">
                  <a16:creationId xmlns:a16="http://schemas.microsoft.com/office/drawing/2014/main" id="{00000000-0008-0000-0700-0000039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Отображать графику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15</xdr:row>
          <xdr:rowOff>0</xdr:rowOff>
        </xdr:from>
        <xdr:to>
          <xdr:col>9</xdr:col>
          <xdr:colOff>9525</xdr:colOff>
          <xdr:row>16</xdr:row>
          <xdr:rowOff>9525</xdr:rowOff>
        </xdr:to>
        <xdr:sp macro="" textlink="">
          <xdr:nvSpPr>
            <xdr:cNvPr id="171012" name="Drop Down 4" hidden="1">
              <a:extLst>
                <a:ext uri="{63B3BB69-23CF-44E3-9099-C40C66FF867C}">
                  <a14:compatExt spid="_x0000_s171012"/>
                </a:ext>
                <a:ext uri="{FF2B5EF4-FFF2-40B4-BE49-F238E27FC236}">
                  <a16:creationId xmlns:a16="http://schemas.microsoft.com/office/drawing/2014/main" id="{00000000-0008-0000-0700-0000049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15</xdr:row>
          <xdr:rowOff>161925</xdr:rowOff>
        </xdr:from>
        <xdr:to>
          <xdr:col>5</xdr:col>
          <xdr:colOff>981075</xdr:colOff>
          <xdr:row>17</xdr:row>
          <xdr:rowOff>0</xdr:rowOff>
        </xdr:to>
        <xdr:sp macro="" textlink="">
          <xdr:nvSpPr>
            <xdr:cNvPr id="171013" name="Check Box 5" hidden="1">
              <a:extLst>
                <a:ext uri="{63B3BB69-23CF-44E3-9099-C40C66FF867C}">
                  <a14:compatExt spid="_x0000_s171013"/>
                </a:ext>
                <a:ext uri="{FF2B5EF4-FFF2-40B4-BE49-F238E27FC236}">
                  <a16:creationId xmlns:a16="http://schemas.microsoft.com/office/drawing/2014/main" id="{00000000-0008-0000-0700-0000059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Рез под 45 градусов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16</xdr:row>
          <xdr:rowOff>0</xdr:rowOff>
        </xdr:from>
        <xdr:to>
          <xdr:col>9</xdr:col>
          <xdr:colOff>0</xdr:colOff>
          <xdr:row>17</xdr:row>
          <xdr:rowOff>28575</xdr:rowOff>
        </xdr:to>
        <xdr:sp macro="" textlink="">
          <xdr:nvSpPr>
            <xdr:cNvPr id="171014" name="Check Box 6" hidden="1">
              <a:extLst>
                <a:ext uri="{63B3BB69-23CF-44E3-9099-C40C66FF867C}">
                  <a14:compatExt spid="_x0000_s171014"/>
                </a:ext>
                <a:ext uri="{FF2B5EF4-FFF2-40B4-BE49-F238E27FC236}">
                  <a16:creationId xmlns:a16="http://schemas.microsoft.com/office/drawing/2014/main" id="{00000000-0008-0000-0700-0000069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Раскрой в два профиля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44825</xdr:colOff>
      <xdr:row>20</xdr:row>
      <xdr:rowOff>0</xdr:rowOff>
    </xdr:from>
    <xdr:to>
      <xdr:col>3</xdr:col>
      <xdr:colOff>307043</xdr:colOff>
      <xdr:row>21</xdr:row>
      <xdr:rowOff>116280</xdr:rowOff>
    </xdr:to>
    <xdr:sp macro="[0]!lpCSP" textlink="">
      <xdr:nvSpPr>
        <xdr:cNvPr id="12" name="Скругленный прямоугольник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225800" y="4038600"/>
          <a:ext cx="1214718" cy="30678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Расчет</a:t>
          </a:r>
          <a:r>
            <a:rPr lang="en-US" sz="1100"/>
            <a:t> LP</a:t>
          </a:r>
          <a:endParaRPr lang="ru-RU" sz="1100"/>
        </a:p>
      </xdr:txBody>
    </xdr:sp>
    <xdr:clientData fPrintsWithSheet="0"/>
  </xdr:twoCellAnchor>
  <xdr:twoCellAnchor>
    <xdr:from>
      <xdr:col>3</xdr:col>
      <xdr:colOff>472817</xdr:colOff>
      <xdr:row>20</xdr:row>
      <xdr:rowOff>0</xdr:rowOff>
    </xdr:from>
    <xdr:to>
      <xdr:col>4</xdr:col>
      <xdr:colOff>735035</xdr:colOff>
      <xdr:row>21</xdr:row>
      <xdr:rowOff>116280</xdr:rowOff>
    </xdr:to>
    <xdr:sp macro="[0]!ClearSolve" textlink="">
      <xdr:nvSpPr>
        <xdr:cNvPr id="13" name="Скругленный прямоугольник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1606292" y="4038600"/>
          <a:ext cx="1214718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Убрать</a:t>
          </a:r>
          <a:r>
            <a:rPr lang="ru-RU" sz="1100" baseline="0"/>
            <a:t> решение</a:t>
          </a:r>
          <a:endParaRPr lang="ru-RU" sz="1100"/>
        </a:p>
      </xdr:txBody>
    </xdr:sp>
    <xdr:clientData fPrintsWithSheet="0"/>
  </xdr:twoCellAnchor>
  <xdr:twoCellAnchor>
    <xdr:from>
      <xdr:col>4</xdr:col>
      <xdr:colOff>924205</xdr:colOff>
      <xdr:row>20</xdr:row>
      <xdr:rowOff>0</xdr:rowOff>
    </xdr:from>
    <xdr:to>
      <xdr:col>7</xdr:col>
      <xdr:colOff>21011</xdr:colOff>
      <xdr:row>21</xdr:row>
      <xdr:rowOff>116280</xdr:rowOff>
    </xdr:to>
    <xdr:sp macro="[0]!OffGraph" textlink="">
      <xdr:nvSpPr>
        <xdr:cNvPr id="14" name="Скругленный прямоугольник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3010180" y="4038600"/>
          <a:ext cx="1220881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Убрать</a:t>
          </a:r>
          <a:r>
            <a:rPr lang="ru-RU" sz="1100" baseline="0"/>
            <a:t> графику</a:t>
          </a:r>
          <a:endParaRPr lang="ru-RU" sz="1100"/>
        </a:p>
      </xdr:txBody>
    </xdr:sp>
    <xdr:clientData fPrintsWithSheet="0"/>
  </xdr:twoCellAnchor>
  <xdr:twoCellAnchor>
    <xdr:from>
      <xdr:col>7</xdr:col>
      <xdr:colOff>197224</xdr:colOff>
      <xdr:row>20</xdr:row>
      <xdr:rowOff>0</xdr:rowOff>
    </xdr:from>
    <xdr:to>
      <xdr:col>8</xdr:col>
      <xdr:colOff>806824</xdr:colOff>
      <xdr:row>21</xdr:row>
      <xdr:rowOff>116280</xdr:rowOff>
    </xdr:to>
    <xdr:sp macro="" textlink="">
      <xdr:nvSpPr>
        <xdr:cNvPr id="15" name="Скругленный прямоугольник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4407274" y="4038600"/>
          <a:ext cx="1209675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Создать отчет</a:t>
          </a:r>
        </a:p>
      </xdr:txBody>
    </xdr:sp>
    <xdr:clientData fPrintsWithSheet="0"/>
  </xdr:twoCellAnchor>
  <xdr:twoCellAnchor>
    <xdr:from>
      <xdr:col>16</xdr:col>
      <xdr:colOff>0</xdr:colOff>
      <xdr:row>3</xdr:row>
      <xdr:rowOff>12700</xdr:rowOff>
    </xdr:from>
    <xdr:to>
      <xdr:col>16</xdr:col>
      <xdr:colOff>2553466</xdr:colOff>
      <xdr:row>3</xdr:row>
      <xdr:rowOff>177800</xdr:rowOff>
    </xdr:to>
    <xdr:sp macro="" textlink="">
      <xdr:nvSpPr>
        <xdr:cNvPr id="6" name="Скругленный прямоугольник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1353800" y="812800"/>
          <a:ext cx="255346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2666</a:t>
          </a:r>
        </a:p>
      </xdr:txBody>
    </xdr:sp>
    <xdr:clientData/>
  </xdr:twoCellAnchor>
  <xdr:twoCellAnchor>
    <xdr:from>
      <xdr:col>16</xdr:col>
      <xdr:colOff>2584645</xdr:colOff>
      <xdr:row>3</xdr:row>
      <xdr:rowOff>12700</xdr:rowOff>
    </xdr:from>
    <xdr:to>
      <xdr:col>16</xdr:col>
      <xdr:colOff>4745382</xdr:colOff>
      <xdr:row>3</xdr:row>
      <xdr:rowOff>177800</xdr:rowOff>
    </xdr:to>
    <xdr:sp macro="" textlink="">
      <xdr:nvSpPr>
        <xdr:cNvPr id="7" name="Скругленный прямоугольник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3938445" y="812800"/>
          <a:ext cx="216073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2260</a:t>
          </a:r>
        </a:p>
      </xdr:txBody>
    </xdr:sp>
    <xdr:clientData/>
  </xdr:twoCellAnchor>
  <xdr:twoCellAnchor>
    <xdr:from>
      <xdr:col>16</xdr:col>
      <xdr:colOff>4776560</xdr:colOff>
      <xdr:row>3</xdr:row>
      <xdr:rowOff>12700</xdr:rowOff>
    </xdr:from>
    <xdr:to>
      <xdr:col>16</xdr:col>
      <xdr:colOff>5772646</xdr:colOff>
      <xdr:row>3</xdr:row>
      <xdr:rowOff>177800</xdr:rowOff>
    </xdr:to>
    <xdr:sp macro="" textlink="">
      <xdr:nvSpPr>
        <xdr:cNvPr id="8" name="Скругленный прямоугольник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16130360" y="812800"/>
          <a:ext cx="99608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A4" mc:Ignorable="a14" a14:legacySpreadsheetColorIndex="2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D8" mc:Ignorable="a14" a14:legacySpreadsheetColorIndex="2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53" mc:Ignorable="a14" a14:legacySpreadsheetColorIndex="2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1056</a:t>
          </a:r>
        </a:p>
      </xdr:txBody>
    </xdr:sp>
    <xdr:clientData/>
  </xdr:twoCellAnchor>
  <xdr:twoCellAnchor>
    <xdr:from>
      <xdr:col>16</xdr:col>
      <xdr:colOff>0</xdr:colOff>
      <xdr:row>4</xdr:row>
      <xdr:rowOff>12700</xdr:rowOff>
    </xdr:from>
    <xdr:to>
      <xdr:col>16</xdr:col>
      <xdr:colOff>2553466</xdr:colOff>
      <xdr:row>4</xdr:row>
      <xdr:rowOff>177800</xdr:rowOff>
    </xdr:to>
    <xdr:sp macro="" textlink="">
      <xdr:nvSpPr>
        <xdr:cNvPr id="9" name="Скругленный прямоугольник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11353800" y="1003300"/>
          <a:ext cx="255346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2666</a:t>
          </a:r>
        </a:p>
      </xdr:txBody>
    </xdr:sp>
    <xdr:clientData/>
  </xdr:twoCellAnchor>
  <xdr:twoCellAnchor>
    <xdr:from>
      <xdr:col>16</xdr:col>
      <xdr:colOff>2584645</xdr:colOff>
      <xdr:row>4</xdr:row>
      <xdr:rowOff>12700</xdr:rowOff>
    </xdr:from>
    <xdr:to>
      <xdr:col>16</xdr:col>
      <xdr:colOff>3687136</xdr:colOff>
      <xdr:row>4</xdr:row>
      <xdr:rowOff>177800</xdr:rowOff>
    </xdr:to>
    <xdr:sp macro="" textlink="">
      <xdr:nvSpPr>
        <xdr:cNvPr id="10" name="Скругленный прямоугольник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13938445" y="10033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1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1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1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3718314</xdr:colOff>
      <xdr:row>4</xdr:row>
      <xdr:rowOff>12700</xdr:rowOff>
    </xdr:from>
    <xdr:to>
      <xdr:col>16</xdr:col>
      <xdr:colOff>4743421</xdr:colOff>
      <xdr:row>4</xdr:row>
      <xdr:rowOff>177800</xdr:rowOff>
    </xdr:to>
    <xdr:sp macro="" textlink="">
      <xdr:nvSpPr>
        <xdr:cNvPr id="11" name="Скругленный прямоугольник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15072114" y="1003300"/>
          <a:ext cx="102510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7C" mc:Ignorable="a14" a14:legacySpreadsheetColorIndex="1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CB" mc:Ignorable="a14" a14:legacySpreadsheetColorIndex="1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00" mc:Ignorable="a14" a14:legacySpreadsheetColorIndex="1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1086</a:t>
          </a:r>
        </a:p>
      </xdr:txBody>
    </xdr:sp>
    <xdr:clientData/>
  </xdr:twoCellAnchor>
  <xdr:twoCellAnchor>
    <xdr:from>
      <xdr:col>16</xdr:col>
      <xdr:colOff>4774598</xdr:colOff>
      <xdr:row>4</xdr:row>
      <xdr:rowOff>12700</xdr:rowOff>
    </xdr:from>
    <xdr:to>
      <xdr:col>16</xdr:col>
      <xdr:colOff>5770685</xdr:colOff>
      <xdr:row>4</xdr:row>
      <xdr:rowOff>177800</xdr:rowOff>
    </xdr:to>
    <xdr:sp macro="" textlink="">
      <xdr:nvSpPr>
        <xdr:cNvPr id="16" name="Скругленный прямоугольник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16128398" y="1003300"/>
          <a:ext cx="99608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A4" mc:Ignorable="a14" a14:legacySpreadsheetColorIndex="2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D8" mc:Ignorable="a14" a14:legacySpreadsheetColorIndex="2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53" mc:Ignorable="a14" a14:legacySpreadsheetColorIndex="2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1056</a:t>
          </a:r>
        </a:p>
      </xdr:txBody>
    </xdr:sp>
    <xdr:clientData/>
  </xdr:twoCellAnchor>
  <xdr:twoCellAnchor>
    <xdr:from>
      <xdr:col>16</xdr:col>
      <xdr:colOff>0</xdr:colOff>
      <xdr:row>5</xdr:row>
      <xdr:rowOff>12700</xdr:rowOff>
    </xdr:from>
    <xdr:to>
      <xdr:col>16</xdr:col>
      <xdr:colOff>2553466</xdr:colOff>
      <xdr:row>5</xdr:row>
      <xdr:rowOff>177800</xdr:rowOff>
    </xdr:to>
    <xdr:sp macro="" textlink="">
      <xdr:nvSpPr>
        <xdr:cNvPr id="17" name="Скругленный прямоугольник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11353800" y="1193800"/>
          <a:ext cx="255346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2666</a:t>
          </a:r>
        </a:p>
      </xdr:txBody>
    </xdr:sp>
    <xdr:clientData/>
  </xdr:twoCellAnchor>
  <xdr:twoCellAnchor>
    <xdr:from>
      <xdr:col>16</xdr:col>
      <xdr:colOff>2584645</xdr:colOff>
      <xdr:row>5</xdr:row>
      <xdr:rowOff>12700</xdr:rowOff>
    </xdr:from>
    <xdr:to>
      <xdr:col>16</xdr:col>
      <xdr:colOff>5138111</xdr:colOff>
      <xdr:row>5</xdr:row>
      <xdr:rowOff>177800</xdr:rowOff>
    </xdr:to>
    <xdr:sp macro="" textlink="">
      <xdr:nvSpPr>
        <xdr:cNvPr id="18" name="Скругленный прямоугольник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>
        <a:xfrm>
          <a:off x="13938445" y="1193800"/>
          <a:ext cx="255346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2666</a:t>
          </a:r>
        </a:p>
      </xdr:txBody>
    </xdr:sp>
    <xdr:clientData/>
  </xdr:twoCellAnchor>
  <xdr:twoCellAnchor>
    <xdr:from>
      <xdr:col>16</xdr:col>
      <xdr:colOff>5169289</xdr:colOff>
      <xdr:row>5</xdr:row>
      <xdr:rowOff>12700</xdr:rowOff>
    </xdr:from>
    <xdr:to>
      <xdr:col>16</xdr:col>
      <xdr:colOff>5768775</xdr:colOff>
      <xdr:row>5</xdr:row>
      <xdr:rowOff>177800</xdr:rowOff>
    </xdr:to>
    <xdr:sp macro="" textlink="">
      <xdr:nvSpPr>
        <xdr:cNvPr id="19" name="Скругленный прямоугольник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16523089" y="1193800"/>
          <a:ext cx="59948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B4FF" mc:Ignorable="a14" a14:legacySpreadsheetColorIndex="2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DEFF" mc:Ignorable="a14" a14:legacySpreadsheetColorIndex="2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64AA" mc:Ignorable="a14" a14:legacySpreadsheetColorIndex="2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646</a:t>
          </a:r>
        </a:p>
      </xdr:txBody>
    </xdr:sp>
    <xdr:clientData/>
  </xdr:twoCellAnchor>
  <xdr:twoCellAnchor>
    <xdr:from>
      <xdr:col>16</xdr:col>
      <xdr:colOff>0</xdr:colOff>
      <xdr:row>6</xdr:row>
      <xdr:rowOff>12700</xdr:rowOff>
    </xdr:from>
    <xdr:to>
      <xdr:col>16</xdr:col>
      <xdr:colOff>1682882</xdr:colOff>
      <xdr:row>6</xdr:row>
      <xdr:rowOff>177800</xdr:rowOff>
    </xdr:to>
    <xdr:sp macro="" textlink="">
      <xdr:nvSpPr>
        <xdr:cNvPr id="20" name="Скругленный прямоугольник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>
        <a:xfrm>
          <a:off x="11353800" y="1384300"/>
          <a:ext cx="168288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1766</a:t>
          </a:r>
        </a:p>
      </xdr:txBody>
    </xdr:sp>
    <xdr:clientData/>
  </xdr:twoCellAnchor>
  <xdr:twoCellAnchor>
    <xdr:from>
      <xdr:col>16</xdr:col>
      <xdr:colOff>1714060</xdr:colOff>
      <xdr:row>6</xdr:row>
      <xdr:rowOff>12700</xdr:rowOff>
    </xdr:from>
    <xdr:to>
      <xdr:col>16</xdr:col>
      <xdr:colOff>3396941</xdr:colOff>
      <xdr:row>6</xdr:row>
      <xdr:rowOff>177800</xdr:rowOff>
    </xdr:to>
    <xdr:sp macro="" textlink="">
      <xdr:nvSpPr>
        <xdr:cNvPr id="21" name="Скругленный прямоугольник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>
        <a:xfrm>
          <a:off x="13067860" y="1384300"/>
          <a:ext cx="168288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1766</a:t>
          </a:r>
        </a:p>
      </xdr:txBody>
    </xdr:sp>
    <xdr:clientData/>
  </xdr:twoCellAnchor>
  <xdr:twoCellAnchor>
    <xdr:from>
      <xdr:col>16</xdr:col>
      <xdr:colOff>3428119</xdr:colOff>
      <xdr:row>6</xdr:row>
      <xdr:rowOff>12700</xdr:rowOff>
    </xdr:from>
    <xdr:to>
      <xdr:col>16</xdr:col>
      <xdr:colOff>5091655</xdr:colOff>
      <xdr:row>6</xdr:row>
      <xdr:rowOff>177800</xdr:rowOff>
    </xdr:to>
    <xdr:sp macro="" textlink="">
      <xdr:nvSpPr>
        <xdr:cNvPr id="22" name="Скругленный прямоугольник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>
        <a:xfrm>
          <a:off x="14781919" y="1384300"/>
          <a:ext cx="166353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1746</a:t>
          </a:r>
        </a:p>
      </xdr:txBody>
    </xdr:sp>
    <xdr:clientData/>
  </xdr:twoCellAnchor>
  <xdr:twoCellAnchor>
    <xdr:from>
      <xdr:col>16</xdr:col>
      <xdr:colOff>5122833</xdr:colOff>
      <xdr:row>6</xdr:row>
      <xdr:rowOff>12700</xdr:rowOff>
    </xdr:from>
    <xdr:to>
      <xdr:col>16</xdr:col>
      <xdr:colOff>5761013</xdr:colOff>
      <xdr:row>6</xdr:row>
      <xdr:rowOff>177800</xdr:rowOff>
    </xdr:to>
    <xdr:sp macro="" textlink="">
      <xdr:nvSpPr>
        <xdr:cNvPr id="23" name="Скругленный прямоугольник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>
        <a:xfrm>
          <a:off x="16476633" y="1384300"/>
          <a:ext cx="63818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CFCFCF" mc:Ignorable="a14" a14:legacySpreadsheetColorIndex="2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8E8E8" mc:Ignorable="a14" a14:legacySpreadsheetColorIndex="2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7F7F7F" mc:Ignorable="a14" a14:legacySpreadsheetColorIndex="2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686</a:t>
          </a:r>
        </a:p>
      </xdr:txBody>
    </xdr:sp>
    <xdr:clientData/>
  </xdr:twoCellAnchor>
  <xdr:twoCellAnchor>
    <xdr:from>
      <xdr:col>16</xdr:col>
      <xdr:colOff>0</xdr:colOff>
      <xdr:row>7</xdr:row>
      <xdr:rowOff>12700</xdr:rowOff>
    </xdr:from>
    <xdr:to>
      <xdr:col>16</xdr:col>
      <xdr:colOff>2553466</xdr:colOff>
      <xdr:row>7</xdr:row>
      <xdr:rowOff>177800</xdr:rowOff>
    </xdr:to>
    <xdr:sp macro="" textlink="">
      <xdr:nvSpPr>
        <xdr:cNvPr id="24" name="Скругленный прямоугольник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11353800" y="1574800"/>
          <a:ext cx="255346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2666</a:t>
          </a:r>
        </a:p>
      </xdr:txBody>
    </xdr:sp>
    <xdr:clientData/>
  </xdr:twoCellAnchor>
  <xdr:twoCellAnchor>
    <xdr:from>
      <xdr:col>16</xdr:col>
      <xdr:colOff>2584645</xdr:colOff>
      <xdr:row>7</xdr:row>
      <xdr:rowOff>12700</xdr:rowOff>
    </xdr:from>
    <xdr:to>
      <xdr:col>16</xdr:col>
      <xdr:colOff>3687136</xdr:colOff>
      <xdr:row>7</xdr:row>
      <xdr:rowOff>177800</xdr:rowOff>
    </xdr:to>
    <xdr:sp macro="" textlink="">
      <xdr:nvSpPr>
        <xdr:cNvPr id="25" name="Скругленный прямоугольник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>
        <a:xfrm>
          <a:off x="13938445" y="15748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1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1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1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3718314</xdr:colOff>
      <xdr:row>7</xdr:row>
      <xdr:rowOff>12700</xdr:rowOff>
    </xdr:from>
    <xdr:to>
      <xdr:col>16</xdr:col>
      <xdr:colOff>4733747</xdr:colOff>
      <xdr:row>7</xdr:row>
      <xdr:rowOff>177800</xdr:rowOff>
    </xdr:to>
    <xdr:sp macro="" textlink="">
      <xdr:nvSpPr>
        <xdr:cNvPr id="26" name="Скругленный прямоугольник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>
        <a:xfrm>
          <a:off x="15072114" y="1574800"/>
          <a:ext cx="101543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A4" mc:Ignorable="a14" a14:legacySpreadsheetColorIndex="2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D8" mc:Ignorable="a14" a14:legacySpreadsheetColorIndex="2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53" mc:Ignorable="a14" a14:legacySpreadsheetColorIndex="2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1076</a:t>
          </a:r>
        </a:p>
      </xdr:txBody>
    </xdr:sp>
    <xdr:clientData/>
  </xdr:twoCellAnchor>
  <xdr:twoCellAnchor>
    <xdr:from>
      <xdr:col>16</xdr:col>
      <xdr:colOff>4764926</xdr:colOff>
      <xdr:row>7</xdr:row>
      <xdr:rowOff>12700</xdr:rowOff>
    </xdr:from>
    <xdr:to>
      <xdr:col>16</xdr:col>
      <xdr:colOff>5761013</xdr:colOff>
      <xdr:row>7</xdr:row>
      <xdr:rowOff>177800</xdr:rowOff>
    </xdr:to>
    <xdr:sp macro="" textlink="">
      <xdr:nvSpPr>
        <xdr:cNvPr id="27" name="Скругленный прямоугольник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>
        <a:xfrm>
          <a:off x="16118726" y="1574800"/>
          <a:ext cx="99608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A4" mc:Ignorable="a14" a14:legacySpreadsheetColorIndex="2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D8" mc:Ignorable="a14" a14:legacySpreadsheetColorIndex="2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53" mc:Ignorable="a14" a14:legacySpreadsheetColorIndex="2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1056</a:t>
          </a:r>
        </a:p>
      </xdr:txBody>
    </xdr:sp>
    <xdr:clientData/>
  </xdr:twoCellAnchor>
  <xdr:twoCellAnchor>
    <xdr:from>
      <xdr:col>16</xdr:col>
      <xdr:colOff>0</xdr:colOff>
      <xdr:row>8</xdr:row>
      <xdr:rowOff>12700</xdr:rowOff>
    </xdr:from>
    <xdr:to>
      <xdr:col>16</xdr:col>
      <xdr:colOff>2547662</xdr:colOff>
      <xdr:row>8</xdr:row>
      <xdr:rowOff>177800</xdr:rowOff>
    </xdr:to>
    <xdr:sp macro="" textlink="">
      <xdr:nvSpPr>
        <xdr:cNvPr id="28" name="Скругленный прямоугольник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>
        <a:xfrm>
          <a:off x="11353800" y="1765300"/>
          <a:ext cx="254766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2660</a:t>
          </a:r>
        </a:p>
      </xdr:txBody>
    </xdr:sp>
    <xdr:clientData/>
  </xdr:twoCellAnchor>
  <xdr:twoCellAnchor>
    <xdr:from>
      <xdr:col>16</xdr:col>
      <xdr:colOff>2578841</xdr:colOff>
      <xdr:row>8</xdr:row>
      <xdr:rowOff>12700</xdr:rowOff>
    </xdr:from>
    <xdr:to>
      <xdr:col>16</xdr:col>
      <xdr:colOff>5122635</xdr:colOff>
      <xdr:row>8</xdr:row>
      <xdr:rowOff>177800</xdr:rowOff>
    </xdr:to>
    <xdr:sp macro="" textlink="">
      <xdr:nvSpPr>
        <xdr:cNvPr id="29" name="Скругленный прямоугольник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>
        <a:xfrm>
          <a:off x="13932641" y="1765300"/>
          <a:ext cx="254379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2656</a:t>
          </a:r>
        </a:p>
      </xdr:txBody>
    </xdr:sp>
    <xdr:clientData/>
  </xdr:twoCellAnchor>
  <xdr:twoCellAnchor>
    <xdr:from>
      <xdr:col>16</xdr:col>
      <xdr:colOff>5153813</xdr:colOff>
      <xdr:row>8</xdr:row>
      <xdr:rowOff>12700</xdr:rowOff>
    </xdr:from>
    <xdr:to>
      <xdr:col>16</xdr:col>
      <xdr:colOff>5753298</xdr:colOff>
      <xdr:row>8</xdr:row>
      <xdr:rowOff>177800</xdr:rowOff>
    </xdr:to>
    <xdr:sp macro="" textlink="">
      <xdr:nvSpPr>
        <xdr:cNvPr id="30" name="Скругленный прямоугольник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>
        <a:xfrm>
          <a:off x="16507613" y="1765300"/>
          <a:ext cx="59948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B4FF" mc:Ignorable="a14" a14:legacySpreadsheetColorIndex="2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DEFF" mc:Ignorable="a14" a14:legacySpreadsheetColorIndex="2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64AA" mc:Ignorable="a14" a14:legacySpreadsheetColorIndex="2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646</a:t>
          </a:r>
        </a:p>
      </xdr:txBody>
    </xdr:sp>
    <xdr:clientData/>
  </xdr:twoCellAnchor>
  <xdr:twoCellAnchor>
    <xdr:from>
      <xdr:col>16</xdr:col>
      <xdr:colOff>0</xdr:colOff>
      <xdr:row>9</xdr:row>
      <xdr:rowOff>12700</xdr:rowOff>
    </xdr:from>
    <xdr:to>
      <xdr:col>16</xdr:col>
      <xdr:colOff>2553466</xdr:colOff>
      <xdr:row>9</xdr:row>
      <xdr:rowOff>177800</xdr:rowOff>
    </xdr:to>
    <xdr:sp macro="" textlink="">
      <xdr:nvSpPr>
        <xdr:cNvPr id="31" name="Скругленный прямоугольник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>
        <a:xfrm>
          <a:off x="11353800" y="1955800"/>
          <a:ext cx="255346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2666</a:t>
          </a:r>
        </a:p>
      </xdr:txBody>
    </xdr:sp>
    <xdr:clientData/>
  </xdr:twoCellAnchor>
  <xdr:twoCellAnchor>
    <xdr:from>
      <xdr:col>16</xdr:col>
      <xdr:colOff>2584645</xdr:colOff>
      <xdr:row>9</xdr:row>
      <xdr:rowOff>12700</xdr:rowOff>
    </xdr:from>
    <xdr:to>
      <xdr:col>16</xdr:col>
      <xdr:colOff>4132103</xdr:colOff>
      <xdr:row>9</xdr:row>
      <xdr:rowOff>177800</xdr:rowOff>
    </xdr:to>
    <xdr:sp macro="" textlink="">
      <xdr:nvSpPr>
        <xdr:cNvPr id="171360" name="Скругленный прямоугольник 171359">
          <a:extLst>
            <a:ext uri="{FF2B5EF4-FFF2-40B4-BE49-F238E27FC236}">
              <a16:creationId xmlns:a16="http://schemas.microsoft.com/office/drawing/2014/main" id="{00000000-0008-0000-0700-0000609D0200}"/>
            </a:ext>
          </a:extLst>
        </xdr:cNvPr>
        <xdr:cNvSpPr/>
      </xdr:nvSpPr>
      <xdr:spPr>
        <a:xfrm>
          <a:off x="13938445" y="1955800"/>
          <a:ext cx="154745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1626</a:t>
          </a:r>
        </a:p>
      </xdr:txBody>
    </xdr:sp>
    <xdr:clientData/>
  </xdr:twoCellAnchor>
  <xdr:twoCellAnchor>
    <xdr:from>
      <xdr:col>16</xdr:col>
      <xdr:colOff>4163281</xdr:colOff>
      <xdr:row>9</xdr:row>
      <xdr:rowOff>12700</xdr:rowOff>
    </xdr:from>
    <xdr:to>
      <xdr:col>16</xdr:col>
      <xdr:colOff>5710738</xdr:colOff>
      <xdr:row>9</xdr:row>
      <xdr:rowOff>177800</xdr:rowOff>
    </xdr:to>
    <xdr:sp macro="" textlink="">
      <xdr:nvSpPr>
        <xdr:cNvPr id="171361" name="Скругленный прямоугольник 171360">
          <a:extLst>
            <a:ext uri="{FF2B5EF4-FFF2-40B4-BE49-F238E27FC236}">
              <a16:creationId xmlns:a16="http://schemas.microsoft.com/office/drawing/2014/main" id="{00000000-0008-0000-0700-0000619D0200}"/>
            </a:ext>
          </a:extLst>
        </xdr:cNvPr>
        <xdr:cNvSpPr/>
      </xdr:nvSpPr>
      <xdr:spPr>
        <a:xfrm>
          <a:off x="15517081" y="1955800"/>
          <a:ext cx="154745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1626</a:t>
          </a:r>
        </a:p>
      </xdr:txBody>
    </xdr:sp>
    <xdr:clientData/>
  </xdr:twoCellAnchor>
  <xdr:twoCellAnchor>
    <xdr:from>
      <xdr:col>16</xdr:col>
      <xdr:colOff>5741916</xdr:colOff>
      <xdr:row>9</xdr:row>
      <xdr:rowOff>12700</xdr:rowOff>
    </xdr:from>
    <xdr:to>
      <xdr:col>16</xdr:col>
      <xdr:colOff>5778424</xdr:colOff>
      <xdr:row>9</xdr:row>
      <xdr:rowOff>177800</xdr:rowOff>
    </xdr:to>
    <xdr:sp macro="" textlink="">
      <xdr:nvSpPr>
        <xdr:cNvPr id="171362" name="Скругленный прямоугольник 171361">
          <a:extLst>
            <a:ext uri="{FF2B5EF4-FFF2-40B4-BE49-F238E27FC236}">
              <a16:creationId xmlns:a16="http://schemas.microsoft.com/office/drawing/2014/main" id="{00000000-0008-0000-0700-0000629D0200}"/>
            </a:ext>
          </a:extLst>
        </xdr:cNvPr>
        <xdr:cNvSpPr/>
      </xdr:nvSpPr>
      <xdr:spPr>
        <a:xfrm>
          <a:off x="17095716" y="1955800"/>
          <a:ext cx="3650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Остаток: 64</a:t>
          </a:r>
        </a:p>
      </xdr:txBody>
    </xdr:sp>
    <xdr:clientData/>
  </xdr:twoCellAnchor>
  <xdr:twoCellAnchor>
    <xdr:from>
      <xdr:col>16</xdr:col>
      <xdr:colOff>0</xdr:colOff>
      <xdr:row>10</xdr:row>
      <xdr:rowOff>12700</xdr:rowOff>
    </xdr:from>
    <xdr:to>
      <xdr:col>16</xdr:col>
      <xdr:colOff>1663536</xdr:colOff>
      <xdr:row>10</xdr:row>
      <xdr:rowOff>177800</xdr:rowOff>
    </xdr:to>
    <xdr:sp macro="" textlink="">
      <xdr:nvSpPr>
        <xdr:cNvPr id="171363" name="Скругленный прямоугольник 171362">
          <a:extLst>
            <a:ext uri="{FF2B5EF4-FFF2-40B4-BE49-F238E27FC236}">
              <a16:creationId xmlns:a16="http://schemas.microsoft.com/office/drawing/2014/main" id="{00000000-0008-0000-0700-0000639D0200}"/>
            </a:ext>
          </a:extLst>
        </xdr:cNvPr>
        <xdr:cNvSpPr/>
      </xdr:nvSpPr>
      <xdr:spPr>
        <a:xfrm>
          <a:off x="11353800" y="2146300"/>
          <a:ext cx="166353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1746</a:t>
          </a:r>
        </a:p>
      </xdr:txBody>
    </xdr:sp>
    <xdr:clientData/>
  </xdr:twoCellAnchor>
  <xdr:twoCellAnchor>
    <xdr:from>
      <xdr:col>16</xdr:col>
      <xdr:colOff>1694714</xdr:colOff>
      <xdr:row>10</xdr:row>
      <xdr:rowOff>12700</xdr:rowOff>
    </xdr:from>
    <xdr:to>
      <xdr:col>16</xdr:col>
      <xdr:colOff>3358248</xdr:colOff>
      <xdr:row>10</xdr:row>
      <xdr:rowOff>177800</xdr:rowOff>
    </xdr:to>
    <xdr:sp macro="" textlink="">
      <xdr:nvSpPr>
        <xdr:cNvPr id="171364" name="Скругленный прямоугольник 171363">
          <a:extLst>
            <a:ext uri="{FF2B5EF4-FFF2-40B4-BE49-F238E27FC236}">
              <a16:creationId xmlns:a16="http://schemas.microsoft.com/office/drawing/2014/main" id="{00000000-0008-0000-0700-0000649D0200}"/>
            </a:ext>
          </a:extLst>
        </xdr:cNvPr>
        <xdr:cNvSpPr/>
      </xdr:nvSpPr>
      <xdr:spPr>
        <a:xfrm>
          <a:off x="13048514" y="2146300"/>
          <a:ext cx="166353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1746</a:t>
          </a:r>
        </a:p>
      </xdr:txBody>
    </xdr:sp>
    <xdr:clientData/>
  </xdr:twoCellAnchor>
  <xdr:twoCellAnchor>
    <xdr:from>
      <xdr:col>16</xdr:col>
      <xdr:colOff>3389427</xdr:colOff>
      <xdr:row>10</xdr:row>
      <xdr:rowOff>12700</xdr:rowOff>
    </xdr:from>
    <xdr:to>
      <xdr:col>16</xdr:col>
      <xdr:colOff>4675708</xdr:colOff>
      <xdr:row>10</xdr:row>
      <xdr:rowOff>177800</xdr:rowOff>
    </xdr:to>
    <xdr:sp macro="" textlink="">
      <xdr:nvSpPr>
        <xdr:cNvPr id="171365" name="Скругленный прямоугольник 171364">
          <a:extLst>
            <a:ext uri="{FF2B5EF4-FFF2-40B4-BE49-F238E27FC236}">
              <a16:creationId xmlns:a16="http://schemas.microsoft.com/office/drawing/2014/main" id="{00000000-0008-0000-0700-0000659D0200}"/>
            </a:ext>
          </a:extLst>
        </xdr:cNvPr>
        <xdr:cNvSpPr/>
      </xdr:nvSpPr>
      <xdr:spPr>
        <a:xfrm>
          <a:off x="14743227" y="2146300"/>
          <a:ext cx="128628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1356</a:t>
          </a:r>
        </a:p>
      </xdr:txBody>
    </xdr:sp>
    <xdr:clientData/>
  </xdr:twoCellAnchor>
  <xdr:twoCellAnchor>
    <xdr:from>
      <xdr:col>16</xdr:col>
      <xdr:colOff>4706886</xdr:colOff>
      <xdr:row>10</xdr:row>
      <xdr:rowOff>12700</xdr:rowOff>
    </xdr:from>
    <xdr:to>
      <xdr:col>16</xdr:col>
      <xdr:colOff>5702973</xdr:colOff>
      <xdr:row>10</xdr:row>
      <xdr:rowOff>177800</xdr:rowOff>
    </xdr:to>
    <xdr:sp macro="" textlink="">
      <xdr:nvSpPr>
        <xdr:cNvPr id="171366" name="Скругленный прямоугольник 171365">
          <a:extLst>
            <a:ext uri="{FF2B5EF4-FFF2-40B4-BE49-F238E27FC236}">
              <a16:creationId xmlns:a16="http://schemas.microsoft.com/office/drawing/2014/main" id="{00000000-0008-0000-0700-0000669D0200}"/>
            </a:ext>
          </a:extLst>
        </xdr:cNvPr>
        <xdr:cNvSpPr/>
      </xdr:nvSpPr>
      <xdr:spPr>
        <a:xfrm>
          <a:off x="16060686" y="2146300"/>
          <a:ext cx="99608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A4" mc:Ignorable="a14" a14:legacySpreadsheetColorIndex="2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D8" mc:Ignorable="a14" a14:legacySpreadsheetColorIndex="2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53" mc:Ignorable="a14" a14:legacySpreadsheetColorIndex="2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1056</a:t>
          </a:r>
        </a:p>
      </xdr:txBody>
    </xdr:sp>
    <xdr:clientData/>
  </xdr:twoCellAnchor>
  <xdr:twoCellAnchor>
    <xdr:from>
      <xdr:col>16</xdr:col>
      <xdr:colOff>5734152</xdr:colOff>
      <xdr:row>10</xdr:row>
      <xdr:rowOff>12700</xdr:rowOff>
    </xdr:from>
    <xdr:to>
      <xdr:col>16</xdr:col>
      <xdr:colOff>5778399</xdr:colOff>
      <xdr:row>10</xdr:row>
      <xdr:rowOff>177800</xdr:rowOff>
    </xdr:to>
    <xdr:sp macro="" textlink="">
      <xdr:nvSpPr>
        <xdr:cNvPr id="171367" name="Скругленный прямоугольник 171366">
          <a:extLst>
            <a:ext uri="{FF2B5EF4-FFF2-40B4-BE49-F238E27FC236}">
              <a16:creationId xmlns:a16="http://schemas.microsoft.com/office/drawing/2014/main" id="{00000000-0008-0000-0700-0000679D0200}"/>
            </a:ext>
          </a:extLst>
        </xdr:cNvPr>
        <xdr:cNvSpPr/>
      </xdr:nvSpPr>
      <xdr:spPr>
        <a:xfrm>
          <a:off x="17087952" y="2146300"/>
          <a:ext cx="442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Остаток: 72</a:t>
          </a:r>
        </a:p>
      </xdr:txBody>
    </xdr:sp>
    <xdr:clientData/>
  </xdr:twoCellAnchor>
  <xdr:twoCellAnchor>
    <xdr:from>
      <xdr:col>16</xdr:col>
      <xdr:colOff>0</xdr:colOff>
      <xdr:row>11</xdr:row>
      <xdr:rowOff>12700</xdr:rowOff>
    </xdr:from>
    <xdr:to>
      <xdr:col>16</xdr:col>
      <xdr:colOff>1663536</xdr:colOff>
      <xdr:row>11</xdr:row>
      <xdr:rowOff>177800</xdr:rowOff>
    </xdr:to>
    <xdr:sp macro="" textlink="">
      <xdr:nvSpPr>
        <xdr:cNvPr id="171368" name="Скругленный прямоугольник 171367">
          <a:extLst>
            <a:ext uri="{FF2B5EF4-FFF2-40B4-BE49-F238E27FC236}">
              <a16:creationId xmlns:a16="http://schemas.microsoft.com/office/drawing/2014/main" id="{00000000-0008-0000-0700-0000689D0200}"/>
            </a:ext>
          </a:extLst>
        </xdr:cNvPr>
        <xdr:cNvSpPr/>
      </xdr:nvSpPr>
      <xdr:spPr>
        <a:xfrm>
          <a:off x="11353800" y="2336800"/>
          <a:ext cx="166353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1746</a:t>
          </a:r>
        </a:p>
      </xdr:txBody>
    </xdr:sp>
    <xdr:clientData/>
  </xdr:twoCellAnchor>
  <xdr:twoCellAnchor>
    <xdr:from>
      <xdr:col>16</xdr:col>
      <xdr:colOff>1694714</xdr:colOff>
      <xdr:row>11</xdr:row>
      <xdr:rowOff>12700</xdr:rowOff>
    </xdr:from>
    <xdr:to>
      <xdr:col>16</xdr:col>
      <xdr:colOff>3358248</xdr:colOff>
      <xdr:row>11</xdr:row>
      <xdr:rowOff>177800</xdr:rowOff>
    </xdr:to>
    <xdr:sp macro="" textlink="">
      <xdr:nvSpPr>
        <xdr:cNvPr id="171369" name="Скругленный прямоугольник 171368">
          <a:extLst>
            <a:ext uri="{FF2B5EF4-FFF2-40B4-BE49-F238E27FC236}">
              <a16:creationId xmlns:a16="http://schemas.microsoft.com/office/drawing/2014/main" id="{00000000-0008-0000-0700-0000699D0200}"/>
            </a:ext>
          </a:extLst>
        </xdr:cNvPr>
        <xdr:cNvSpPr/>
      </xdr:nvSpPr>
      <xdr:spPr>
        <a:xfrm>
          <a:off x="13048514" y="2336800"/>
          <a:ext cx="166353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1746</a:t>
          </a:r>
        </a:p>
      </xdr:txBody>
    </xdr:sp>
    <xdr:clientData/>
  </xdr:twoCellAnchor>
  <xdr:twoCellAnchor>
    <xdr:from>
      <xdr:col>16</xdr:col>
      <xdr:colOff>3389427</xdr:colOff>
      <xdr:row>11</xdr:row>
      <xdr:rowOff>12700</xdr:rowOff>
    </xdr:from>
    <xdr:to>
      <xdr:col>16</xdr:col>
      <xdr:colOff>5052963</xdr:colOff>
      <xdr:row>11</xdr:row>
      <xdr:rowOff>177800</xdr:rowOff>
    </xdr:to>
    <xdr:sp macro="" textlink="">
      <xdr:nvSpPr>
        <xdr:cNvPr id="171370" name="Скругленный прямоугольник 171369">
          <a:extLst>
            <a:ext uri="{FF2B5EF4-FFF2-40B4-BE49-F238E27FC236}">
              <a16:creationId xmlns:a16="http://schemas.microsoft.com/office/drawing/2014/main" id="{00000000-0008-0000-0700-00006A9D0200}"/>
            </a:ext>
          </a:extLst>
        </xdr:cNvPr>
        <xdr:cNvSpPr/>
      </xdr:nvSpPr>
      <xdr:spPr>
        <a:xfrm>
          <a:off x="14743227" y="2336800"/>
          <a:ext cx="166353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1746</a:t>
          </a:r>
        </a:p>
      </xdr:txBody>
    </xdr:sp>
    <xdr:clientData/>
  </xdr:twoCellAnchor>
  <xdr:twoCellAnchor>
    <xdr:from>
      <xdr:col>16</xdr:col>
      <xdr:colOff>5084141</xdr:colOff>
      <xdr:row>11</xdr:row>
      <xdr:rowOff>12700</xdr:rowOff>
    </xdr:from>
    <xdr:to>
      <xdr:col>16</xdr:col>
      <xdr:colOff>5702974</xdr:colOff>
      <xdr:row>11</xdr:row>
      <xdr:rowOff>177800</xdr:rowOff>
    </xdr:to>
    <xdr:sp macro="" textlink="">
      <xdr:nvSpPr>
        <xdr:cNvPr id="171371" name="Скругленный прямоугольник 171370">
          <a:extLst>
            <a:ext uri="{FF2B5EF4-FFF2-40B4-BE49-F238E27FC236}">
              <a16:creationId xmlns:a16="http://schemas.microsoft.com/office/drawing/2014/main" id="{00000000-0008-0000-0700-00006B9D0200}"/>
            </a:ext>
          </a:extLst>
        </xdr:cNvPr>
        <xdr:cNvSpPr/>
      </xdr:nvSpPr>
      <xdr:spPr>
        <a:xfrm>
          <a:off x="16437941" y="2336800"/>
          <a:ext cx="61883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666</a:t>
          </a:r>
        </a:p>
      </xdr:txBody>
    </xdr:sp>
    <xdr:clientData/>
  </xdr:twoCellAnchor>
  <xdr:twoCellAnchor>
    <xdr:from>
      <xdr:col>16</xdr:col>
      <xdr:colOff>5734152</xdr:colOff>
      <xdr:row>11</xdr:row>
      <xdr:rowOff>12700</xdr:rowOff>
    </xdr:from>
    <xdr:to>
      <xdr:col>16</xdr:col>
      <xdr:colOff>5778399</xdr:colOff>
      <xdr:row>11</xdr:row>
      <xdr:rowOff>177800</xdr:rowOff>
    </xdr:to>
    <xdr:sp macro="" textlink="">
      <xdr:nvSpPr>
        <xdr:cNvPr id="171372" name="Скругленный прямоугольник 171371">
          <a:extLst>
            <a:ext uri="{FF2B5EF4-FFF2-40B4-BE49-F238E27FC236}">
              <a16:creationId xmlns:a16="http://schemas.microsoft.com/office/drawing/2014/main" id="{00000000-0008-0000-0700-00006C9D0200}"/>
            </a:ext>
          </a:extLst>
        </xdr:cNvPr>
        <xdr:cNvSpPr/>
      </xdr:nvSpPr>
      <xdr:spPr>
        <a:xfrm>
          <a:off x="17087952" y="2336800"/>
          <a:ext cx="442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Остаток: 72</a:t>
          </a:r>
        </a:p>
      </xdr:txBody>
    </xdr:sp>
    <xdr:clientData/>
  </xdr:twoCellAnchor>
  <xdr:twoCellAnchor>
    <xdr:from>
      <xdr:col>16</xdr:col>
      <xdr:colOff>0</xdr:colOff>
      <xdr:row>12</xdr:row>
      <xdr:rowOff>12700</xdr:rowOff>
    </xdr:from>
    <xdr:to>
      <xdr:col>16</xdr:col>
      <xdr:colOff>2543794</xdr:colOff>
      <xdr:row>12</xdr:row>
      <xdr:rowOff>177800</xdr:rowOff>
    </xdr:to>
    <xdr:sp macro="" textlink="">
      <xdr:nvSpPr>
        <xdr:cNvPr id="171373" name="Скругленный прямоугольник 171372">
          <a:extLst>
            <a:ext uri="{FF2B5EF4-FFF2-40B4-BE49-F238E27FC236}">
              <a16:creationId xmlns:a16="http://schemas.microsoft.com/office/drawing/2014/main" id="{00000000-0008-0000-0700-00006D9D0200}"/>
            </a:ext>
          </a:extLst>
        </xdr:cNvPr>
        <xdr:cNvSpPr/>
      </xdr:nvSpPr>
      <xdr:spPr>
        <a:xfrm>
          <a:off x="11353800" y="2527300"/>
          <a:ext cx="254379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2656</a:t>
          </a:r>
        </a:p>
      </xdr:txBody>
    </xdr:sp>
    <xdr:clientData/>
  </xdr:twoCellAnchor>
  <xdr:twoCellAnchor>
    <xdr:from>
      <xdr:col>16</xdr:col>
      <xdr:colOff>2574972</xdr:colOff>
      <xdr:row>12</xdr:row>
      <xdr:rowOff>12700</xdr:rowOff>
    </xdr:from>
    <xdr:to>
      <xdr:col>16</xdr:col>
      <xdr:colOff>4122429</xdr:colOff>
      <xdr:row>12</xdr:row>
      <xdr:rowOff>177800</xdr:rowOff>
    </xdr:to>
    <xdr:sp macro="" textlink="">
      <xdr:nvSpPr>
        <xdr:cNvPr id="171374" name="Скругленный прямоугольник 171373">
          <a:extLst>
            <a:ext uri="{FF2B5EF4-FFF2-40B4-BE49-F238E27FC236}">
              <a16:creationId xmlns:a16="http://schemas.microsoft.com/office/drawing/2014/main" id="{00000000-0008-0000-0700-00006E9D0200}"/>
            </a:ext>
          </a:extLst>
        </xdr:cNvPr>
        <xdr:cNvSpPr/>
      </xdr:nvSpPr>
      <xdr:spPr>
        <a:xfrm>
          <a:off x="13928772" y="2527300"/>
          <a:ext cx="154745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1626</a:t>
          </a:r>
        </a:p>
      </xdr:txBody>
    </xdr:sp>
    <xdr:clientData/>
  </xdr:twoCellAnchor>
  <xdr:twoCellAnchor>
    <xdr:from>
      <xdr:col>16</xdr:col>
      <xdr:colOff>4153607</xdr:colOff>
      <xdr:row>12</xdr:row>
      <xdr:rowOff>12700</xdr:rowOff>
    </xdr:from>
    <xdr:to>
      <xdr:col>16</xdr:col>
      <xdr:colOff>5701064</xdr:colOff>
      <xdr:row>12</xdr:row>
      <xdr:rowOff>177800</xdr:rowOff>
    </xdr:to>
    <xdr:sp macro="" textlink="">
      <xdr:nvSpPr>
        <xdr:cNvPr id="171375" name="Скругленный прямоугольник 171374">
          <a:extLst>
            <a:ext uri="{FF2B5EF4-FFF2-40B4-BE49-F238E27FC236}">
              <a16:creationId xmlns:a16="http://schemas.microsoft.com/office/drawing/2014/main" id="{00000000-0008-0000-0700-00006F9D0200}"/>
            </a:ext>
          </a:extLst>
        </xdr:cNvPr>
        <xdr:cNvSpPr/>
      </xdr:nvSpPr>
      <xdr:spPr>
        <a:xfrm>
          <a:off x="15507407" y="2527300"/>
          <a:ext cx="154745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1626</a:t>
          </a:r>
        </a:p>
      </xdr:txBody>
    </xdr:sp>
    <xdr:clientData/>
  </xdr:twoCellAnchor>
  <xdr:twoCellAnchor>
    <xdr:from>
      <xdr:col>16</xdr:col>
      <xdr:colOff>5732242</xdr:colOff>
      <xdr:row>12</xdr:row>
      <xdr:rowOff>12700</xdr:rowOff>
    </xdr:from>
    <xdr:to>
      <xdr:col>16</xdr:col>
      <xdr:colOff>5778424</xdr:colOff>
      <xdr:row>12</xdr:row>
      <xdr:rowOff>177800</xdr:rowOff>
    </xdr:to>
    <xdr:sp macro="" textlink="">
      <xdr:nvSpPr>
        <xdr:cNvPr id="171376" name="Скругленный прямоугольник 171375">
          <a:extLst>
            <a:ext uri="{FF2B5EF4-FFF2-40B4-BE49-F238E27FC236}">
              <a16:creationId xmlns:a16="http://schemas.microsoft.com/office/drawing/2014/main" id="{00000000-0008-0000-0700-0000709D0200}"/>
            </a:ext>
          </a:extLst>
        </xdr:cNvPr>
        <xdr:cNvSpPr/>
      </xdr:nvSpPr>
      <xdr:spPr>
        <a:xfrm>
          <a:off x="17086042" y="2527300"/>
          <a:ext cx="4618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Остаток: 74</a:t>
          </a:r>
        </a:p>
      </xdr:txBody>
    </xdr:sp>
    <xdr:clientData/>
  </xdr:twoCellAnchor>
  <xdr:twoCellAnchor>
    <xdr:from>
      <xdr:col>16</xdr:col>
      <xdr:colOff>0</xdr:colOff>
      <xdr:row>13</xdr:row>
      <xdr:rowOff>12700</xdr:rowOff>
    </xdr:from>
    <xdr:to>
      <xdr:col>16</xdr:col>
      <xdr:colOff>2553466</xdr:colOff>
      <xdr:row>13</xdr:row>
      <xdr:rowOff>177800</xdr:rowOff>
    </xdr:to>
    <xdr:sp macro="" textlink="">
      <xdr:nvSpPr>
        <xdr:cNvPr id="171377" name="Скругленный прямоугольник 171376">
          <a:extLst>
            <a:ext uri="{FF2B5EF4-FFF2-40B4-BE49-F238E27FC236}">
              <a16:creationId xmlns:a16="http://schemas.microsoft.com/office/drawing/2014/main" id="{00000000-0008-0000-0700-0000719D0200}"/>
            </a:ext>
          </a:extLst>
        </xdr:cNvPr>
        <xdr:cNvSpPr/>
      </xdr:nvSpPr>
      <xdr:spPr>
        <a:xfrm>
          <a:off x="11353800" y="2717800"/>
          <a:ext cx="255346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2666</a:t>
          </a:r>
        </a:p>
      </xdr:txBody>
    </xdr:sp>
    <xdr:clientData/>
  </xdr:twoCellAnchor>
  <xdr:twoCellAnchor>
    <xdr:from>
      <xdr:col>16</xdr:col>
      <xdr:colOff>2584645</xdr:colOff>
      <xdr:row>13</xdr:row>
      <xdr:rowOff>12700</xdr:rowOff>
    </xdr:from>
    <xdr:to>
      <xdr:col>16</xdr:col>
      <xdr:colOff>3609752</xdr:colOff>
      <xdr:row>13</xdr:row>
      <xdr:rowOff>177800</xdr:rowOff>
    </xdr:to>
    <xdr:sp macro="" textlink="">
      <xdr:nvSpPr>
        <xdr:cNvPr id="171378" name="Скругленный прямоугольник 171377">
          <a:extLst>
            <a:ext uri="{FF2B5EF4-FFF2-40B4-BE49-F238E27FC236}">
              <a16:creationId xmlns:a16="http://schemas.microsoft.com/office/drawing/2014/main" id="{00000000-0008-0000-0700-0000729D0200}"/>
            </a:ext>
          </a:extLst>
        </xdr:cNvPr>
        <xdr:cNvSpPr/>
      </xdr:nvSpPr>
      <xdr:spPr>
        <a:xfrm>
          <a:off x="13938445" y="2717800"/>
          <a:ext cx="102510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7C" mc:Ignorable="a14" a14:legacySpreadsheetColorIndex="1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CB" mc:Ignorable="a14" a14:legacySpreadsheetColorIndex="1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00" mc:Ignorable="a14" a14:legacySpreadsheetColorIndex="1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1086</a:t>
          </a:r>
        </a:p>
      </xdr:txBody>
    </xdr:sp>
    <xdr:clientData/>
  </xdr:twoCellAnchor>
  <xdr:twoCellAnchor>
    <xdr:from>
      <xdr:col>16</xdr:col>
      <xdr:colOff>3640930</xdr:colOff>
      <xdr:row>13</xdr:row>
      <xdr:rowOff>12700</xdr:rowOff>
    </xdr:from>
    <xdr:to>
      <xdr:col>16</xdr:col>
      <xdr:colOff>4666036</xdr:colOff>
      <xdr:row>13</xdr:row>
      <xdr:rowOff>177800</xdr:rowOff>
    </xdr:to>
    <xdr:sp macro="" textlink="">
      <xdr:nvSpPr>
        <xdr:cNvPr id="171379" name="Скругленный прямоугольник 171378">
          <a:extLst>
            <a:ext uri="{FF2B5EF4-FFF2-40B4-BE49-F238E27FC236}">
              <a16:creationId xmlns:a16="http://schemas.microsoft.com/office/drawing/2014/main" id="{00000000-0008-0000-0700-0000739D0200}"/>
            </a:ext>
          </a:extLst>
        </xdr:cNvPr>
        <xdr:cNvSpPr/>
      </xdr:nvSpPr>
      <xdr:spPr>
        <a:xfrm>
          <a:off x="14994730" y="2717800"/>
          <a:ext cx="102510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7C" mc:Ignorable="a14" a14:legacySpreadsheetColorIndex="1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CB" mc:Ignorable="a14" a14:legacySpreadsheetColorIndex="1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00" mc:Ignorable="a14" a14:legacySpreadsheetColorIndex="1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1086</a:t>
          </a:r>
        </a:p>
      </xdr:txBody>
    </xdr:sp>
    <xdr:clientData/>
  </xdr:twoCellAnchor>
  <xdr:twoCellAnchor>
    <xdr:from>
      <xdr:col>16</xdr:col>
      <xdr:colOff>4697214</xdr:colOff>
      <xdr:row>13</xdr:row>
      <xdr:rowOff>12700</xdr:rowOff>
    </xdr:from>
    <xdr:to>
      <xdr:col>16</xdr:col>
      <xdr:colOff>5693301</xdr:colOff>
      <xdr:row>13</xdr:row>
      <xdr:rowOff>177800</xdr:rowOff>
    </xdr:to>
    <xdr:sp macro="" textlink="">
      <xdr:nvSpPr>
        <xdr:cNvPr id="171380" name="Скругленный прямоугольник 171379">
          <a:extLst>
            <a:ext uri="{FF2B5EF4-FFF2-40B4-BE49-F238E27FC236}">
              <a16:creationId xmlns:a16="http://schemas.microsoft.com/office/drawing/2014/main" id="{00000000-0008-0000-0700-0000749D0200}"/>
            </a:ext>
          </a:extLst>
        </xdr:cNvPr>
        <xdr:cNvSpPr/>
      </xdr:nvSpPr>
      <xdr:spPr>
        <a:xfrm>
          <a:off x="16051014" y="2717800"/>
          <a:ext cx="99608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A4" mc:Ignorable="a14" a14:legacySpreadsheetColorIndex="2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D8" mc:Ignorable="a14" a14:legacySpreadsheetColorIndex="2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53" mc:Ignorable="a14" a14:legacySpreadsheetColorIndex="2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1056</a:t>
          </a:r>
        </a:p>
      </xdr:txBody>
    </xdr:sp>
    <xdr:clientData/>
  </xdr:twoCellAnchor>
  <xdr:twoCellAnchor>
    <xdr:from>
      <xdr:col>16</xdr:col>
      <xdr:colOff>5724478</xdr:colOff>
      <xdr:row>13</xdr:row>
      <xdr:rowOff>12700</xdr:rowOff>
    </xdr:from>
    <xdr:to>
      <xdr:col>16</xdr:col>
      <xdr:colOff>5778398</xdr:colOff>
      <xdr:row>13</xdr:row>
      <xdr:rowOff>177800</xdr:rowOff>
    </xdr:to>
    <xdr:sp macro="" textlink="">
      <xdr:nvSpPr>
        <xdr:cNvPr id="171381" name="Скругленный прямоугольник 171380">
          <a:extLst>
            <a:ext uri="{FF2B5EF4-FFF2-40B4-BE49-F238E27FC236}">
              <a16:creationId xmlns:a16="http://schemas.microsoft.com/office/drawing/2014/main" id="{00000000-0008-0000-0700-0000759D0200}"/>
            </a:ext>
          </a:extLst>
        </xdr:cNvPr>
        <xdr:cNvSpPr/>
      </xdr:nvSpPr>
      <xdr:spPr>
        <a:xfrm>
          <a:off x="17078278" y="2717800"/>
          <a:ext cx="5392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Остаток: 82</a:t>
          </a:r>
        </a:p>
      </xdr:txBody>
    </xdr:sp>
    <xdr:clientData/>
  </xdr:twoCellAnchor>
  <xdr:twoCellAnchor>
    <xdr:from>
      <xdr:col>16</xdr:col>
      <xdr:colOff>0</xdr:colOff>
      <xdr:row>14</xdr:row>
      <xdr:rowOff>12700</xdr:rowOff>
    </xdr:from>
    <xdr:to>
      <xdr:col>16</xdr:col>
      <xdr:colOff>1663536</xdr:colOff>
      <xdr:row>14</xdr:row>
      <xdr:rowOff>177800</xdr:rowOff>
    </xdr:to>
    <xdr:sp macro="" textlink="">
      <xdr:nvSpPr>
        <xdr:cNvPr id="171382" name="Скругленный прямоугольник 171381">
          <a:extLst>
            <a:ext uri="{FF2B5EF4-FFF2-40B4-BE49-F238E27FC236}">
              <a16:creationId xmlns:a16="http://schemas.microsoft.com/office/drawing/2014/main" id="{00000000-0008-0000-0700-0000769D0200}"/>
            </a:ext>
          </a:extLst>
        </xdr:cNvPr>
        <xdr:cNvSpPr/>
      </xdr:nvSpPr>
      <xdr:spPr>
        <a:xfrm>
          <a:off x="11353800" y="2908300"/>
          <a:ext cx="166353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1746</a:t>
          </a:r>
        </a:p>
      </xdr:txBody>
    </xdr:sp>
    <xdr:clientData/>
  </xdr:twoCellAnchor>
  <xdr:twoCellAnchor>
    <xdr:from>
      <xdr:col>16</xdr:col>
      <xdr:colOff>1694714</xdr:colOff>
      <xdr:row>14</xdr:row>
      <xdr:rowOff>12700</xdr:rowOff>
    </xdr:from>
    <xdr:to>
      <xdr:col>16</xdr:col>
      <xdr:colOff>3358248</xdr:colOff>
      <xdr:row>14</xdr:row>
      <xdr:rowOff>177800</xdr:rowOff>
    </xdr:to>
    <xdr:sp macro="" textlink="">
      <xdr:nvSpPr>
        <xdr:cNvPr id="171383" name="Скругленный прямоугольник 171382">
          <a:extLst>
            <a:ext uri="{FF2B5EF4-FFF2-40B4-BE49-F238E27FC236}">
              <a16:creationId xmlns:a16="http://schemas.microsoft.com/office/drawing/2014/main" id="{00000000-0008-0000-0700-0000779D0200}"/>
            </a:ext>
          </a:extLst>
        </xdr:cNvPr>
        <xdr:cNvSpPr/>
      </xdr:nvSpPr>
      <xdr:spPr>
        <a:xfrm>
          <a:off x="13048514" y="2908300"/>
          <a:ext cx="166353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1746</a:t>
          </a:r>
        </a:p>
      </xdr:txBody>
    </xdr:sp>
    <xdr:clientData/>
  </xdr:twoCellAnchor>
  <xdr:twoCellAnchor>
    <xdr:from>
      <xdr:col>16</xdr:col>
      <xdr:colOff>3389427</xdr:colOff>
      <xdr:row>14</xdr:row>
      <xdr:rowOff>12700</xdr:rowOff>
    </xdr:from>
    <xdr:to>
      <xdr:col>16</xdr:col>
      <xdr:colOff>4008261</xdr:colOff>
      <xdr:row>14</xdr:row>
      <xdr:rowOff>177800</xdr:rowOff>
    </xdr:to>
    <xdr:sp macro="" textlink="">
      <xdr:nvSpPr>
        <xdr:cNvPr id="171384" name="Скругленный прямоугольник 171383">
          <a:extLst>
            <a:ext uri="{FF2B5EF4-FFF2-40B4-BE49-F238E27FC236}">
              <a16:creationId xmlns:a16="http://schemas.microsoft.com/office/drawing/2014/main" id="{00000000-0008-0000-0700-0000789D0200}"/>
            </a:ext>
          </a:extLst>
        </xdr:cNvPr>
        <xdr:cNvSpPr/>
      </xdr:nvSpPr>
      <xdr:spPr>
        <a:xfrm>
          <a:off x="14743227" y="2908300"/>
          <a:ext cx="61883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666</a:t>
          </a:r>
        </a:p>
      </xdr:txBody>
    </xdr:sp>
    <xdr:clientData/>
  </xdr:twoCellAnchor>
  <xdr:twoCellAnchor>
    <xdr:from>
      <xdr:col>16</xdr:col>
      <xdr:colOff>4039439</xdr:colOff>
      <xdr:row>14</xdr:row>
      <xdr:rowOff>12700</xdr:rowOff>
    </xdr:from>
    <xdr:to>
      <xdr:col>16</xdr:col>
      <xdr:colOff>4580886</xdr:colOff>
      <xdr:row>14</xdr:row>
      <xdr:rowOff>177800</xdr:rowOff>
    </xdr:to>
    <xdr:sp macro="" textlink="">
      <xdr:nvSpPr>
        <xdr:cNvPr id="171385" name="Скругленный прямоугольник 171384">
          <a:extLst>
            <a:ext uri="{FF2B5EF4-FFF2-40B4-BE49-F238E27FC236}">
              <a16:creationId xmlns:a16="http://schemas.microsoft.com/office/drawing/2014/main" id="{00000000-0008-0000-0700-0000799D0200}"/>
            </a:ext>
          </a:extLst>
        </xdr:cNvPr>
        <xdr:cNvSpPr/>
      </xdr:nvSpPr>
      <xdr:spPr>
        <a:xfrm>
          <a:off x="15393239" y="2908300"/>
          <a:ext cx="5414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586</a:t>
          </a:r>
        </a:p>
      </xdr:txBody>
    </xdr:sp>
    <xdr:clientData/>
  </xdr:twoCellAnchor>
  <xdr:twoCellAnchor>
    <xdr:from>
      <xdr:col>16</xdr:col>
      <xdr:colOff>0</xdr:colOff>
      <xdr:row>15</xdr:row>
      <xdr:rowOff>12700</xdr:rowOff>
    </xdr:from>
    <xdr:to>
      <xdr:col>16</xdr:col>
      <xdr:colOff>1363667</xdr:colOff>
      <xdr:row>15</xdr:row>
      <xdr:rowOff>177800</xdr:rowOff>
    </xdr:to>
    <xdr:sp macro="" textlink="">
      <xdr:nvSpPr>
        <xdr:cNvPr id="171443" name="Скругленный прямоугольник 171442">
          <a:extLst>
            <a:ext uri="{FF2B5EF4-FFF2-40B4-BE49-F238E27FC236}">
              <a16:creationId xmlns:a16="http://schemas.microsoft.com/office/drawing/2014/main" id="{00000000-0008-0000-0700-0000B39D0200}"/>
            </a:ext>
          </a:extLst>
        </xdr:cNvPr>
        <xdr:cNvSpPr/>
      </xdr:nvSpPr>
      <xdr:spPr>
        <a:xfrm>
          <a:off x="11353800" y="3098800"/>
          <a:ext cx="136366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1436</a:t>
          </a:r>
        </a:p>
      </xdr:txBody>
    </xdr:sp>
    <xdr:clientData/>
  </xdr:twoCellAnchor>
  <xdr:twoCellAnchor>
    <xdr:from>
      <xdr:col>16</xdr:col>
      <xdr:colOff>1394845</xdr:colOff>
      <xdr:row>15</xdr:row>
      <xdr:rowOff>12700</xdr:rowOff>
    </xdr:from>
    <xdr:to>
      <xdr:col>16</xdr:col>
      <xdr:colOff>1936293</xdr:colOff>
      <xdr:row>15</xdr:row>
      <xdr:rowOff>177800</xdr:rowOff>
    </xdr:to>
    <xdr:sp macro="" textlink="">
      <xdr:nvSpPr>
        <xdr:cNvPr id="171444" name="Скругленный прямоугольник 171443">
          <a:extLst>
            <a:ext uri="{FF2B5EF4-FFF2-40B4-BE49-F238E27FC236}">
              <a16:creationId xmlns:a16="http://schemas.microsoft.com/office/drawing/2014/main" id="{00000000-0008-0000-0700-0000B49D0200}"/>
            </a:ext>
          </a:extLst>
        </xdr:cNvPr>
        <xdr:cNvSpPr/>
      </xdr:nvSpPr>
      <xdr:spPr>
        <a:xfrm>
          <a:off x="12748645" y="3098800"/>
          <a:ext cx="54144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586</a:t>
          </a:r>
        </a:p>
      </xdr:txBody>
    </xdr:sp>
    <xdr:clientData/>
  </xdr:twoCellAnchor>
  <xdr:twoCellAnchor>
    <xdr:from>
      <xdr:col>16</xdr:col>
      <xdr:colOff>0</xdr:colOff>
      <xdr:row>16</xdr:row>
      <xdr:rowOff>12700</xdr:rowOff>
    </xdr:from>
    <xdr:to>
      <xdr:col>16</xdr:col>
      <xdr:colOff>1102491</xdr:colOff>
      <xdr:row>16</xdr:row>
      <xdr:rowOff>177800</xdr:rowOff>
    </xdr:to>
    <xdr:sp macro="" textlink="">
      <xdr:nvSpPr>
        <xdr:cNvPr id="171445" name="Скругленный прямоугольник 171444">
          <a:extLst>
            <a:ext uri="{FF2B5EF4-FFF2-40B4-BE49-F238E27FC236}">
              <a16:creationId xmlns:a16="http://schemas.microsoft.com/office/drawing/2014/main" id="{00000000-0008-0000-0700-0000B59D0200}"/>
            </a:ext>
          </a:extLst>
        </xdr:cNvPr>
        <xdr:cNvSpPr/>
      </xdr:nvSpPr>
      <xdr:spPr>
        <a:xfrm>
          <a:off x="11353800" y="32893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1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1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1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1133670</xdr:colOff>
      <xdr:row>16</xdr:row>
      <xdr:rowOff>12700</xdr:rowOff>
    </xdr:from>
    <xdr:to>
      <xdr:col>16</xdr:col>
      <xdr:colOff>1771848</xdr:colOff>
      <xdr:row>16</xdr:row>
      <xdr:rowOff>177800</xdr:rowOff>
    </xdr:to>
    <xdr:sp macro="" textlink="">
      <xdr:nvSpPr>
        <xdr:cNvPr id="171446" name="Скругленный прямоугольник 171445">
          <a:extLst>
            <a:ext uri="{FF2B5EF4-FFF2-40B4-BE49-F238E27FC236}">
              <a16:creationId xmlns:a16="http://schemas.microsoft.com/office/drawing/2014/main" id="{00000000-0008-0000-0700-0000B69D0200}"/>
            </a:ext>
          </a:extLst>
        </xdr:cNvPr>
        <xdr:cNvSpPr/>
      </xdr:nvSpPr>
      <xdr:spPr>
        <a:xfrm>
          <a:off x="12487470" y="3289300"/>
          <a:ext cx="63817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CFCFCF" mc:Ignorable="a14" a14:legacySpreadsheetColorIndex="2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8E8E8" mc:Ignorable="a14" a14:legacySpreadsheetColorIndex="2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7F7F7F" mc:Ignorable="a14" a14:legacySpreadsheetColorIndex="2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686</a:t>
          </a:r>
        </a:p>
      </xdr:txBody>
    </xdr:sp>
    <xdr:clientData/>
  </xdr:twoCellAnchor>
  <xdr:twoCellAnchor>
    <xdr:from>
      <xdr:col>16</xdr:col>
      <xdr:colOff>1803028</xdr:colOff>
      <xdr:row>16</xdr:row>
      <xdr:rowOff>12700</xdr:rowOff>
    </xdr:from>
    <xdr:to>
      <xdr:col>16</xdr:col>
      <xdr:colOff>1831798</xdr:colOff>
      <xdr:row>16</xdr:row>
      <xdr:rowOff>177800</xdr:rowOff>
    </xdr:to>
    <xdr:sp macro="" textlink="">
      <xdr:nvSpPr>
        <xdr:cNvPr id="171447" name="Скругленный прямоугольник 171446">
          <a:extLst>
            <a:ext uri="{FF2B5EF4-FFF2-40B4-BE49-F238E27FC236}">
              <a16:creationId xmlns:a16="http://schemas.microsoft.com/office/drawing/2014/main" id="{00000000-0008-0000-0700-0000B79D0200}"/>
            </a:ext>
          </a:extLst>
        </xdr:cNvPr>
        <xdr:cNvSpPr/>
      </xdr:nvSpPr>
      <xdr:spPr>
        <a:xfrm>
          <a:off x="13156828" y="3289300"/>
          <a:ext cx="2877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Остаток: 56</a:t>
          </a:r>
        </a:p>
      </xdr:txBody>
    </xdr:sp>
    <xdr:clientData/>
  </xdr:twoCellAnchor>
  <xdr:twoCellAnchor>
    <xdr:from>
      <xdr:col>16</xdr:col>
      <xdr:colOff>0</xdr:colOff>
      <xdr:row>17</xdr:row>
      <xdr:rowOff>12700</xdr:rowOff>
    </xdr:from>
    <xdr:to>
      <xdr:col>16</xdr:col>
      <xdr:colOff>1547457</xdr:colOff>
      <xdr:row>17</xdr:row>
      <xdr:rowOff>177800</xdr:rowOff>
    </xdr:to>
    <xdr:sp macro="" textlink="">
      <xdr:nvSpPr>
        <xdr:cNvPr id="171448" name="Скругленный прямоугольник 171447">
          <a:extLst>
            <a:ext uri="{FF2B5EF4-FFF2-40B4-BE49-F238E27FC236}">
              <a16:creationId xmlns:a16="http://schemas.microsoft.com/office/drawing/2014/main" id="{00000000-0008-0000-0700-0000B89D0200}"/>
            </a:ext>
          </a:extLst>
        </xdr:cNvPr>
        <xdr:cNvSpPr/>
      </xdr:nvSpPr>
      <xdr:spPr>
        <a:xfrm>
          <a:off x="11353800" y="3479800"/>
          <a:ext cx="154745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1626</a:t>
          </a:r>
        </a:p>
      </xdr:txBody>
    </xdr:sp>
    <xdr:clientData/>
  </xdr:twoCellAnchor>
  <xdr:twoCellAnchor>
    <xdr:from>
      <xdr:col>16</xdr:col>
      <xdr:colOff>1578635</xdr:colOff>
      <xdr:row>17</xdr:row>
      <xdr:rowOff>12700</xdr:rowOff>
    </xdr:from>
    <xdr:to>
      <xdr:col>16</xdr:col>
      <xdr:colOff>1629653</xdr:colOff>
      <xdr:row>17</xdr:row>
      <xdr:rowOff>177800</xdr:rowOff>
    </xdr:to>
    <xdr:sp macro="" textlink="">
      <xdr:nvSpPr>
        <xdr:cNvPr id="171449" name="Скругленный прямоугольник 171448">
          <a:extLst>
            <a:ext uri="{FF2B5EF4-FFF2-40B4-BE49-F238E27FC236}">
              <a16:creationId xmlns:a16="http://schemas.microsoft.com/office/drawing/2014/main" id="{00000000-0008-0000-0700-0000B99D0200}"/>
            </a:ext>
          </a:extLst>
        </xdr:cNvPr>
        <xdr:cNvSpPr/>
      </xdr:nvSpPr>
      <xdr:spPr>
        <a:xfrm>
          <a:off x="12932435" y="3479800"/>
          <a:ext cx="5101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Остаток: 79</a:t>
          </a:r>
        </a:p>
      </xdr:txBody>
    </xdr:sp>
    <xdr:clientData/>
  </xdr:twoCellAnchor>
  <xdr:twoCellAnchor>
    <xdr:from>
      <xdr:col>16</xdr:col>
      <xdr:colOff>0</xdr:colOff>
      <xdr:row>18</xdr:row>
      <xdr:rowOff>12700</xdr:rowOff>
    </xdr:from>
    <xdr:to>
      <xdr:col>16</xdr:col>
      <xdr:colOff>1025106</xdr:colOff>
      <xdr:row>18</xdr:row>
      <xdr:rowOff>177800</xdr:rowOff>
    </xdr:to>
    <xdr:sp macro="" textlink="">
      <xdr:nvSpPr>
        <xdr:cNvPr id="171450" name="Скругленный прямоугольник 171449">
          <a:extLst>
            <a:ext uri="{FF2B5EF4-FFF2-40B4-BE49-F238E27FC236}">
              <a16:creationId xmlns:a16="http://schemas.microsoft.com/office/drawing/2014/main" id="{00000000-0008-0000-0700-0000BA9D0200}"/>
            </a:ext>
          </a:extLst>
        </xdr:cNvPr>
        <xdr:cNvSpPr/>
      </xdr:nvSpPr>
      <xdr:spPr>
        <a:xfrm>
          <a:off x="11353800" y="3670300"/>
          <a:ext cx="102510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7C" mc:Ignorable="a14" a14:legacySpreadsheetColorIndex="1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CB" mc:Ignorable="a14" a14:legacySpreadsheetColorIndex="1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00" mc:Ignorable="a14" a14:legacySpreadsheetColorIndex="1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1086</a:t>
          </a:r>
        </a:p>
      </xdr:txBody>
    </xdr:sp>
    <xdr:clientData/>
  </xdr:twoCellAnchor>
  <xdr:twoCellAnchor>
    <xdr:from>
      <xdr:col>16</xdr:col>
      <xdr:colOff>1056284</xdr:colOff>
      <xdr:row>18</xdr:row>
      <xdr:rowOff>12700</xdr:rowOff>
    </xdr:from>
    <xdr:to>
      <xdr:col>16</xdr:col>
      <xdr:colOff>1145995</xdr:colOff>
      <xdr:row>18</xdr:row>
      <xdr:rowOff>177800</xdr:rowOff>
    </xdr:to>
    <xdr:sp macro="" textlink="">
      <xdr:nvSpPr>
        <xdr:cNvPr id="171451" name="Скругленный прямоугольник 171450">
          <a:extLst>
            <a:ext uri="{FF2B5EF4-FFF2-40B4-BE49-F238E27FC236}">
              <a16:creationId xmlns:a16="http://schemas.microsoft.com/office/drawing/2014/main" id="{00000000-0008-0000-0700-0000BB9D0200}"/>
            </a:ext>
          </a:extLst>
        </xdr:cNvPr>
        <xdr:cNvSpPr/>
      </xdr:nvSpPr>
      <xdr:spPr>
        <a:xfrm>
          <a:off x="12410084" y="3670300"/>
          <a:ext cx="8971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Остаток: 119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44825</xdr:colOff>
      <xdr:row>17</xdr:row>
      <xdr:rowOff>150420</xdr:rowOff>
    </xdr:from>
    <xdr:to>
      <xdr:col>3</xdr:col>
      <xdr:colOff>307043</xdr:colOff>
      <xdr:row>19</xdr:row>
      <xdr:rowOff>76200</xdr:rowOff>
    </xdr:to>
    <xdr:sp macro="[0]!Raskroy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25800" y="3617520"/>
          <a:ext cx="1214718" cy="30678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Расчет</a:t>
          </a:r>
          <a:r>
            <a:rPr lang="en-US" sz="1100"/>
            <a:t> DP</a:t>
          </a:r>
          <a:endParaRPr lang="ru-RU" sz="1100"/>
        </a:p>
      </xdr:txBody>
    </xdr:sp>
    <xdr:clientData fPrintsWithSheet="0"/>
  </xdr:twoCellAnchor>
  <xdr:twoCellAnchor>
    <xdr:from>
      <xdr:col>3</xdr:col>
      <xdr:colOff>472817</xdr:colOff>
      <xdr:row>17</xdr:row>
      <xdr:rowOff>150420</xdr:rowOff>
    </xdr:from>
    <xdr:to>
      <xdr:col>4</xdr:col>
      <xdr:colOff>735035</xdr:colOff>
      <xdr:row>19</xdr:row>
      <xdr:rowOff>76200</xdr:rowOff>
    </xdr:to>
    <xdr:sp macro="[0]!ClearData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606292" y="3617520"/>
          <a:ext cx="1214718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Очистить все</a:t>
          </a:r>
        </a:p>
      </xdr:txBody>
    </xdr:sp>
    <xdr:clientData fPrintsWithSheet="0"/>
  </xdr:twoCellAnchor>
  <xdr:twoCellAnchor>
    <xdr:from>
      <xdr:col>4</xdr:col>
      <xdr:colOff>924205</xdr:colOff>
      <xdr:row>17</xdr:row>
      <xdr:rowOff>150420</xdr:rowOff>
    </xdr:from>
    <xdr:to>
      <xdr:col>7</xdr:col>
      <xdr:colOff>21011</xdr:colOff>
      <xdr:row>19</xdr:row>
      <xdr:rowOff>76200</xdr:rowOff>
    </xdr:to>
    <xdr:sp macro="[0]!OutGraph" textlink="">
      <xdr:nvSpPr>
        <xdr:cNvPr id="4" name="Скругленный прямоугольни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010180" y="3617520"/>
          <a:ext cx="1220881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Отобразить</a:t>
          </a:r>
        </a:p>
      </xdr:txBody>
    </xdr:sp>
    <xdr:clientData fPrintsWithSheet="0"/>
  </xdr:twoCellAnchor>
  <xdr:twoCellAnchor>
    <xdr:from>
      <xdr:col>7</xdr:col>
      <xdr:colOff>197224</xdr:colOff>
      <xdr:row>17</xdr:row>
      <xdr:rowOff>150420</xdr:rowOff>
    </xdr:from>
    <xdr:to>
      <xdr:col>8</xdr:col>
      <xdr:colOff>806824</xdr:colOff>
      <xdr:row>19</xdr:row>
      <xdr:rowOff>76200</xdr:rowOff>
    </xdr:to>
    <xdr:sp macro="[0]!Export2PDF" textlink="">
      <xdr:nvSpPr>
        <xdr:cNvPr id="5" name="Скругленный прямоугольник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4407274" y="3617520"/>
          <a:ext cx="1209675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Экспорт в </a:t>
          </a:r>
          <a:r>
            <a:rPr lang="en-US" sz="1100"/>
            <a:t>PDF</a:t>
          </a:r>
          <a:endParaRPr lang="ru-RU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13</xdr:row>
          <xdr:rowOff>180975</xdr:rowOff>
        </xdr:from>
        <xdr:to>
          <xdr:col>9</xdr:col>
          <xdr:colOff>9525</xdr:colOff>
          <xdr:row>15</xdr:row>
          <xdr:rowOff>0</xdr:rowOff>
        </xdr:to>
        <xdr:sp macro="" textlink="">
          <xdr:nvSpPr>
            <xdr:cNvPr id="173057" name="Drop Down 1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id="{00000000-0008-0000-08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13</xdr:row>
          <xdr:rowOff>161925</xdr:rowOff>
        </xdr:from>
        <xdr:to>
          <xdr:col>5</xdr:col>
          <xdr:colOff>981075</xdr:colOff>
          <xdr:row>15</xdr:row>
          <xdr:rowOff>0</xdr:rowOff>
        </xdr:to>
        <xdr:sp macro="" textlink="">
          <xdr:nvSpPr>
            <xdr:cNvPr id="173058" name="Check Box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8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Группировать решение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14</xdr:row>
          <xdr:rowOff>161925</xdr:rowOff>
        </xdr:from>
        <xdr:to>
          <xdr:col>5</xdr:col>
          <xdr:colOff>981075</xdr:colOff>
          <xdr:row>16</xdr:row>
          <xdr:rowOff>0</xdr:rowOff>
        </xdr:to>
        <xdr:sp macro="" textlink="">
          <xdr:nvSpPr>
            <xdr:cNvPr id="173059" name="Check Box 3" hidden="1">
              <a:extLst>
                <a:ext uri="{63B3BB69-23CF-44E3-9099-C40C66FF867C}">
                  <a14:compatExt spid="_x0000_s173059"/>
                </a:ext>
                <a:ext uri="{FF2B5EF4-FFF2-40B4-BE49-F238E27FC236}">
                  <a16:creationId xmlns:a16="http://schemas.microsoft.com/office/drawing/2014/main" id="{00000000-0008-0000-0800-000003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Отображать графику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15</xdr:row>
          <xdr:rowOff>0</xdr:rowOff>
        </xdr:from>
        <xdr:to>
          <xdr:col>9</xdr:col>
          <xdr:colOff>9525</xdr:colOff>
          <xdr:row>16</xdr:row>
          <xdr:rowOff>9525</xdr:rowOff>
        </xdr:to>
        <xdr:sp macro="" textlink="">
          <xdr:nvSpPr>
            <xdr:cNvPr id="173060" name="Drop Down 4" hidden="1">
              <a:extLst>
                <a:ext uri="{63B3BB69-23CF-44E3-9099-C40C66FF867C}">
                  <a14:compatExt spid="_x0000_s173060"/>
                </a:ext>
                <a:ext uri="{FF2B5EF4-FFF2-40B4-BE49-F238E27FC236}">
                  <a16:creationId xmlns:a16="http://schemas.microsoft.com/office/drawing/2014/main" id="{00000000-0008-0000-0800-000004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15</xdr:row>
          <xdr:rowOff>161925</xdr:rowOff>
        </xdr:from>
        <xdr:to>
          <xdr:col>5</xdr:col>
          <xdr:colOff>981075</xdr:colOff>
          <xdr:row>17</xdr:row>
          <xdr:rowOff>0</xdr:rowOff>
        </xdr:to>
        <xdr:sp macro="" textlink="">
          <xdr:nvSpPr>
            <xdr:cNvPr id="173061" name="Check Box 5" hidden="1">
              <a:extLst>
                <a:ext uri="{63B3BB69-23CF-44E3-9099-C40C66FF867C}">
                  <a14:compatExt spid="_x0000_s173061"/>
                </a:ext>
                <a:ext uri="{FF2B5EF4-FFF2-40B4-BE49-F238E27FC236}">
                  <a16:creationId xmlns:a16="http://schemas.microsoft.com/office/drawing/2014/main" id="{00000000-0008-0000-0800-000005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Рез под 45 градусов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16</xdr:row>
          <xdr:rowOff>0</xdr:rowOff>
        </xdr:from>
        <xdr:to>
          <xdr:col>9</xdr:col>
          <xdr:colOff>0</xdr:colOff>
          <xdr:row>17</xdr:row>
          <xdr:rowOff>28575</xdr:rowOff>
        </xdr:to>
        <xdr:sp macro="" textlink="">
          <xdr:nvSpPr>
            <xdr:cNvPr id="173062" name="Check Box 6" hidden="1">
              <a:extLst>
                <a:ext uri="{63B3BB69-23CF-44E3-9099-C40C66FF867C}">
                  <a14:compatExt spid="_x0000_s173062"/>
                </a:ext>
                <a:ext uri="{FF2B5EF4-FFF2-40B4-BE49-F238E27FC236}">
                  <a16:creationId xmlns:a16="http://schemas.microsoft.com/office/drawing/2014/main" id="{00000000-0008-0000-0800-000006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Раскрой в два профиля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44825</xdr:colOff>
      <xdr:row>20</xdr:row>
      <xdr:rowOff>0</xdr:rowOff>
    </xdr:from>
    <xdr:to>
      <xdr:col>3</xdr:col>
      <xdr:colOff>307043</xdr:colOff>
      <xdr:row>21</xdr:row>
      <xdr:rowOff>116280</xdr:rowOff>
    </xdr:to>
    <xdr:sp macro="[0]!lpCSP" textlink="">
      <xdr:nvSpPr>
        <xdr:cNvPr id="12" name="Скругленный прямоугольник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225800" y="4038600"/>
          <a:ext cx="1214718" cy="30678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Расчет</a:t>
          </a:r>
          <a:r>
            <a:rPr lang="en-US" sz="1100"/>
            <a:t> LP</a:t>
          </a:r>
          <a:endParaRPr lang="ru-RU" sz="1100"/>
        </a:p>
      </xdr:txBody>
    </xdr:sp>
    <xdr:clientData fPrintsWithSheet="0"/>
  </xdr:twoCellAnchor>
  <xdr:twoCellAnchor>
    <xdr:from>
      <xdr:col>3</xdr:col>
      <xdr:colOff>472817</xdr:colOff>
      <xdr:row>20</xdr:row>
      <xdr:rowOff>0</xdr:rowOff>
    </xdr:from>
    <xdr:to>
      <xdr:col>4</xdr:col>
      <xdr:colOff>735035</xdr:colOff>
      <xdr:row>21</xdr:row>
      <xdr:rowOff>116280</xdr:rowOff>
    </xdr:to>
    <xdr:sp macro="[0]!ClearSolve" textlink="">
      <xdr:nvSpPr>
        <xdr:cNvPr id="13" name="Скругленный прямоугольник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1606292" y="4038600"/>
          <a:ext cx="1214718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Убрать</a:t>
          </a:r>
          <a:r>
            <a:rPr lang="ru-RU" sz="1100" baseline="0"/>
            <a:t> решение</a:t>
          </a:r>
          <a:endParaRPr lang="ru-RU" sz="1100"/>
        </a:p>
      </xdr:txBody>
    </xdr:sp>
    <xdr:clientData fPrintsWithSheet="0"/>
  </xdr:twoCellAnchor>
  <xdr:twoCellAnchor>
    <xdr:from>
      <xdr:col>4</xdr:col>
      <xdr:colOff>924205</xdr:colOff>
      <xdr:row>20</xdr:row>
      <xdr:rowOff>0</xdr:rowOff>
    </xdr:from>
    <xdr:to>
      <xdr:col>7</xdr:col>
      <xdr:colOff>21011</xdr:colOff>
      <xdr:row>21</xdr:row>
      <xdr:rowOff>116280</xdr:rowOff>
    </xdr:to>
    <xdr:sp macro="[0]!OffGraph" textlink="">
      <xdr:nvSpPr>
        <xdr:cNvPr id="14" name="Скругленный прямоугольник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3010180" y="4038600"/>
          <a:ext cx="1220881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Убрать</a:t>
          </a:r>
          <a:r>
            <a:rPr lang="ru-RU" sz="1100" baseline="0"/>
            <a:t> графику</a:t>
          </a:r>
          <a:endParaRPr lang="ru-RU" sz="1100"/>
        </a:p>
      </xdr:txBody>
    </xdr:sp>
    <xdr:clientData fPrintsWithSheet="0"/>
  </xdr:twoCellAnchor>
  <xdr:twoCellAnchor>
    <xdr:from>
      <xdr:col>7</xdr:col>
      <xdr:colOff>197224</xdr:colOff>
      <xdr:row>20</xdr:row>
      <xdr:rowOff>0</xdr:rowOff>
    </xdr:from>
    <xdr:to>
      <xdr:col>8</xdr:col>
      <xdr:colOff>806824</xdr:colOff>
      <xdr:row>21</xdr:row>
      <xdr:rowOff>116280</xdr:rowOff>
    </xdr:to>
    <xdr:sp macro="" textlink="">
      <xdr:nvSpPr>
        <xdr:cNvPr id="15" name="Скругленный прямоугольник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4407274" y="4038600"/>
          <a:ext cx="1209675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Создать отчет</a:t>
          </a:r>
        </a:p>
      </xdr:txBody>
    </xdr:sp>
    <xdr:clientData fPrintsWithSheet="0"/>
  </xdr:twoCellAnchor>
  <xdr:twoCellAnchor>
    <xdr:from>
      <xdr:col>16</xdr:col>
      <xdr:colOff>0</xdr:colOff>
      <xdr:row>3</xdr:row>
      <xdr:rowOff>12700</xdr:rowOff>
    </xdr:from>
    <xdr:to>
      <xdr:col>16</xdr:col>
      <xdr:colOff>1266935</xdr:colOff>
      <xdr:row>3</xdr:row>
      <xdr:rowOff>177800</xdr:rowOff>
    </xdr:to>
    <xdr:sp macro="" textlink="">
      <xdr:nvSpPr>
        <xdr:cNvPr id="174635" name="Скругленный прямоугольник 174634">
          <a:extLst>
            <a:ext uri="{FF2B5EF4-FFF2-40B4-BE49-F238E27FC236}">
              <a16:creationId xmlns:a16="http://schemas.microsoft.com/office/drawing/2014/main" id="{00000000-0008-0000-0800-00002BAA0200}"/>
            </a:ext>
          </a:extLst>
        </xdr:cNvPr>
        <xdr:cNvSpPr/>
      </xdr:nvSpPr>
      <xdr:spPr>
        <a:xfrm>
          <a:off x="11220450" y="8128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1292335</xdr:colOff>
      <xdr:row>3</xdr:row>
      <xdr:rowOff>12700</xdr:rowOff>
    </xdr:from>
    <xdr:to>
      <xdr:col>16</xdr:col>
      <xdr:colOff>2559270</xdr:colOff>
      <xdr:row>3</xdr:row>
      <xdr:rowOff>177800</xdr:rowOff>
    </xdr:to>
    <xdr:sp macro="" textlink="">
      <xdr:nvSpPr>
        <xdr:cNvPr id="174636" name="Скругленный прямоугольник 174635">
          <a:extLst>
            <a:ext uri="{FF2B5EF4-FFF2-40B4-BE49-F238E27FC236}">
              <a16:creationId xmlns:a16="http://schemas.microsoft.com/office/drawing/2014/main" id="{00000000-0008-0000-0800-00002CAA0200}"/>
            </a:ext>
          </a:extLst>
        </xdr:cNvPr>
        <xdr:cNvSpPr/>
      </xdr:nvSpPr>
      <xdr:spPr>
        <a:xfrm>
          <a:off x="12512785" y="8128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2584670</xdr:colOff>
      <xdr:row>3</xdr:row>
      <xdr:rowOff>12700</xdr:rowOff>
    </xdr:from>
    <xdr:to>
      <xdr:col>16</xdr:col>
      <xdr:colOff>3841931</xdr:colOff>
      <xdr:row>3</xdr:row>
      <xdr:rowOff>177800</xdr:rowOff>
    </xdr:to>
    <xdr:sp macro="" textlink="">
      <xdr:nvSpPr>
        <xdr:cNvPr id="174637" name="Скругленный прямоугольник 174636">
          <a:extLst>
            <a:ext uri="{FF2B5EF4-FFF2-40B4-BE49-F238E27FC236}">
              <a16:creationId xmlns:a16="http://schemas.microsoft.com/office/drawing/2014/main" id="{00000000-0008-0000-0800-00002DAA0200}"/>
            </a:ext>
          </a:extLst>
        </xdr:cNvPr>
        <xdr:cNvSpPr/>
      </xdr:nvSpPr>
      <xdr:spPr>
        <a:xfrm>
          <a:off x="13805120" y="812800"/>
          <a:ext cx="12572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3867331</xdr:colOff>
      <xdr:row>3</xdr:row>
      <xdr:rowOff>12700</xdr:rowOff>
    </xdr:from>
    <xdr:to>
      <xdr:col>16</xdr:col>
      <xdr:colOff>5105247</xdr:colOff>
      <xdr:row>3</xdr:row>
      <xdr:rowOff>177800</xdr:rowOff>
    </xdr:to>
    <xdr:sp macro="" textlink="">
      <xdr:nvSpPr>
        <xdr:cNvPr id="174638" name="Скругленный прямоугольник 174637">
          <a:extLst>
            <a:ext uri="{FF2B5EF4-FFF2-40B4-BE49-F238E27FC236}">
              <a16:creationId xmlns:a16="http://schemas.microsoft.com/office/drawing/2014/main" id="{00000000-0008-0000-0800-00002EAA0200}"/>
            </a:ext>
          </a:extLst>
        </xdr:cNvPr>
        <xdr:cNvSpPr/>
      </xdr:nvSpPr>
      <xdr:spPr>
        <a:xfrm>
          <a:off x="15087781" y="812800"/>
          <a:ext cx="123791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5130648</xdr:colOff>
      <xdr:row>3</xdr:row>
      <xdr:rowOff>12700</xdr:rowOff>
    </xdr:from>
    <xdr:to>
      <xdr:col>16</xdr:col>
      <xdr:colOff>5778500</xdr:colOff>
      <xdr:row>3</xdr:row>
      <xdr:rowOff>177800</xdr:rowOff>
    </xdr:to>
    <xdr:sp macro="" textlink="">
      <xdr:nvSpPr>
        <xdr:cNvPr id="174639" name="Скругленный прямоугольник 174638">
          <a:extLst>
            <a:ext uri="{FF2B5EF4-FFF2-40B4-BE49-F238E27FC236}">
              <a16:creationId xmlns:a16="http://schemas.microsoft.com/office/drawing/2014/main" id="{00000000-0008-0000-0800-00002FAA0200}"/>
            </a:ext>
          </a:extLst>
        </xdr:cNvPr>
        <xdr:cNvSpPr/>
      </xdr:nvSpPr>
      <xdr:spPr>
        <a:xfrm>
          <a:off x="16351098" y="812800"/>
          <a:ext cx="64785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696</a:t>
          </a:r>
        </a:p>
      </xdr:txBody>
    </xdr:sp>
    <xdr:clientData/>
  </xdr:twoCellAnchor>
  <xdr:twoCellAnchor>
    <xdr:from>
      <xdr:col>16</xdr:col>
      <xdr:colOff>0</xdr:colOff>
      <xdr:row>4</xdr:row>
      <xdr:rowOff>12700</xdr:rowOff>
    </xdr:from>
    <xdr:to>
      <xdr:col>16</xdr:col>
      <xdr:colOff>1324974</xdr:colOff>
      <xdr:row>4</xdr:row>
      <xdr:rowOff>177800</xdr:rowOff>
    </xdr:to>
    <xdr:sp macro="" textlink="">
      <xdr:nvSpPr>
        <xdr:cNvPr id="174640" name="Скругленный прямоугольник 174639">
          <a:extLst>
            <a:ext uri="{FF2B5EF4-FFF2-40B4-BE49-F238E27FC236}">
              <a16:creationId xmlns:a16="http://schemas.microsoft.com/office/drawing/2014/main" id="{00000000-0008-0000-0800-000030AA0200}"/>
            </a:ext>
          </a:extLst>
        </xdr:cNvPr>
        <xdr:cNvSpPr/>
      </xdr:nvSpPr>
      <xdr:spPr>
        <a:xfrm>
          <a:off x="11220450" y="1003300"/>
          <a:ext cx="132497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1396</a:t>
          </a:r>
        </a:p>
      </xdr:txBody>
    </xdr:sp>
    <xdr:clientData/>
  </xdr:twoCellAnchor>
  <xdr:twoCellAnchor>
    <xdr:from>
      <xdr:col>16</xdr:col>
      <xdr:colOff>1350374</xdr:colOff>
      <xdr:row>4</xdr:row>
      <xdr:rowOff>12700</xdr:rowOff>
    </xdr:from>
    <xdr:to>
      <xdr:col>16</xdr:col>
      <xdr:colOff>2588290</xdr:colOff>
      <xdr:row>4</xdr:row>
      <xdr:rowOff>177800</xdr:rowOff>
    </xdr:to>
    <xdr:sp macro="" textlink="">
      <xdr:nvSpPr>
        <xdr:cNvPr id="174641" name="Скругленный прямоугольник 174640">
          <a:extLst>
            <a:ext uri="{FF2B5EF4-FFF2-40B4-BE49-F238E27FC236}">
              <a16:creationId xmlns:a16="http://schemas.microsoft.com/office/drawing/2014/main" id="{00000000-0008-0000-0800-000031AA0200}"/>
            </a:ext>
          </a:extLst>
        </xdr:cNvPr>
        <xdr:cNvSpPr/>
      </xdr:nvSpPr>
      <xdr:spPr>
        <a:xfrm>
          <a:off x="12570824" y="1003300"/>
          <a:ext cx="123791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2613690</xdr:colOff>
      <xdr:row>4</xdr:row>
      <xdr:rowOff>12700</xdr:rowOff>
    </xdr:from>
    <xdr:to>
      <xdr:col>16</xdr:col>
      <xdr:colOff>3851605</xdr:colOff>
      <xdr:row>4</xdr:row>
      <xdr:rowOff>177800</xdr:rowOff>
    </xdr:to>
    <xdr:sp macro="" textlink="">
      <xdr:nvSpPr>
        <xdr:cNvPr id="174642" name="Скругленный прямоугольник 174641">
          <a:extLst>
            <a:ext uri="{FF2B5EF4-FFF2-40B4-BE49-F238E27FC236}">
              <a16:creationId xmlns:a16="http://schemas.microsoft.com/office/drawing/2014/main" id="{00000000-0008-0000-0800-000032AA0200}"/>
            </a:ext>
          </a:extLst>
        </xdr:cNvPr>
        <xdr:cNvSpPr/>
      </xdr:nvSpPr>
      <xdr:spPr>
        <a:xfrm>
          <a:off x="13834140" y="10033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3877005</xdr:colOff>
      <xdr:row>4</xdr:row>
      <xdr:rowOff>12700</xdr:rowOff>
    </xdr:from>
    <xdr:to>
      <xdr:col>16</xdr:col>
      <xdr:colOff>5114920</xdr:colOff>
      <xdr:row>4</xdr:row>
      <xdr:rowOff>177800</xdr:rowOff>
    </xdr:to>
    <xdr:sp macro="" textlink="">
      <xdr:nvSpPr>
        <xdr:cNvPr id="174643" name="Скругленный прямоугольник 174642">
          <a:extLst>
            <a:ext uri="{FF2B5EF4-FFF2-40B4-BE49-F238E27FC236}">
              <a16:creationId xmlns:a16="http://schemas.microsoft.com/office/drawing/2014/main" id="{00000000-0008-0000-0800-000033AA0200}"/>
            </a:ext>
          </a:extLst>
        </xdr:cNvPr>
        <xdr:cNvSpPr/>
      </xdr:nvSpPr>
      <xdr:spPr>
        <a:xfrm>
          <a:off x="15097455" y="10033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5140320</xdr:colOff>
      <xdr:row>4</xdr:row>
      <xdr:rowOff>12700</xdr:rowOff>
    </xdr:from>
    <xdr:to>
      <xdr:col>16</xdr:col>
      <xdr:colOff>5778500</xdr:colOff>
      <xdr:row>4</xdr:row>
      <xdr:rowOff>177800</xdr:rowOff>
    </xdr:to>
    <xdr:sp macro="" textlink="">
      <xdr:nvSpPr>
        <xdr:cNvPr id="174644" name="Скругленный прямоугольник 174643">
          <a:extLst>
            <a:ext uri="{FF2B5EF4-FFF2-40B4-BE49-F238E27FC236}">
              <a16:creationId xmlns:a16="http://schemas.microsoft.com/office/drawing/2014/main" id="{00000000-0008-0000-0800-000034AA0200}"/>
            </a:ext>
          </a:extLst>
        </xdr:cNvPr>
        <xdr:cNvSpPr/>
      </xdr:nvSpPr>
      <xdr:spPr>
        <a:xfrm>
          <a:off x="16360770" y="1003300"/>
          <a:ext cx="63818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686</a:t>
          </a:r>
        </a:p>
      </xdr:txBody>
    </xdr:sp>
    <xdr:clientData/>
  </xdr:twoCellAnchor>
  <xdr:twoCellAnchor>
    <xdr:from>
      <xdr:col>16</xdr:col>
      <xdr:colOff>0</xdr:colOff>
      <xdr:row>5</xdr:row>
      <xdr:rowOff>12700</xdr:rowOff>
    </xdr:from>
    <xdr:to>
      <xdr:col>16</xdr:col>
      <xdr:colOff>1324974</xdr:colOff>
      <xdr:row>5</xdr:row>
      <xdr:rowOff>177800</xdr:rowOff>
    </xdr:to>
    <xdr:sp macro="" textlink="">
      <xdr:nvSpPr>
        <xdr:cNvPr id="174645" name="Скругленный прямоугольник 174644">
          <a:extLst>
            <a:ext uri="{FF2B5EF4-FFF2-40B4-BE49-F238E27FC236}">
              <a16:creationId xmlns:a16="http://schemas.microsoft.com/office/drawing/2014/main" id="{00000000-0008-0000-0800-000035AA0200}"/>
            </a:ext>
          </a:extLst>
        </xdr:cNvPr>
        <xdr:cNvSpPr/>
      </xdr:nvSpPr>
      <xdr:spPr>
        <a:xfrm>
          <a:off x="11220450" y="1193800"/>
          <a:ext cx="132497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1396</a:t>
          </a:r>
        </a:p>
      </xdr:txBody>
    </xdr:sp>
    <xdr:clientData/>
  </xdr:twoCellAnchor>
  <xdr:twoCellAnchor>
    <xdr:from>
      <xdr:col>16</xdr:col>
      <xdr:colOff>1350374</xdr:colOff>
      <xdr:row>5</xdr:row>
      <xdr:rowOff>12700</xdr:rowOff>
    </xdr:from>
    <xdr:to>
      <xdr:col>16</xdr:col>
      <xdr:colOff>2607636</xdr:colOff>
      <xdr:row>5</xdr:row>
      <xdr:rowOff>177800</xdr:rowOff>
    </xdr:to>
    <xdr:sp macro="" textlink="">
      <xdr:nvSpPr>
        <xdr:cNvPr id="174646" name="Скругленный прямоугольник 174645">
          <a:extLst>
            <a:ext uri="{FF2B5EF4-FFF2-40B4-BE49-F238E27FC236}">
              <a16:creationId xmlns:a16="http://schemas.microsoft.com/office/drawing/2014/main" id="{00000000-0008-0000-0800-000036AA0200}"/>
            </a:ext>
          </a:extLst>
        </xdr:cNvPr>
        <xdr:cNvSpPr/>
      </xdr:nvSpPr>
      <xdr:spPr>
        <a:xfrm>
          <a:off x="12570824" y="1193800"/>
          <a:ext cx="125726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2633036</xdr:colOff>
      <xdr:row>5</xdr:row>
      <xdr:rowOff>12700</xdr:rowOff>
    </xdr:from>
    <xdr:to>
      <xdr:col>16</xdr:col>
      <xdr:colOff>3890297</xdr:colOff>
      <xdr:row>5</xdr:row>
      <xdr:rowOff>177800</xdr:rowOff>
    </xdr:to>
    <xdr:sp macro="" textlink="">
      <xdr:nvSpPr>
        <xdr:cNvPr id="174647" name="Скругленный прямоугольник 174646">
          <a:extLst>
            <a:ext uri="{FF2B5EF4-FFF2-40B4-BE49-F238E27FC236}">
              <a16:creationId xmlns:a16="http://schemas.microsoft.com/office/drawing/2014/main" id="{00000000-0008-0000-0800-000037AA0200}"/>
            </a:ext>
          </a:extLst>
        </xdr:cNvPr>
        <xdr:cNvSpPr/>
      </xdr:nvSpPr>
      <xdr:spPr>
        <a:xfrm>
          <a:off x="13853486" y="1193800"/>
          <a:ext cx="12572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3915697</xdr:colOff>
      <xdr:row>5</xdr:row>
      <xdr:rowOff>12700</xdr:rowOff>
    </xdr:from>
    <xdr:to>
      <xdr:col>16</xdr:col>
      <xdr:colOff>5163286</xdr:colOff>
      <xdr:row>5</xdr:row>
      <xdr:rowOff>177800</xdr:rowOff>
    </xdr:to>
    <xdr:sp macro="" textlink="">
      <xdr:nvSpPr>
        <xdr:cNvPr id="174648" name="Скругленный прямоугольник 174647">
          <a:extLst>
            <a:ext uri="{FF2B5EF4-FFF2-40B4-BE49-F238E27FC236}">
              <a16:creationId xmlns:a16="http://schemas.microsoft.com/office/drawing/2014/main" id="{00000000-0008-0000-0800-000038AA0200}"/>
            </a:ext>
          </a:extLst>
        </xdr:cNvPr>
        <xdr:cNvSpPr/>
      </xdr:nvSpPr>
      <xdr:spPr>
        <a:xfrm>
          <a:off x="15136147" y="1193800"/>
          <a:ext cx="12475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B4FF" mc:Ignorable="a14" a14:legacySpreadsheetColorIndex="2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DEFF" mc:Ignorable="a14" a14:legacySpreadsheetColorIndex="2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64AA" mc:Ignorable="a14" a14:legacySpreadsheetColorIndex="2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1316</a:t>
          </a:r>
        </a:p>
      </xdr:txBody>
    </xdr:sp>
    <xdr:clientData/>
  </xdr:twoCellAnchor>
  <xdr:twoCellAnchor>
    <xdr:from>
      <xdr:col>16</xdr:col>
      <xdr:colOff>5188686</xdr:colOff>
      <xdr:row>5</xdr:row>
      <xdr:rowOff>12700</xdr:rowOff>
    </xdr:from>
    <xdr:to>
      <xdr:col>16</xdr:col>
      <xdr:colOff>5778500</xdr:colOff>
      <xdr:row>5</xdr:row>
      <xdr:rowOff>177800</xdr:rowOff>
    </xdr:to>
    <xdr:sp macro="" textlink="">
      <xdr:nvSpPr>
        <xdr:cNvPr id="174649" name="Скругленный прямоугольник 174648">
          <a:extLst>
            <a:ext uri="{FF2B5EF4-FFF2-40B4-BE49-F238E27FC236}">
              <a16:creationId xmlns:a16="http://schemas.microsoft.com/office/drawing/2014/main" id="{00000000-0008-0000-0800-000039AA0200}"/>
            </a:ext>
          </a:extLst>
        </xdr:cNvPr>
        <xdr:cNvSpPr/>
      </xdr:nvSpPr>
      <xdr:spPr>
        <a:xfrm>
          <a:off x="16409136" y="1193800"/>
          <a:ext cx="58981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636</a:t>
          </a:r>
        </a:p>
      </xdr:txBody>
    </xdr:sp>
    <xdr:clientData/>
  </xdr:twoCellAnchor>
  <xdr:twoCellAnchor>
    <xdr:from>
      <xdr:col>16</xdr:col>
      <xdr:colOff>0</xdr:colOff>
      <xdr:row>6</xdr:row>
      <xdr:rowOff>12700</xdr:rowOff>
    </xdr:from>
    <xdr:to>
      <xdr:col>16</xdr:col>
      <xdr:colOff>1324974</xdr:colOff>
      <xdr:row>6</xdr:row>
      <xdr:rowOff>177800</xdr:rowOff>
    </xdr:to>
    <xdr:sp macro="" textlink="">
      <xdr:nvSpPr>
        <xdr:cNvPr id="174650" name="Скругленный прямоугольник 174649">
          <a:extLst>
            <a:ext uri="{FF2B5EF4-FFF2-40B4-BE49-F238E27FC236}">
              <a16:creationId xmlns:a16="http://schemas.microsoft.com/office/drawing/2014/main" id="{00000000-0008-0000-0800-00003AAA0200}"/>
            </a:ext>
          </a:extLst>
        </xdr:cNvPr>
        <xdr:cNvSpPr/>
      </xdr:nvSpPr>
      <xdr:spPr>
        <a:xfrm>
          <a:off x="11220450" y="1384300"/>
          <a:ext cx="132497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1396</a:t>
          </a:r>
        </a:p>
      </xdr:txBody>
    </xdr:sp>
    <xdr:clientData/>
  </xdr:twoCellAnchor>
  <xdr:twoCellAnchor>
    <xdr:from>
      <xdr:col>16</xdr:col>
      <xdr:colOff>1350374</xdr:colOff>
      <xdr:row>6</xdr:row>
      <xdr:rowOff>12700</xdr:rowOff>
    </xdr:from>
    <xdr:to>
      <xdr:col>16</xdr:col>
      <xdr:colOff>2617310</xdr:colOff>
      <xdr:row>6</xdr:row>
      <xdr:rowOff>177800</xdr:rowOff>
    </xdr:to>
    <xdr:sp macro="" textlink="">
      <xdr:nvSpPr>
        <xdr:cNvPr id="174651" name="Скругленный прямоугольник 174650">
          <a:extLst>
            <a:ext uri="{FF2B5EF4-FFF2-40B4-BE49-F238E27FC236}">
              <a16:creationId xmlns:a16="http://schemas.microsoft.com/office/drawing/2014/main" id="{00000000-0008-0000-0800-00003BAA0200}"/>
            </a:ext>
          </a:extLst>
        </xdr:cNvPr>
        <xdr:cNvSpPr/>
      </xdr:nvSpPr>
      <xdr:spPr>
        <a:xfrm>
          <a:off x="12570824" y="1384300"/>
          <a:ext cx="126693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2642708</xdr:colOff>
      <xdr:row>6</xdr:row>
      <xdr:rowOff>12700</xdr:rowOff>
    </xdr:from>
    <xdr:to>
      <xdr:col>16</xdr:col>
      <xdr:colOff>3909644</xdr:colOff>
      <xdr:row>6</xdr:row>
      <xdr:rowOff>177800</xdr:rowOff>
    </xdr:to>
    <xdr:sp macro="" textlink="">
      <xdr:nvSpPr>
        <xdr:cNvPr id="174652" name="Скругленный прямоугольник 174651">
          <a:extLst>
            <a:ext uri="{FF2B5EF4-FFF2-40B4-BE49-F238E27FC236}">
              <a16:creationId xmlns:a16="http://schemas.microsoft.com/office/drawing/2014/main" id="{00000000-0008-0000-0800-00003CAA0200}"/>
            </a:ext>
          </a:extLst>
        </xdr:cNvPr>
        <xdr:cNvSpPr/>
      </xdr:nvSpPr>
      <xdr:spPr>
        <a:xfrm>
          <a:off x="13863158" y="1384300"/>
          <a:ext cx="126693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3935044</xdr:colOff>
      <xdr:row>6</xdr:row>
      <xdr:rowOff>12700</xdr:rowOff>
    </xdr:from>
    <xdr:to>
      <xdr:col>16</xdr:col>
      <xdr:colOff>4940802</xdr:colOff>
      <xdr:row>6</xdr:row>
      <xdr:rowOff>177800</xdr:rowOff>
    </xdr:to>
    <xdr:sp macro="" textlink="">
      <xdr:nvSpPr>
        <xdr:cNvPr id="174653" name="Скругленный прямоугольник 174652">
          <a:extLst>
            <a:ext uri="{FF2B5EF4-FFF2-40B4-BE49-F238E27FC236}">
              <a16:creationId xmlns:a16="http://schemas.microsoft.com/office/drawing/2014/main" id="{00000000-0008-0000-0800-00003DAA0200}"/>
            </a:ext>
          </a:extLst>
        </xdr:cNvPr>
        <xdr:cNvSpPr/>
      </xdr:nvSpPr>
      <xdr:spPr>
        <a:xfrm>
          <a:off x="15155494" y="1384300"/>
          <a:ext cx="100575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1066</a:t>
          </a:r>
        </a:p>
      </xdr:txBody>
    </xdr:sp>
    <xdr:clientData/>
  </xdr:twoCellAnchor>
  <xdr:twoCellAnchor>
    <xdr:from>
      <xdr:col>16</xdr:col>
      <xdr:colOff>4966204</xdr:colOff>
      <xdr:row>6</xdr:row>
      <xdr:rowOff>12700</xdr:rowOff>
    </xdr:from>
    <xdr:to>
      <xdr:col>16</xdr:col>
      <xdr:colOff>5778500</xdr:colOff>
      <xdr:row>6</xdr:row>
      <xdr:rowOff>177800</xdr:rowOff>
    </xdr:to>
    <xdr:sp macro="" textlink="">
      <xdr:nvSpPr>
        <xdr:cNvPr id="174654" name="Скругленный прямоугольник 174653">
          <a:extLst>
            <a:ext uri="{FF2B5EF4-FFF2-40B4-BE49-F238E27FC236}">
              <a16:creationId xmlns:a16="http://schemas.microsoft.com/office/drawing/2014/main" id="{00000000-0008-0000-0800-00003EAA0200}"/>
            </a:ext>
          </a:extLst>
        </xdr:cNvPr>
        <xdr:cNvSpPr/>
      </xdr:nvSpPr>
      <xdr:spPr>
        <a:xfrm>
          <a:off x="16186654" y="1384300"/>
          <a:ext cx="81229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866</a:t>
          </a:r>
        </a:p>
      </xdr:txBody>
    </xdr:sp>
    <xdr:clientData/>
  </xdr:twoCellAnchor>
  <xdr:twoCellAnchor>
    <xdr:from>
      <xdr:col>16</xdr:col>
      <xdr:colOff>0</xdr:colOff>
      <xdr:row>7</xdr:row>
      <xdr:rowOff>12700</xdr:rowOff>
    </xdr:from>
    <xdr:to>
      <xdr:col>16</xdr:col>
      <xdr:colOff>1334647</xdr:colOff>
      <xdr:row>7</xdr:row>
      <xdr:rowOff>177800</xdr:rowOff>
    </xdr:to>
    <xdr:sp macro="" textlink="">
      <xdr:nvSpPr>
        <xdr:cNvPr id="174655" name="Скругленный прямоугольник 174654">
          <a:extLst>
            <a:ext uri="{FF2B5EF4-FFF2-40B4-BE49-F238E27FC236}">
              <a16:creationId xmlns:a16="http://schemas.microsoft.com/office/drawing/2014/main" id="{00000000-0008-0000-0800-00003FAA0200}"/>
            </a:ext>
          </a:extLst>
        </xdr:cNvPr>
        <xdr:cNvSpPr/>
      </xdr:nvSpPr>
      <xdr:spPr>
        <a:xfrm>
          <a:off x="11220450" y="1574800"/>
          <a:ext cx="13346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1360047</xdr:colOff>
      <xdr:row>7</xdr:row>
      <xdr:rowOff>12700</xdr:rowOff>
    </xdr:from>
    <xdr:to>
      <xdr:col>16</xdr:col>
      <xdr:colOff>2617308</xdr:colOff>
      <xdr:row>7</xdr:row>
      <xdr:rowOff>177800</xdr:rowOff>
    </xdr:to>
    <xdr:sp macro="" textlink="">
      <xdr:nvSpPr>
        <xdr:cNvPr id="174656" name="Скругленный прямоугольник 174655">
          <a:extLst>
            <a:ext uri="{FF2B5EF4-FFF2-40B4-BE49-F238E27FC236}">
              <a16:creationId xmlns:a16="http://schemas.microsoft.com/office/drawing/2014/main" id="{00000000-0008-0000-0800-000040AA0200}"/>
            </a:ext>
          </a:extLst>
        </xdr:cNvPr>
        <xdr:cNvSpPr/>
      </xdr:nvSpPr>
      <xdr:spPr>
        <a:xfrm>
          <a:off x="12580497" y="1574800"/>
          <a:ext cx="12572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2642708</xdr:colOff>
      <xdr:row>7</xdr:row>
      <xdr:rowOff>12700</xdr:rowOff>
    </xdr:from>
    <xdr:to>
      <xdr:col>16</xdr:col>
      <xdr:colOff>3899970</xdr:colOff>
      <xdr:row>7</xdr:row>
      <xdr:rowOff>177800</xdr:rowOff>
    </xdr:to>
    <xdr:sp macro="" textlink="">
      <xdr:nvSpPr>
        <xdr:cNvPr id="174657" name="Скругленный прямоугольник 174656">
          <a:extLst>
            <a:ext uri="{FF2B5EF4-FFF2-40B4-BE49-F238E27FC236}">
              <a16:creationId xmlns:a16="http://schemas.microsoft.com/office/drawing/2014/main" id="{00000000-0008-0000-0800-000041AA0200}"/>
            </a:ext>
          </a:extLst>
        </xdr:cNvPr>
        <xdr:cNvSpPr/>
      </xdr:nvSpPr>
      <xdr:spPr>
        <a:xfrm>
          <a:off x="13863158" y="1574800"/>
          <a:ext cx="125726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3925371</xdr:colOff>
      <xdr:row>7</xdr:row>
      <xdr:rowOff>12700</xdr:rowOff>
    </xdr:from>
    <xdr:to>
      <xdr:col>16</xdr:col>
      <xdr:colOff>5163286</xdr:colOff>
      <xdr:row>7</xdr:row>
      <xdr:rowOff>177800</xdr:rowOff>
    </xdr:to>
    <xdr:sp macro="" textlink="">
      <xdr:nvSpPr>
        <xdr:cNvPr id="174658" name="Скругленный прямоугольник 174657">
          <a:extLst>
            <a:ext uri="{FF2B5EF4-FFF2-40B4-BE49-F238E27FC236}">
              <a16:creationId xmlns:a16="http://schemas.microsoft.com/office/drawing/2014/main" id="{00000000-0008-0000-0800-000042AA0200}"/>
            </a:ext>
          </a:extLst>
        </xdr:cNvPr>
        <xdr:cNvSpPr/>
      </xdr:nvSpPr>
      <xdr:spPr>
        <a:xfrm>
          <a:off x="15145821" y="15748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5188686</xdr:colOff>
      <xdr:row>7</xdr:row>
      <xdr:rowOff>12700</xdr:rowOff>
    </xdr:from>
    <xdr:to>
      <xdr:col>16</xdr:col>
      <xdr:colOff>5778500</xdr:colOff>
      <xdr:row>7</xdr:row>
      <xdr:rowOff>177800</xdr:rowOff>
    </xdr:to>
    <xdr:sp macro="" textlink="">
      <xdr:nvSpPr>
        <xdr:cNvPr id="174659" name="Скругленный прямоугольник 174658">
          <a:extLst>
            <a:ext uri="{FF2B5EF4-FFF2-40B4-BE49-F238E27FC236}">
              <a16:creationId xmlns:a16="http://schemas.microsoft.com/office/drawing/2014/main" id="{00000000-0008-0000-0800-000043AA0200}"/>
            </a:ext>
          </a:extLst>
        </xdr:cNvPr>
        <xdr:cNvSpPr/>
      </xdr:nvSpPr>
      <xdr:spPr>
        <a:xfrm>
          <a:off x="16409136" y="1574800"/>
          <a:ext cx="58981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636</a:t>
          </a:r>
        </a:p>
      </xdr:txBody>
    </xdr:sp>
    <xdr:clientData/>
  </xdr:twoCellAnchor>
  <xdr:twoCellAnchor>
    <xdr:from>
      <xdr:col>16</xdr:col>
      <xdr:colOff>0</xdr:colOff>
      <xdr:row>8</xdr:row>
      <xdr:rowOff>12700</xdr:rowOff>
    </xdr:from>
    <xdr:to>
      <xdr:col>16</xdr:col>
      <xdr:colOff>1334647</xdr:colOff>
      <xdr:row>8</xdr:row>
      <xdr:rowOff>177800</xdr:rowOff>
    </xdr:to>
    <xdr:sp macro="" textlink="">
      <xdr:nvSpPr>
        <xdr:cNvPr id="174660" name="Скругленный прямоугольник 174659">
          <a:extLst>
            <a:ext uri="{FF2B5EF4-FFF2-40B4-BE49-F238E27FC236}">
              <a16:creationId xmlns:a16="http://schemas.microsoft.com/office/drawing/2014/main" id="{00000000-0008-0000-0800-000044AA0200}"/>
            </a:ext>
          </a:extLst>
        </xdr:cNvPr>
        <xdr:cNvSpPr/>
      </xdr:nvSpPr>
      <xdr:spPr>
        <a:xfrm>
          <a:off x="11220450" y="1765300"/>
          <a:ext cx="13346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1360047</xdr:colOff>
      <xdr:row>8</xdr:row>
      <xdr:rowOff>12700</xdr:rowOff>
    </xdr:from>
    <xdr:to>
      <xdr:col>16</xdr:col>
      <xdr:colOff>2694694</xdr:colOff>
      <xdr:row>8</xdr:row>
      <xdr:rowOff>177800</xdr:rowOff>
    </xdr:to>
    <xdr:sp macro="" textlink="">
      <xdr:nvSpPr>
        <xdr:cNvPr id="174661" name="Скругленный прямоугольник 174660">
          <a:extLst>
            <a:ext uri="{FF2B5EF4-FFF2-40B4-BE49-F238E27FC236}">
              <a16:creationId xmlns:a16="http://schemas.microsoft.com/office/drawing/2014/main" id="{00000000-0008-0000-0800-000045AA0200}"/>
            </a:ext>
          </a:extLst>
        </xdr:cNvPr>
        <xdr:cNvSpPr/>
      </xdr:nvSpPr>
      <xdr:spPr>
        <a:xfrm>
          <a:off x="12580497" y="1765300"/>
          <a:ext cx="13346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2720094</xdr:colOff>
      <xdr:row>8</xdr:row>
      <xdr:rowOff>12700</xdr:rowOff>
    </xdr:from>
    <xdr:to>
      <xdr:col>16</xdr:col>
      <xdr:colOff>4045068</xdr:colOff>
      <xdr:row>8</xdr:row>
      <xdr:rowOff>177800</xdr:rowOff>
    </xdr:to>
    <xdr:sp macro="" textlink="">
      <xdr:nvSpPr>
        <xdr:cNvPr id="174662" name="Скругленный прямоугольник 174661">
          <a:extLst>
            <a:ext uri="{FF2B5EF4-FFF2-40B4-BE49-F238E27FC236}">
              <a16:creationId xmlns:a16="http://schemas.microsoft.com/office/drawing/2014/main" id="{00000000-0008-0000-0800-000046AA0200}"/>
            </a:ext>
          </a:extLst>
        </xdr:cNvPr>
        <xdr:cNvSpPr/>
      </xdr:nvSpPr>
      <xdr:spPr>
        <a:xfrm>
          <a:off x="13940544" y="1765300"/>
          <a:ext cx="132497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1396</a:t>
          </a:r>
        </a:p>
      </xdr:txBody>
    </xdr:sp>
    <xdr:clientData/>
  </xdr:twoCellAnchor>
  <xdr:twoCellAnchor>
    <xdr:from>
      <xdr:col>16</xdr:col>
      <xdr:colOff>4070468</xdr:colOff>
      <xdr:row>8</xdr:row>
      <xdr:rowOff>12700</xdr:rowOff>
    </xdr:from>
    <xdr:to>
      <xdr:col>16</xdr:col>
      <xdr:colOff>5143940</xdr:colOff>
      <xdr:row>8</xdr:row>
      <xdr:rowOff>177800</xdr:rowOff>
    </xdr:to>
    <xdr:sp macro="" textlink="">
      <xdr:nvSpPr>
        <xdr:cNvPr id="174663" name="Скругленный прямоугольник 174662">
          <a:extLst>
            <a:ext uri="{FF2B5EF4-FFF2-40B4-BE49-F238E27FC236}">
              <a16:creationId xmlns:a16="http://schemas.microsoft.com/office/drawing/2014/main" id="{00000000-0008-0000-0800-000047AA0200}"/>
            </a:ext>
          </a:extLst>
        </xdr:cNvPr>
        <xdr:cNvSpPr/>
      </xdr:nvSpPr>
      <xdr:spPr>
        <a:xfrm>
          <a:off x="15290918" y="1765300"/>
          <a:ext cx="107347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1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1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1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1136</a:t>
          </a:r>
        </a:p>
      </xdr:txBody>
    </xdr:sp>
    <xdr:clientData/>
  </xdr:twoCellAnchor>
  <xdr:twoCellAnchor>
    <xdr:from>
      <xdr:col>16</xdr:col>
      <xdr:colOff>5169340</xdr:colOff>
      <xdr:row>8</xdr:row>
      <xdr:rowOff>12700</xdr:rowOff>
    </xdr:from>
    <xdr:to>
      <xdr:col>16</xdr:col>
      <xdr:colOff>5778500</xdr:colOff>
      <xdr:row>8</xdr:row>
      <xdr:rowOff>177800</xdr:rowOff>
    </xdr:to>
    <xdr:sp macro="" textlink="">
      <xdr:nvSpPr>
        <xdr:cNvPr id="174664" name="Скругленный прямоугольник 174663">
          <a:extLst>
            <a:ext uri="{FF2B5EF4-FFF2-40B4-BE49-F238E27FC236}">
              <a16:creationId xmlns:a16="http://schemas.microsoft.com/office/drawing/2014/main" id="{00000000-0008-0000-0800-000048AA0200}"/>
            </a:ext>
          </a:extLst>
        </xdr:cNvPr>
        <xdr:cNvSpPr/>
      </xdr:nvSpPr>
      <xdr:spPr>
        <a:xfrm>
          <a:off x="16389790" y="1765300"/>
          <a:ext cx="60916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656</a:t>
          </a:r>
        </a:p>
      </xdr:txBody>
    </xdr:sp>
    <xdr:clientData/>
  </xdr:twoCellAnchor>
  <xdr:twoCellAnchor>
    <xdr:from>
      <xdr:col>16</xdr:col>
      <xdr:colOff>0</xdr:colOff>
      <xdr:row>9</xdr:row>
      <xdr:rowOff>12700</xdr:rowOff>
    </xdr:from>
    <xdr:to>
      <xdr:col>16</xdr:col>
      <xdr:colOff>1344320</xdr:colOff>
      <xdr:row>9</xdr:row>
      <xdr:rowOff>177800</xdr:rowOff>
    </xdr:to>
    <xdr:sp macro="" textlink="">
      <xdr:nvSpPr>
        <xdr:cNvPr id="174665" name="Скругленный прямоугольник 174664">
          <a:extLst>
            <a:ext uri="{FF2B5EF4-FFF2-40B4-BE49-F238E27FC236}">
              <a16:creationId xmlns:a16="http://schemas.microsoft.com/office/drawing/2014/main" id="{00000000-0008-0000-0800-000049AA0200}"/>
            </a:ext>
          </a:extLst>
        </xdr:cNvPr>
        <xdr:cNvSpPr/>
      </xdr:nvSpPr>
      <xdr:spPr>
        <a:xfrm>
          <a:off x="11220450" y="1955800"/>
          <a:ext cx="134432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D7FF" mc:Ignorable="a14" a14:legacySpreadsheetColorIndex="3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ECFF" mc:Ignorable="a14" a14:legacySpreadsheetColorIndex="3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87AA" mc:Ignorable="a14" a14:legacySpreadsheetColorIndex="3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1416</a:t>
          </a:r>
        </a:p>
      </xdr:txBody>
    </xdr:sp>
    <xdr:clientData/>
  </xdr:twoCellAnchor>
  <xdr:twoCellAnchor>
    <xdr:from>
      <xdr:col>16</xdr:col>
      <xdr:colOff>1369720</xdr:colOff>
      <xdr:row>9</xdr:row>
      <xdr:rowOff>12700</xdr:rowOff>
    </xdr:from>
    <xdr:to>
      <xdr:col>16</xdr:col>
      <xdr:colOff>2704368</xdr:colOff>
      <xdr:row>9</xdr:row>
      <xdr:rowOff>177800</xdr:rowOff>
    </xdr:to>
    <xdr:sp macro="" textlink="">
      <xdr:nvSpPr>
        <xdr:cNvPr id="174666" name="Скругленный прямоугольник 174665">
          <a:extLst>
            <a:ext uri="{FF2B5EF4-FFF2-40B4-BE49-F238E27FC236}">
              <a16:creationId xmlns:a16="http://schemas.microsoft.com/office/drawing/2014/main" id="{00000000-0008-0000-0800-00004AAA0200}"/>
            </a:ext>
          </a:extLst>
        </xdr:cNvPr>
        <xdr:cNvSpPr/>
      </xdr:nvSpPr>
      <xdr:spPr>
        <a:xfrm>
          <a:off x="12590170" y="1955800"/>
          <a:ext cx="133464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2729768</xdr:colOff>
      <xdr:row>9</xdr:row>
      <xdr:rowOff>12700</xdr:rowOff>
    </xdr:from>
    <xdr:to>
      <xdr:col>16</xdr:col>
      <xdr:colOff>4064415</xdr:colOff>
      <xdr:row>9</xdr:row>
      <xdr:rowOff>177800</xdr:rowOff>
    </xdr:to>
    <xdr:sp macro="" textlink="">
      <xdr:nvSpPr>
        <xdr:cNvPr id="174667" name="Скругленный прямоугольник 174666">
          <a:extLst>
            <a:ext uri="{FF2B5EF4-FFF2-40B4-BE49-F238E27FC236}">
              <a16:creationId xmlns:a16="http://schemas.microsoft.com/office/drawing/2014/main" id="{00000000-0008-0000-0800-00004BAA0200}"/>
            </a:ext>
          </a:extLst>
        </xdr:cNvPr>
        <xdr:cNvSpPr/>
      </xdr:nvSpPr>
      <xdr:spPr>
        <a:xfrm>
          <a:off x="13950218" y="1955800"/>
          <a:ext cx="13346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4089815</xdr:colOff>
      <xdr:row>9</xdr:row>
      <xdr:rowOff>12700</xdr:rowOff>
    </xdr:from>
    <xdr:to>
      <xdr:col>16</xdr:col>
      <xdr:colOff>5095574</xdr:colOff>
      <xdr:row>9</xdr:row>
      <xdr:rowOff>177800</xdr:rowOff>
    </xdr:to>
    <xdr:sp macro="" textlink="">
      <xdr:nvSpPr>
        <xdr:cNvPr id="174668" name="Скругленный прямоугольник 174667">
          <a:extLst>
            <a:ext uri="{FF2B5EF4-FFF2-40B4-BE49-F238E27FC236}">
              <a16:creationId xmlns:a16="http://schemas.microsoft.com/office/drawing/2014/main" id="{00000000-0008-0000-0800-00004CAA0200}"/>
            </a:ext>
          </a:extLst>
        </xdr:cNvPr>
        <xdr:cNvSpPr/>
      </xdr:nvSpPr>
      <xdr:spPr>
        <a:xfrm>
          <a:off x="15310265" y="1955800"/>
          <a:ext cx="100575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1066</a:t>
          </a:r>
        </a:p>
      </xdr:txBody>
    </xdr:sp>
    <xdr:clientData/>
  </xdr:twoCellAnchor>
  <xdr:twoCellAnchor>
    <xdr:from>
      <xdr:col>16</xdr:col>
      <xdr:colOff>5120974</xdr:colOff>
      <xdr:row>9</xdr:row>
      <xdr:rowOff>12700</xdr:rowOff>
    </xdr:from>
    <xdr:to>
      <xdr:col>16</xdr:col>
      <xdr:colOff>5778500</xdr:colOff>
      <xdr:row>9</xdr:row>
      <xdr:rowOff>177800</xdr:rowOff>
    </xdr:to>
    <xdr:sp macro="" textlink="">
      <xdr:nvSpPr>
        <xdr:cNvPr id="174669" name="Скругленный прямоугольник 174668">
          <a:extLst>
            <a:ext uri="{FF2B5EF4-FFF2-40B4-BE49-F238E27FC236}">
              <a16:creationId xmlns:a16="http://schemas.microsoft.com/office/drawing/2014/main" id="{00000000-0008-0000-0800-00004DAA0200}"/>
            </a:ext>
          </a:extLst>
        </xdr:cNvPr>
        <xdr:cNvSpPr/>
      </xdr:nvSpPr>
      <xdr:spPr>
        <a:xfrm>
          <a:off x="16341424" y="1955800"/>
          <a:ext cx="65752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706</a:t>
          </a:r>
        </a:p>
      </xdr:txBody>
    </xdr:sp>
    <xdr:clientData/>
  </xdr:twoCellAnchor>
  <xdr:twoCellAnchor>
    <xdr:from>
      <xdr:col>16</xdr:col>
      <xdr:colOff>0</xdr:colOff>
      <xdr:row>10</xdr:row>
      <xdr:rowOff>12700</xdr:rowOff>
    </xdr:from>
    <xdr:to>
      <xdr:col>16</xdr:col>
      <xdr:colOff>1450725</xdr:colOff>
      <xdr:row>10</xdr:row>
      <xdr:rowOff>177800</xdr:rowOff>
    </xdr:to>
    <xdr:sp macro="" textlink="">
      <xdr:nvSpPr>
        <xdr:cNvPr id="174670" name="Скругленный прямоугольник 174669">
          <a:extLst>
            <a:ext uri="{FF2B5EF4-FFF2-40B4-BE49-F238E27FC236}">
              <a16:creationId xmlns:a16="http://schemas.microsoft.com/office/drawing/2014/main" id="{00000000-0008-0000-0800-00004EAA0200}"/>
            </a:ext>
          </a:extLst>
        </xdr:cNvPr>
        <xdr:cNvSpPr/>
      </xdr:nvSpPr>
      <xdr:spPr>
        <a:xfrm>
          <a:off x="11220450" y="2146300"/>
          <a:ext cx="14507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3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3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3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1476125</xdr:colOff>
      <xdr:row>10</xdr:row>
      <xdr:rowOff>12700</xdr:rowOff>
    </xdr:from>
    <xdr:to>
      <xdr:col>16</xdr:col>
      <xdr:colOff>2752734</xdr:colOff>
      <xdr:row>10</xdr:row>
      <xdr:rowOff>177800</xdr:rowOff>
    </xdr:to>
    <xdr:sp macro="" textlink="">
      <xdr:nvSpPr>
        <xdr:cNvPr id="174671" name="Скругленный прямоугольник 174670">
          <a:extLst>
            <a:ext uri="{FF2B5EF4-FFF2-40B4-BE49-F238E27FC236}">
              <a16:creationId xmlns:a16="http://schemas.microsoft.com/office/drawing/2014/main" id="{00000000-0008-0000-0800-00004FAA0200}"/>
            </a:ext>
          </a:extLst>
        </xdr:cNvPr>
        <xdr:cNvSpPr/>
      </xdr:nvSpPr>
      <xdr:spPr>
        <a:xfrm>
          <a:off x="12696575" y="2146300"/>
          <a:ext cx="127660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FF" mc:Ignorable="a14" a14:legacySpreadsheetColorIndex="2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FF" mc:Ignorable="a14" a14:legacySpreadsheetColorIndex="2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AA" mc:Ignorable="a14" a14:legacySpreadsheetColorIndex="2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1346</a:t>
          </a:r>
        </a:p>
      </xdr:txBody>
    </xdr:sp>
    <xdr:clientData/>
  </xdr:twoCellAnchor>
  <xdr:twoCellAnchor>
    <xdr:from>
      <xdr:col>16</xdr:col>
      <xdr:colOff>2778133</xdr:colOff>
      <xdr:row>10</xdr:row>
      <xdr:rowOff>12700</xdr:rowOff>
    </xdr:from>
    <xdr:to>
      <xdr:col>16</xdr:col>
      <xdr:colOff>4016048</xdr:colOff>
      <xdr:row>10</xdr:row>
      <xdr:rowOff>177800</xdr:rowOff>
    </xdr:to>
    <xdr:sp macro="" textlink="">
      <xdr:nvSpPr>
        <xdr:cNvPr id="174672" name="Скругленный прямоугольник 174671">
          <a:extLst>
            <a:ext uri="{FF2B5EF4-FFF2-40B4-BE49-F238E27FC236}">
              <a16:creationId xmlns:a16="http://schemas.microsoft.com/office/drawing/2014/main" id="{00000000-0008-0000-0800-000050AA0200}"/>
            </a:ext>
          </a:extLst>
        </xdr:cNvPr>
        <xdr:cNvSpPr/>
      </xdr:nvSpPr>
      <xdr:spPr>
        <a:xfrm>
          <a:off x="13998583" y="21463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4041449</xdr:colOff>
      <xdr:row>10</xdr:row>
      <xdr:rowOff>12700</xdr:rowOff>
    </xdr:from>
    <xdr:to>
      <xdr:col>16</xdr:col>
      <xdr:colOff>5114922</xdr:colOff>
      <xdr:row>10</xdr:row>
      <xdr:rowOff>177800</xdr:rowOff>
    </xdr:to>
    <xdr:sp macro="" textlink="">
      <xdr:nvSpPr>
        <xdr:cNvPr id="174673" name="Скругленный прямоугольник 174672">
          <a:extLst>
            <a:ext uri="{FF2B5EF4-FFF2-40B4-BE49-F238E27FC236}">
              <a16:creationId xmlns:a16="http://schemas.microsoft.com/office/drawing/2014/main" id="{00000000-0008-0000-0800-000051AA0200}"/>
            </a:ext>
          </a:extLst>
        </xdr:cNvPr>
        <xdr:cNvSpPr/>
      </xdr:nvSpPr>
      <xdr:spPr>
        <a:xfrm>
          <a:off x="15261899" y="2146300"/>
          <a:ext cx="107347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1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1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1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1136</a:t>
          </a:r>
        </a:p>
      </xdr:txBody>
    </xdr:sp>
    <xdr:clientData/>
  </xdr:twoCellAnchor>
  <xdr:twoCellAnchor>
    <xdr:from>
      <xdr:col>16</xdr:col>
      <xdr:colOff>5140320</xdr:colOff>
      <xdr:row>10</xdr:row>
      <xdr:rowOff>12700</xdr:rowOff>
    </xdr:from>
    <xdr:to>
      <xdr:col>16</xdr:col>
      <xdr:colOff>5778500</xdr:colOff>
      <xdr:row>10</xdr:row>
      <xdr:rowOff>177800</xdr:rowOff>
    </xdr:to>
    <xdr:sp macro="" textlink="">
      <xdr:nvSpPr>
        <xdr:cNvPr id="174674" name="Скругленный прямоугольник 174673">
          <a:extLst>
            <a:ext uri="{FF2B5EF4-FFF2-40B4-BE49-F238E27FC236}">
              <a16:creationId xmlns:a16="http://schemas.microsoft.com/office/drawing/2014/main" id="{00000000-0008-0000-0800-000052AA0200}"/>
            </a:ext>
          </a:extLst>
        </xdr:cNvPr>
        <xdr:cNvSpPr/>
      </xdr:nvSpPr>
      <xdr:spPr>
        <a:xfrm>
          <a:off x="16360770" y="2146300"/>
          <a:ext cx="63818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686</a:t>
          </a:r>
        </a:p>
      </xdr:txBody>
    </xdr:sp>
    <xdr:clientData/>
  </xdr:twoCellAnchor>
  <xdr:twoCellAnchor>
    <xdr:from>
      <xdr:col>16</xdr:col>
      <xdr:colOff>0</xdr:colOff>
      <xdr:row>11</xdr:row>
      <xdr:rowOff>12700</xdr:rowOff>
    </xdr:from>
    <xdr:to>
      <xdr:col>16</xdr:col>
      <xdr:colOff>1450725</xdr:colOff>
      <xdr:row>11</xdr:row>
      <xdr:rowOff>177800</xdr:rowOff>
    </xdr:to>
    <xdr:sp macro="" textlink="">
      <xdr:nvSpPr>
        <xdr:cNvPr id="174675" name="Скругленный прямоугольник 174674">
          <a:extLst>
            <a:ext uri="{FF2B5EF4-FFF2-40B4-BE49-F238E27FC236}">
              <a16:creationId xmlns:a16="http://schemas.microsoft.com/office/drawing/2014/main" id="{00000000-0008-0000-0800-000053AA0200}"/>
            </a:ext>
          </a:extLst>
        </xdr:cNvPr>
        <xdr:cNvSpPr/>
      </xdr:nvSpPr>
      <xdr:spPr>
        <a:xfrm>
          <a:off x="11220450" y="2336800"/>
          <a:ext cx="14507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3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3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3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1476125</xdr:colOff>
      <xdr:row>11</xdr:row>
      <xdr:rowOff>12700</xdr:rowOff>
    </xdr:from>
    <xdr:to>
      <xdr:col>16</xdr:col>
      <xdr:colOff>2926851</xdr:colOff>
      <xdr:row>11</xdr:row>
      <xdr:rowOff>177800</xdr:rowOff>
    </xdr:to>
    <xdr:sp macro="" textlink="">
      <xdr:nvSpPr>
        <xdr:cNvPr id="174676" name="Скругленный прямоугольник 174675">
          <a:extLst>
            <a:ext uri="{FF2B5EF4-FFF2-40B4-BE49-F238E27FC236}">
              <a16:creationId xmlns:a16="http://schemas.microsoft.com/office/drawing/2014/main" id="{00000000-0008-0000-0800-000054AA0200}"/>
            </a:ext>
          </a:extLst>
        </xdr:cNvPr>
        <xdr:cNvSpPr/>
      </xdr:nvSpPr>
      <xdr:spPr>
        <a:xfrm>
          <a:off x="12696575" y="2336800"/>
          <a:ext cx="145072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3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3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3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2952251</xdr:colOff>
      <xdr:row>11</xdr:row>
      <xdr:rowOff>12700</xdr:rowOff>
    </xdr:from>
    <xdr:to>
      <xdr:col>16</xdr:col>
      <xdr:colOff>4383630</xdr:colOff>
      <xdr:row>11</xdr:row>
      <xdr:rowOff>177800</xdr:rowOff>
    </xdr:to>
    <xdr:sp macro="" textlink="">
      <xdr:nvSpPr>
        <xdr:cNvPr id="174677" name="Скругленный прямоугольник 174676">
          <a:extLst>
            <a:ext uri="{FF2B5EF4-FFF2-40B4-BE49-F238E27FC236}">
              <a16:creationId xmlns:a16="http://schemas.microsoft.com/office/drawing/2014/main" id="{00000000-0008-0000-0800-000055AA0200}"/>
            </a:ext>
          </a:extLst>
        </xdr:cNvPr>
        <xdr:cNvSpPr/>
      </xdr:nvSpPr>
      <xdr:spPr>
        <a:xfrm>
          <a:off x="14172701" y="2336800"/>
          <a:ext cx="14313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3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3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3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1506</a:t>
          </a:r>
        </a:p>
      </xdr:txBody>
    </xdr:sp>
    <xdr:clientData/>
  </xdr:twoCellAnchor>
  <xdr:twoCellAnchor>
    <xdr:from>
      <xdr:col>16</xdr:col>
      <xdr:colOff>4409030</xdr:colOff>
      <xdr:row>11</xdr:row>
      <xdr:rowOff>12700</xdr:rowOff>
    </xdr:from>
    <xdr:to>
      <xdr:col>16</xdr:col>
      <xdr:colOff>5772697</xdr:colOff>
      <xdr:row>11</xdr:row>
      <xdr:rowOff>177800</xdr:rowOff>
    </xdr:to>
    <xdr:sp macro="" textlink="">
      <xdr:nvSpPr>
        <xdr:cNvPr id="174678" name="Скругленный прямоугольник 174677">
          <a:extLst>
            <a:ext uri="{FF2B5EF4-FFF2-40B4-BE49-F238E27FC236}">
              <a16:creationId xmlns:a16="http://schemas.microsoft.com/office/drawing/2014/main" id="{00000000-0008-0000-0800-000056AA0200}"/>
            </a:ext>
          </a:extLst>
        </xdr:cNvPr>
        <xdr:cNvSpPr/>
      </xdr:nvSpPr>
      <xdr:spPr>
        <a:xfrm>
          <a:off x="15629480" y="2336800"/>
          <a:ext cx="136366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3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3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3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1436</a:t>
          </a:r>
        </a:p>
      </xdr:txBody>
    </xdr:sp>
    <xdr:clientData/>
  </xdr:twoCellAnchor>
  <xdr:twoCellAnchor>
    <xdr:from>
      <xdr:col>16</xdr:col>
      <xdr:colOff>0</xdr:colOff>
      <xdr:row>12</xdr:row>
      <xdr:rowOff>12700</xdr:rowOff>
    </xdr:from>
    <xdr:to>
      <xdr:col>16</xdr:col>
      <xdr:colOff>1450725</xdr:colOff>
      <xdr:row>12</xdr:row>
      <xdr:rowOff>177800</xdr:rowOff>
    </xdr:to>
    <xdr:sp macro="" textlink="">
      <xdr:nvSpPr>
        <xdr:cNvPr id="174679" name="Скругленный прямоугольник 174678">
          <a:extLst>
            <a:ext uri="{FF2B5EF4-FFF2-40B4-BE49-F238E27FC236}">
              <a16:creationId xmlns:a16="http://schemas.microsoft.com/office/drawing/2014/main" id="{00000000-0008-0000-0800-000057AA0200}"/>
            </a:ext>
          </a:extLst>
        </xdr:cNvPr>
        <xdr:cNvSpPr/>
      </xdr:nvSpPr>
      <xdr:spPr>
        <a:xfrm>
          <a:off x="11220450" y="2527300"/>
          <a:ext cx="14507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3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3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3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1476125</xdr:colOff>
      <xdr:row>12</xdr:row>
      <xdr:rowOff>12700</xdr:rowOff>
    </xdr:from>
    <xdr:to>
      <xdr:col>16</xdr:col>
      <xdr:colOff>2926851</xdr:colOff>
      <xdr:row>12</xdr:row>
      <xdr:rowOff>177800</xdr:rowOff>
    </xdr:to>
    <xdr:sp macro="" textlink="">
      <xdr:nvSpPr>
        <xdr:cNvPr id="174680" name="Скругленный прямоугольник 174679">
          <a:extLst>
            <a:ext uri="{FF2B5EF4-FFF2-40B4-BE49-F238E27FC236}">
              <a16:creationId xmlns:a16="http://schemas.microsoft.com/office/drawing/2014/main" id="{00000000-0008-0000-0800-000058AA0200}"/>
            </a:ext>
          </a:extLst>
        </xdr:cNvPr>
        <xdr:cNvSpPr/>
      </xdr:nvSpPr>
      <xdr:spPr>
        <a:xfrm>
          <a:off x="12696575" y="2527300"/>
          <a:ext cx="145072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3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3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3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2952251</xdr:colOff>
      <xdr:row>12</xdr:row>
      <xdr:rowOff>12700</xdr:rowOff>
    </xdr:from>
    <xdr:to>
      <xdr:col>16</xdr:col>
      <xdr:colOff>4402976</xdr:colOff>
      <xdr:row>12</xdr:row>
      <xdr:rowOff>177800</xdr:rowOff>
    </xdr:to>
    <xdr:sp macro="" textlink="">
      <xdr:nvSpPr>
        <xdr:cNvPr id="174681" name="Скругленный прямоугольник 174680">
          <a:extLst>
            <a:ext uri="{FF2B5EF4-FFF2-40B4-BE49-F238E27FC236}">
              <a16:creationId xmlns:a16="http://schemas.microsoft.com/office/drawing/2014/main" id="{00000000-0008-0000-0800-000059AA0200}"/>
            </a:ext>
          </a:extLst>
        </xdr:cNvPr>
        <xdr:cNvSpPr/>
      </xdr:nvSpPr>
      <xdr:spPr>
        <a:xfrm>
          <a:off x="14172701" y="2527300"/>
          <a:ext cx="14507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3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3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3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4428376</xdr:colOff>
      <xdr:row>12</xdr:row>
      <xdr:rowOff>12700</xdr:rowOff>
    </xdr:from>
    <xdr:to>
      <xdr:col>16</xdr:col>
      <xdr:colOff>5772697</xdr:colOff>
      <xdr:row>12</xdr:row>
      <xdr:rowOff>177800</xdr:rowOff>
    </xdr:to>
    <xdr:sp macro="" textlink="">
      <xdr:nvSpPr>
        <xdr:cNvPr id="174682" name="Скругленный прямоугольник 174681">
          <a:extLst>
            <a:ext uri="{FF2B5EF4-FFF2-40B4-BE49-F238E27FC236}">
              <a16:creationId xmlns:a16="http://schemas.microsoft.com/office/drawing/2014/main" id="{00000000-0008-0000-0800-00005AAA0200}"/>
            </a:ext>
          </a:extLst>
        </xdr:cNvPr>
        <xdr:cNvSpPr/>
      </xdr:nvSpPr>
      <xdr:spPr>
        <a:xfrm>
          <a:off x="15648826" y="2527300"/>
          <a:ext cx="134432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D7FF" mc:Ignorable="a14" a14:legacySpreadsheetColorIndex="3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ECFF" mc:Ignorable="a14" a14:legacySpreadsheetColorIndex="3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87AA" mc:Ignorable="a14" a14:legacySpreadsheetColorIndex="3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1416</a:t>
          </a:r>
        </a:p>
      </xdr:txBody>
    </xdr:sp>
    <xdr:clientData/>
  </xdr:twoCellAnchor>
  <xdr:twoCellAnchor>
    <xdr:from>
      <xdr:col>16</xdr:col>
      <xdr:colOff>0</xdr:colOff>
      <xdr:row>13</xdr:row>
      <xdr:rowOff>12700</xdr:rowOff>
    </xdr:from>
    <xdr:to>
      <xdr:col>16</xdr:col>
      <xdr:colOff>1750593</xdr:colOff>
      <xdr:row>13</xdr:row>
      <xdr:rowOff>177800</xdr:rowOff>
    </xdr:to>
    <xdr:sp macro="" textlink="">
      <xdr:nvSpPr>
        <xdr:cNvPr id="174683" name="Скругленный прямоугольник 174682">
          <a:extLst>
            <a:ext uri="{FF2B5EF4-FFF2-40B4-BE49-F238E27FC236}">
              <a16:creationId xmlns:a16="http://schemas.microsoft.com/office/drawing/2014/main" id="{00000000-0008-0000-0800-00005BAA0200}"/>
            </a:ext>
          </a:extLst>
        </xdr:cNvPr>
        <xdr:cNvSpPr/>
      </xdr:nvSpPr>
      <xdr:spPr>
        <a:xfrm>
          <a:off x="11220450" y="2717800"/>
          <a:ext cx="175059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3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3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3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1836</a:t>
          </a:r>
        </a:p>
      </xdr:txBody>
    </xdr:sp>
    <xdr:clientData/>
  </xdr:twoCellAnchor>
  <xdr:twoCellAnchor>
    <xdr:from>
      <xdr:col>16</xdr:col>
      <xdr:colOff>1775993</xdr:colOff>
      <xdr:row>13</xdr:row>
      <xdr:rowOff>12700</xdr:rowOff>
    </xdr:from>
    <xdr:to>
      <xdr:col>16</xdr:col>
      <xdr:colOff>3120313</xdr:colOff>
      <xdr:row>13</xdr:row>
      <xdr:rowOff>177800</xdr:rowOff>
    </xdr:to>
    <xdr:sp macro="" textlink="">
      <xdr:nvSpPr>
        <xdr:cNvPr id="174684" name="Скругленный прямоугольник 174683">
          <a:extLst>
            <a:ext uri="{FF2B5EF4-FFF2-40B4-BE49-F238E27FC236}">
              <a16:creationId xmlns:a16="http://schemas.microsoft.com/office/drawing/2014/main" id="{00000000-0008-0000-0800-00005CAA0200}"/>
            </a:ext>
          </a:extLst>
        </xdr:cNvPr>
        <xdr:cNvSpPr/>
      </xdr:nvSpPr>
      <xdr:spPr>
        <a:xfrm>
          <a:off x="12996443" y="2717800"/>
          <a:ext cx="134432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D7FF" mc:Ignorable="a14" a14:legacySpreadsheetColorIndex="3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ECFF" mc:Ignorable="a14" a14:legacySpreadsheetColorIndex="3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87AA" mc:Ignorable="a14" a14:legacySpreadsheetColorIndex="3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1416</a:t>
          </a:r>
        </a:p>
      </xdr:txBody>
    </xdr:sp>
    <xdr:clientData/>
  </xdr:twoCellAnchor>
  <xdr:twoCellAnchor>
    <xdr:from>
      <xdr:col>16</xdr:col>
      <xdr:colOff>3145713</xdr:colOff>
      <xdr:row>13</xdr:row>
      <xdr:rowOff>12700</xdr:rowOff>
    </xdr:from>
    <xdr:to>
      <xdr:col>16</xdr:col>
      <xdr:colOff>4480361</xdr:colOff>
      <xdr:row>13</xdr:row>
      <xdr:rowOff>177800</xdr:rowOff>
    </xdr:to>
    <xdr:sp macro="" textlink="">
      <xdr:nvSpPr>
        <xdr:cNvPr id="174685" name="Скругленный прямоугольник 174684">
          <a:extLst>
            <a:ext uri="{FF2B5EF4-FFF2-40B4-BE49-F238E27FC236}">
              <a16:creationId xmlns:a16="http://schemas.microsoft.com/office/drawing/2014/main" id="{00000000-0008-0000-0800-00005DAA0200}"/>
            </a:ext>
          </a:extLst>
        </xdr:cNvPr>
        <xdr:cNvSpPr/>
      </xdr:nvSpPr>
      <xdr:spPr>
        <a:xfrm>
          <a:off x="14366163" y="2717800"/>
          <a:ext cx="133464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4505761</xdr:colOff>
      <xdr:row>13</xdr:row>
      <xdr:rowOff>12700</xdr:rowOff>
    </xdr:from>
    <xdr:to>
      <xdr:col>16</xdr:col>
      <xdr:colOff>5772696</xdr:colOff>
      <xdr:row>13</xdr:row>
      <xdr:rowOff>177800</xdr:rowOff>
    </xdr:to>
    <xdr:sp macro="" textlink="">
      <xdr:nvSpPr>
        <xdr:cNvPr id="174686" name="Скругленный прямоугольник 174685">
          <a:extLst>
            <a:ext uri="{FF2B5EF4-FFF2-40B4-BE49-F238E27FC236}">
              <a16:creationId xmlns:a16="http://schemas.microsoft.com/office/drawing/2014/main" id="{00000000-0008-0000-0800-00005EAA0200}"/>
            </a:ext>
          </a:extLst>
        </xdr:cNvPr>
        <xdr:cNvSpPr/>
      </xdr:nvSpPr>
      <xdr:spPr>
        <a:xfrm>
          <a:off x="15726211" y="27178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0</xdr:colOff>
      <xdr:row>14</xdr:row>
      <xdr:rowOff>12700</xdr:rowOff>
    </xdr:from>
    <xdr:to>
      <xdr:col>16</xdr:col>
      <xdr:colOff>1818306</xdr:colOff>
      <xdr:row>14</xdr:row>
      <xdr:rowOff>177800</xdr:rowOff>
    </xdr:to>
    <xdr:sp macro="" textlink="">
      <xdr:nvSpPr>
        <xdr:cNvPr id="174687" name="Скругленный прямоугольник 174686">
          <a:extLst>
            <a:ext uri="{FF2B5EF4-FFF2-40B4-BE49-F238E27FC236}">
              <a16:creationId xmlns:a16="http://schemas.microsoft.com/office/drawing/2014/main" id="{00000000-0008-0000-0800-00005FAA0200}"/>
            </a:ext>
          </a:extLst>
        </xdr:cNvPr>
        <xdr:cNvSpPr/>
      </xdr:nvSpPr>
      <xdr:spPr>
        <a:xfrm>
          <a:off x="11220450" y="2908300"/>
          <a:ext cx="181830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A4" mc:Ignorable="a14" a14:legacySpreadsheetColorIndex="3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D8" mc:Ignorable="a14" a14:legacySpreadsheetColorIndex="3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53" mc:Ignorable="a14" a14:legacySpreadsheetColorIndex="3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1906</a:t>
          </a:r>
        </a:p>
      </xdr:txBody>
    </xdr:sp>
    <xdr:clientData/>
  </xdr:twoCellAnchor>
  <xdr:twoCellAnchor>
    <xdr:from>
      <xdr:col>16</xdr:col>
      <xdr:colOff>1843706</xdr:colOff>
      <xdr:row>14</xdr:row>
      <xdr:rowOff>12700</xdr:rowOff>
    </xdr:from>
    <xdr:to>
      <xdr:col>16</xdr:col>
      <xdr:colOff>3275085</xdr:colOff>
      <xdr:row>14</xdr:row>
      <xdr:rowOff>177800</xdr:rowOff>
    </xdr:to>
    <xdr:sp macro="" textlink="">
      <xdr:nvSpPr>
        <xdr:cNvPr id="174688" name="Скругленный прямоугольник 174687">
          <a:extLst>
            <a:ext uri="{FF2B5EF4-FFF2-40B4-BE49-F238E27FC236}">
              <a16:creationId xmlns:a16="http://schemas.microsoft.com/office/drawing/2014/main" id="{00000000-0008-0000-0800-000060AA0200}"/>
            </a:ext>
          </a:extLst>
        </xdr:cNvPr>
        <xdr:cNvSpPr/>
      </xdr:nvSpPr>
      <xdr:spPr>
        <a:xfrm>
          <a:off x="13064156" y="2908300"/>
          <a:ext cx="14313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3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3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3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1506</a:t>
          </a:r>
        </a:p>
      </xdr:txBody>
    </xdr:sp>
    <xdr:clientData/>
  </xdr:twoCellAnchor>
  <xdr:twoCellAnchor>
    <xdr:from>
      <xdr:col>16</xdr:col>
      <xdr:colOff>3300484</xdr:colOff>
      <xdr:row>14</xdr:row>
      <xdr:rowOff>12700</xdr:rowOff>
    </xdr:from>
    <xdr:to>
      <xdr:col>16</xdr:col>
      <xdr:colOff>4548073</xdr:colOff>
      <xdr:row>14</xdr:row>
      <xdr:rowOff>177800</xdr:rowOff>
    </xdr:to>
    <xdr:sp macro="" textlink="">
      <xdr:nvSpPr>
        <xdr:cNvPr id="174689" name="Скругленный прямоугольник 174688">
          <a:extLst>
            <a:ext uri="{FF2B5EF4-FFF2-40B4-BE49-F238E27FC236}">
              <a16:creationId xmlns:a16="http://schemas.microsoft.com/office/drawing/2014/main" id="{00000000-0008-0000-0800-000061AA0200}"/>
            </a:ext>
          </a:extLst>
        </xdr:cNvPr>
        <xdr:cNvSpPr/>
      </xdr:nvSpPr>
      <xdr:spPr>
        <a:xfrm>
          <a:off x="14520934" y="2908300"/>
          <a:ext cx="12475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B4FF" mc:Ignorable="a14" a14:legacySpreadsheetColorIndex="2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DEFF" mc:Ignorable="a14" a14:legacySpreadsheetColorIndex="2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64AA" mc:Ignorable="a14" a14:legacySpreadsheetColorIndex="2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1316</a:t>
          </a:r>
        </a:p>
      </xdr:txBody>
    </xdr:sp>
    <xdr:clientData/>
  </xdr:twoCellAnchor>
  <xdr:twoCellAnchor>
    <xdr:from>
      <xdr:col>16</xdr:col>
      <xdr:colOff>4573473</xdr:colOff>
      <xdr:row>14</xdr:row>
      <xdr:rowOff>12700</xdr:rowOff>
    </xdr:from>
    <xdr:to>
      <xdr:col>16</xdr:col>
      <xdr:colOff>5772696</xdr:colOff>
      <xdr:row>14</xdr:row>
      <xdr:rowOff>177800</xdr:rowOff>
    </xdr:to>
    <xdr:sp macro="" textlink="">
      <xdr:nvSpPr>
        <xdr:cNvPr id="174690" name="Скругленный прямоугольник 174689">
          <a:extLst>
            <a:ext uri="{FF2B5EF4-FFF2-40B4-BE49-F238E27FC236}">
              <a16:creationId xmlns:a16="http://schemas.microsoft.com/office/drawing/2014/main" id="{00000000-0008-0000-0800-000062AA0200}"/>
            </a:ext>
          </a:extLst>
        </xdr:cNvPr>
        <xdr:cNvSpPr/>
      </xdr:nvSpPr>
      <xdr:spPr>
        <a:xfrm>
          <a:off x="15793923" y="2908300"/>
          <a:ext cx="119922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A4" mc:Ignorable="a14" a14:legacySpreadsheetColorIndex="2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D8" mc:Ignorable="a14" a14:legacySpreadsheetColorIndex="2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53" mc:Ignorable="a14" a14:legacySpreadsheetColorIndex="2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1266</a:t>
          </a:r>
        </a:p>
      </xdr:txBody>
    </xdr:sp>
    <xdr:clientData/>
  </xdr:twoCellAnchor>
  <xdr:twoCellAnchor>
    <xdr:from>
      <xdr:col>16</xdr:col>
      <xdr:colOff>0</xdr:colOff>
      <xdr:row>15</xdr:row>
      <xdr:rowOff>12700</xdr:rowOff>
    </xdr:from>
    <xdr:to>
      <xdr:col>16</xdr:col>
      <xdr:colOff>1973076</xdr:colOff>
      <xdr:row>15</xdr:row>
      <xdr:rowOff>177800</xdr:rowOff>
    </xdr:to>
    <xdr:sp macro="" textlink="">
      <xdr:nvSpPr>
        <xdr:cNvPr id="174691" name="Скругленный прямоугольник 174690">
          <a:extLst>
            <a:ext uri="{FF2B5EF4-FFF2-40B4-BE49-F238E27FC236}">
              <a16:creationId xmlns:a16="http://schemas.microsoft.com/office/drawing/2014/main" id="{00000000-0008-0000-0800-000063AA0200}"/>
            </a:ext>
          </a:extLst>
        </xdr:cNvPr>
        <xdr:cNvSpPr/>
      </xdr:nvSpPr>
      <xdr:spPr>
        <a:xfrm>
          <a:off x="11220450" y="3098800"/>
          <a:ext cx="197307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3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3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3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2066</a:t>
          </a:r>
        </a:p>
      </xdr:txBody>
    </xdr:sp>
    <xdr:clientData/>
  </xdr:twoCellAnchor>
  <xdr:twoCellAnchor>
    <xdr:from>
      <xdr:col>16</xdr:col>
      <xdr:colOff>1998476</xdr:colOff>
      <xdr:row>15</xdr:row>
      <xdr:rowOff>12700</xdr:rowOff>
    </xdr:from>
    <xdr:to>
      <xdr:col>16</xdr:col>
      <xdr:colOff>3255738</xdr:colOff>
      <xdr:row>15</xdr:row>
      <xdr:rowOff>177800</xdr:rowOff>
    </xdr:to>
    <xdr:sp macro="" textlink="">
      <xdr:nvSpPr>
        <xdr:cNvPr id="174692" name="Скругленный прямоугольник 174691">
          <a:extLst>
            <a:ext uri="{FF2B5EF4-FFF2-40B4-BE49-F238E27FC236}">
              <a16:creationId xmlns:a16="http://schemas.microsoft.com/office/drawing/2014/main" id="{00000000-0008-0000-0800-000064AA0200}"/>
            </a:ext>
          </a:extLst>
        </xdr:cNvPr>
        <xdr:cNvSpPr/>
      </xdr:nvSpPr>
      <xdr:spPr>
        <a:xfrm>
          <a:off x="13218926" y="3098800"/>
          <a:ext cx="125726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3281138</xdr:colOff>
      <xdr:row>15</xdr:row>
      <xdr:rowOff>12700</xdr:rowOff>
    </xdr:from>
    <xdr:to>
      <xdr:col>16</xdr:col>
      <xdr:colOff>4538399</xdr:colOff>
      <xdr:row>15</xdr:row>
      <xdr:rowOff>177800</xdr:rowOff>
    </xdr:to>
    <xdr:sp macro="" textlink="">
      <xdr:nvSpPr>
        <xdr:cNvPr id="174693" name="Скругленный прямоугольник 174692">
          <a:extLst>
            <a:ext uri="{FF2B5EF4-FFF2-40B4-BE49-F238E27FC236}">
              <a16:creationId xmlns:a16="http://schemas.microsoft.com/office/drawing/2014/main" id="{00000000-0008-0000-0800-000065AA0200}"/>
            </a:ext>
          </a:extLst>
        </xdr:cNvPr>
        <xdr:cNvSpPr/>
      </xdr:nvSpPr>
      <xdr:spPr>
        <a:xfrm>
          <a:off x="14501588" y="3098800"/>
          <a:ext cx="12572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4563801</xdr:colOff>
      <xdr:row>15</xdr:row>
      <xdr:rowOff>12700</xdr:rowOff>
    </xdr:from>
    <xdr:to>
      <xdr:col>16</xdr:col>
      <xdr:colOff>5772697</xdr:colOff>
      <xdr:row>15</xdr:row>
      <xdr:rowOff>177800</xdr:rowOff>
    </xdr:to>
    <xdr:sp macro="" textlink="">
      <xdr:nvSpPr>
        <xdr:cNvPr id="174694" name="Скругленный прямоугольник 174693">
          <a:extLst>
            <a:ext uri="{FF2B5EF4-FFF2-40B4-BE49-F238E27FC236}">
              <a16:creationId xmlns:a16="http://schemas.microsoft.com/office/drawing/2014/main" id="{00000000-0008-0000-0800-000066AA0200}"/>
            </a:ext>
          </a:extLst>
        </xdr:cNvPr>
        <xdr:cNvSpPr/>
      </xdr:nvSpPr>
      <xdr:spPr>
        <a:xfrm>
          <a:off x="15784251" y="3098800"/>
          <a:ext cx="120889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CFCFCF" mc:Ignorable="a14" a14:legacySpreadsheetColorIndex="2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8E8E8" mc:Ignorable="a14" a14:legacySpreadsheetColorIndex="2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7F7F7F" mc:Ignorable="a14" a14:legacySpreadsheetColorIndex="2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1276</a:t>
          </a:r>
        </a:p>
      </xdr:txBody>
    </xdr:sp>
    <xdr:clientData/>
  </xdr:twoCellAnchor>
  <xdr:twoCellAnchor>
    <xdr:from>
      <xdr:col>16</xdr:col>
      <xdr:colOff>0</xdr:colOff>
      <xdr:row>16</xdr:row>
      <xdr:rowOff>12700</xdr:rowOff>
    </xdr:from>
    <xdr:to>
      <xdr:col>16</xdr:col>
      <xdr:colOff>1973076</xdr:colOff>
      <xdr:row>16</xdr:row>
      <xdr:rowOff>177800</xdr:rowOff>
    </xdr:to>
    <xdr:sp macro="" textlink="">
      <xdr:nvSpPr>
        <xdr:cNvPr id="174695" name="Скругленный прямоугольник 174694">
          <a:extLst>
            <a:ext uri="{FF2B5EF4-FFF2-40B4-BE49-F238E27FC236}">
              <a16:creationId xmlns:a16="http://schemas.microsoft.com/office/drawing/2014/main" id="{00000000-0008-0000-0800-000067AA0200}"/>
            </a:ext>
          </a:extLst>
        </xdr:cNvPr>
        <xdr:cNvSpPr/>
      </xdr:nvSpPr>
      <xdr:spPr>
        <a:xfrm>
          <a:off x="11220450" y="3289300"/>
          <a:ext cx="197307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3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3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3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2066</a:t>
          </a:r>
        </a:p>
      </xdr:txBody>
    </xdr:sp>
    <xdr:clientData/>
  </xdr:twoCellAnchor>
  <xdr:twoCellAnchor>
    <xdr:from>
      <xdr:col>16</xdr:col>
      <xdr:colOff>1998476</xdr:colOff>
      <xdr:row>16</xdr:row>
      <xdr:rowOff>12700</xdr:rowOff>
    </xdr:from>
    <xdr:to>
      <xdr:col>16</xdr:col>
      <xdr:colOff>3265412</xdr:colOff>
      <xdr:row>16</xdr:row>
      <xdr:rowOff>177800</xdr:rowOff>
    </xdr:to>
    <xdr:sp macro="" textlink="">
      <xdr:nvSpPr>
        <xdr:cNvPr id="174696" name="Скругленный прямоугольник 174695">
          <a:extLst>
            <a:ext uri="{FF2B5EF4-FFF2-40B4-BE49-F238E27FC236}">
              <a16:creationId xmlns:a16="http://schemas.microsoft.com/office/drawing/2014/main" id="{00000000-0008-0000-0800-000068AA0200}"/>
            </a:ext>
          </a:extLst>
        </xdr:cNvPr>
        <xdr:cNvSpPr/>
      </xdr:nvSpPr>
      <xdr:spPr>
        <a:xfrm>
          <a:off x="13218926" y="3289300"/>
          <a:ext cx="126693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3290812</xdr:colOff>
      <xdr:row>16</xdr:row>
      <xdr:rowOff>12700</xdr:rowOff>
    </xdr:from>
    <xdr:to>
      <xdr:col>16</xdr:col>
      <xdr:colOff>4557747</xdr:colOff>
      <xdr:row>16</xdr:row>
      <xdr:rowOff>177800</xdr:rowOff>
    </xdr:to>
    <xdr:sp macro="" textlink="">
      <xdr:nvSpPr>
        <xdr:cNvPr id="174697" name="Скругленный прямоугольник 174696">
          <a:extLst>
            <a:ext uri="{FF2B5EF4-FFF2-40B4-BE49-F238E27FC236}">
              <a16:creationId xmlns:a16="http://schemas.microsoft.com/office/drawing/2014/main" id="{00000000-0008-0000-0800-000069AA0200}"/>
            </a:ext>
          </a:extLst>
        </xdr:cNvPr>
        <xdr:cNvSpPr/>
      </xdr:nvSpPr>
      <xdr:spPr>
        <a:xfrm>
          <a:off x="14511262" y="32893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4583147</xdr:colOff>
      <xdr:row>16</xdr:row>
      <xdr:rowOff>12700</xdr:rowOff>
    </xdr:from>
    <xdr:to>
      <xdr:col>16</xdr:col>
      <xdr:colOff>5772696</xdr:colOff>
      <xdr:row>16</xdr:row>
      <xdr:rowOff>177800</xdr:rowOff>
    </xdr:to>
    <xdr:sp macro="" textlink="">
      <xdr:nvSpPr>
        <xdr:cNvPr id="174698" name="Скругленный прямоугольник 174697">
          <a:extLst>
            <a:ext uri="{FF2B5EF4-FFF2-40B4-BE49-F238E27FC236}">
              <a16:creationId xmlns:a16="http://schemas.microsoft.com/office/drawing/2014/main" id="{00000000-0008-0000-0800-00006AAA0200}"/>
            </a:ext>
          </a:extLst>
        </xdr:cNvPr>
        <xdr:cNvSpPr/>
      </xdr:nvSpPr>
      <xdr:spPr>
        <a:xfrm>
          <a:off x="15803597" y="3289300"/>
          <a:ext cx="118954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A4" mc:Ignorable="a14" a14:legacySpreadsheetColorIndex="2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D8" mc:Ignorable="a14" a14:legacySpreadsheetColorIndex="2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53" mc:Ignorable="a14" a14:legacySpreadsheetColorIndex="2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1256</a:t>
          </a:r>
        </a:p>
      </xdr:txBody>
    </xdr:sp>
    <xdr:clientData/>
  </xdr:twoCellAnchor>
  <xdr:twoCellAnchor>
    <xdr:from>
      <xdr:col>16</xdr:col>
      <xdr:colOff>0</xdr:colOff>
      <xdr:row>17</xdr:row>
      <xdr:rowOff>12700</xdr:rowOff>
    </xdr:from>
    <xdr:to>
      <xdr:col>16</xdr:col>
      <xdr:colOff>1992423</xdr:colOff>
      <xdr:row>17</xdr:row>
      <xdr:rowOff>177800</xdr:rowOff>
    </xdr:to>
    <xdr:sp macro="" textlink="">
      <xdr:nvSpPr>
        <xdr:cNvPr id="174699" name="Скругленный прямоугольник 174698">
          <a:extLst>
            <a:ext uri="{FF2B5EF4-FFF2-40B4-BE49-F238E27FC236}">
              <a16:creationId xmlns:a16="http://schemas.microsoft.com/office/drawing/2014/main" id="{00000000-0008-0000-0800-00006BAA0200}"/>
            </a:ext>
          </a:extLst>
        </xdr:cNvPr>
        <xdr:cNvSpPr/>
      </xdr:nvSpPr>
      <xdr:spPr>
        <a:xfrm>
          <a:off x="11220450" y="3479800"/>
          <a:ext cx="199242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A4" mc:Ignorable="a14" a14:legacySpreadsheetColorIndex="3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D8" mc:Ignorable="a14" a14:legacySpreadsheetColorIndex="3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53" mc:Ignorable="a14" a14:legacySpreadsheetColorIndex="3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2086</a:t>
          </a:r>
        </a:p>
      </xdr:txBody>
    </xdr:sp>
    <xdr:clientData/>
  </xdr:twoCellAnchor>
  <xdr:twoCellAnchor>
    <xdr:from>
      <xdr:col>16</xdr:col>
      <xdr:colOff>2017823</xdr:colOff>
      <xdr:row>17</xdr:row>
      <xdr:rowOff>12700</xdr:rowOff>
    </xdr:from>
    <xdr:to>
      <xdr:col>16</xdr:col>
      <xdr:colOff>3381490</xdr:colOff>
      <xdr:row>17</xdr:row>
      <xdr:rowOff>177800</xdr:rowOff>
    </xdr:to>
    <xdr:sp macro="" textlink="">
      <xdr:nvSpPr>
        <xdr:cNvPr id="174700" name="Скругленный прямоугольник 174699">
          <a:extLst>
            <a:ext uri="{FF2B5EF4-FFF2-40B4-BE49-F238E27FC236}">
              <a16:creationId xmlns:a16="http://schemas.microsoft.com/office/drawing/2014/main" id="{00000000-0008-0000-0800-00006CAA0200}"/>
            </a:ext>
          </a:extLst>
        </xdr:cNvPr>
        <xdr:cNvSpPr/>
      </xdr:nvSpPr>
      <xdr:spPr>
        <a:xfrm>
          <a:off x="13238273" y="3479800"/>
          <a:ext cx="136366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3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3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3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1436</a:t>
          </a:r>
        </a:p>
      </xdr:txBody>
    </xdr:sp>
    <xdr:clientData/>
  </xdr:twoCellAnchor>
  <xdr:twoCellAnchor>
    <xdr:from>
      <xdr:col>16</xdr:col>
      <xdr:colOff>3406890</xdr:colOff>
      <xdr:row>17</xdr:row>
      <xdr:rowOff>12700</xdr:rowOff>
    </xdr:from>
    <xdr:to>
      <xdr:col>16</xdr:col>
      <xdr:colOff>4741537</xdr:colOff>
      <xdr:row>17</xdr:row>
      <xdr:rowOff>177800</xdr:rowOff>
    </xdr:to>
    <xdr:sp macro="" textlink="">
      <xdr:nvSpPr>
        <xdr:cNvPr id="174701" name="Скругленный прямоугольник 174700">
          <a:extLst>
            <a:ext uri="{FF2B5EF4-FFF2-40B4-BE49-F238E27FC236}">
              <a16:creationId xmlns:a16="http://schemas.microsoft.com/office/drawing/2014/main" id="{00000000-0008-0000-0800-00006DAA0200}"/>
            </a:ext>
          </a:extLst>
        </xdr:cNvPr>
        <xdr:cNvSpPr/>
      </xdr:nvSpPr>
      <xdr:spPr>
        <a:xfrm>
          <a:off x="14627340" y="3479800"/>
          <a:ext cx="13346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4766937</xdr:colOff>
      <xdr:row>17</xdr:row>
      <xdr:rowOff>12700</xdr:rowOff>
    </xdr:from>
    <xdr:to>
      <xdr:col>16</xdr:col>
      <xdr:colOff>5772696</xdr:colOff>
      <xdr:row>17</xdr:row>
      <xdr:rowOff>177800</xdr:rowOff>
    </xdr:to>
    <xdr:sp macro="" textlink="">
      <xdr:nvSpPr>
        <xdr:cNvPr id="174702" name="Скругленный прямоугольник 174701">
          <a:extLst>
            <a:ext uri="{FF2B5EF4-FFF2-40B4-BE49-F238E27FC236}">
              <a16:creationId xmlns:a16="http://schemas.microsoft.com/office/drawing/2014/main" id="{00000000-0008-0000-0800-00006EAA0200}"/>
            </a:ext>
          </a:extLst>
        </xdr:cNvPr>
        <xdr:cNvSpPr/>
      </xdr:nvSpPr>
      <xdr:spPr>
        <a:xfrm>
          <a:off x="15987387" y="3479800"/>
          <a:ext cx="100575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1066</a:t>
          </a:r>
        </a:p>
      </xdr:txBody>
    </xdr:sp>
    <xdr:clientData/>
  </xdr:twoCellAnchor>
  <xdr:twoCellAnchor>
    <xdr:from>
      <xdr:col>16</xdr:col>
      <xdr:colOff>0</xdr:colOff>
      <xdr:row>18</xdr:row>
      <xdr:rowOff>12700</xdr:rowOff>
    </xdr:from>
    <xdr:to>
      <xdr:col>16</xdr:col>
      <xdr:colOff>1992423</xdr:colOff>
      <xdr:row>18</xdr:row>
      <xdr:rowOff>177800</xdr:rowOff>
    </xdr:to>
    <xdr:sp macro="" textlink="">
      <xdr:nvSpPr>
        <xdr:cNvPr id="174703" name="Скругленный прямоугольник 174702">
          <a:extLst>
            <a:ext uri="{FF2B5EF4-FFF2-40B4-BE49-F238E27FC236}">
              <a16:creationId xmlns:a16="http://schemas.microsoft.com/office/drawing/2014/main" id="{00000000-0008-0000-0800-00006FAA0200}"/>
            </a:ext>
          </a:extLst>
        </xdr:cNvPr>
        <xdr:cNvSpPr/>
      </xdr:nvSpPr>
      <xdr:spPr>
        <a:xfrm>
          <a:off x="11220450" y="3670300"/>
          <a:ext cx="199242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A4" mc:Ignorable="a14" a14:legacySpreadsheetColorIndex="3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D8" mc:Ignorable="a14" a14:legacySpreadsheetColorIndex="3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53" mc:Ignorable="a14" a14:legacySpreadsheetColorIndex="3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2086</a:t>
          </a:r>
        </a:p>
      </xdr:txBody>
    </xdr:sp>
    <xdr:clientData/>
  </xdr:twoCellAnchor>
  <xdr:twoCellAnchor>
    <xdr:from>
      <xdr:col>16</xdr:col>
      <xdr:colOff>2017823</xdr:colOff>
      <xdr:row>18</xdr:row>
      <xdr:rowOff>12700</xdr:rowOff>
    </xdr:from>
    <xdr:to>
      <xdr:col>16</xdr:col>
      <xdr:colOff>3449202</xdr:colOff>
      <xdr:row>18</xdr:row>
      <xdr:rowOff>177800</xdr:rowOff>
    </xdr:to>
    <xdr:sp macro="" textlink="">
      <xdr:nvSpPr>
        <xdr:cNvPr id="174704" name="Скругленный прямоугольник 174703">
          <a:extLst>
            <a:ext uri="{FF2B5EF4-FFF2-40B4-BE49-F238E27FC236}">
              <a16:creationId xmlns:a16="http://schemas.microsoft.com/office/drawing/2014/main" id="{00000000-0008-0000-0800-000070AA0200}"/>
            </a:ext>
          </a:extLst>
        </xdr:cNvPr>
        <xdr:cNvSpPr/>
      </xdr:nvSpPr>
      <xdr:spPr>
        <a:xfrm>
          <a:off x="13238273" y="3670300"/>
          <a:ext cx="14313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3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3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3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1506</a:t>
          </a:r>
        </a:p>
      </xdr:txBody>
    </xdr:sp>
    <xdr:clientData/>
  </xdr:twoCellAnchor>
  <xdr:twoCellAnchor>
    <xdr:from>
      <xdr:col>16</xdr:col>
      <xdr:colOff>3474602</xdr:colOff>
      <xdr:row>18</xdr:row>
      <xdr:rowOff>12700</xdr:rowOff>
    </xdr:from>
    <xdr:to>
      <xdr:col>16</xdr:col>
      <xdr:colOff>4741537</xdr:colOff>
      <xdr:row>18</xdr:row>
      <xdr:rowOff>177800</xdr:rowOff>
    </xdr:to>
    <xdr:sp macro="" textlink="">
      <xdr:nvSpPr>
        <xdr:cNvPr id="174705" name="Скругленный прямоугольник 174704">
          <a:extLst>
            <a:ext uri="{FF2B5EF4-FFF2-40B4-BE49-F238E27FC236}">
              <a16:creationId xmlns:a16="http://schemas.microsoft.com/office/drawing/2014/main" id="{00000000-0008-0000-0800-000071AA0200}"/>
            </a:ext>
          </a:extLst>
        </xdr:cNvPr>
        <xdr:cNvSpPr/>
      </xdr:nvSpPr>
      <xdr:spPr>
        <a:xfrm>
          <a:off x="14695052" y="36703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4766937</xdr:colOff>
      <xdr:row>18</xdr:row>
      <xdr:rowOff>12700</xdr:rowOff>
    </xdr:from>
    <xdr:to>
      <xdr:col>16</xdr:col>
      <xdr:colOff>5772696</xdr:colOff>
      <xdr:row>18</xdr:row>
      <xdr:rowOff>177800</xdr:rowOff>
    </xdr:to>
    <xdr:sp macro="" textlink="">
      <xdr:nvSpPr>
        <xdr:cNvPr id="174706" name="Скругленный прямоугольник 174705">
          <a:extLst>
            <a:ext uri="{FF2B5EF4-FFF2-40B4-BE49-F238E27FC236}">
              <a16:creationId xmlns:a16="http://schemas.microsoft.com/office/drawing/2014/main" id="{00000000-0008-0000-0800-000072AA0200}"/>
            </a:ext>
          </a:extLst>
        </xdr:cNvPr>
        <xdr:cNvSpPr/>
      </xdr:nvSpPr>
      <xdr:spPr>
        <a:xfrm>
          <a:off x="15987387" y="3670300"/>
          <a:ext cx="100575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1066</a:t>
          </a:r>
        </a:p>
      </xdr:txBody>
    </xdr:sp>
    <xdr:clientData/>
  </xdr:twoCellAnchor>
  <xdr:twoCellAnchor>
    <xdr:from>
      <xdr:col>16</xdr:col>
      <xdr:colOff>0</xdr:colOff>
      <xdr:row>19</xdr:row>
      <xdr:rowOff>12700</xdr:rowOff>
    </xdr:from>
    <xdr:to>
      <xdr:col>16</xdr:col>
      <xdr:colOff>2011769</xdr:colOff>
      <xdr:row>19</xdr:row>
      <xdr:rowOff>177800</xdr:rowOff>
    </xdr:to>
    <xdr:sp macro="" textlink="">
      <xdr:nvSpPr>
        <xdr:cNvPr id="174707" name="Скругленный прямоугольник 174706">
          <a:extLst>
            <a:ext uri="{FF2B5EF4-FFF2-40B4-BE49-F238E27FC236}">
              <a16:creationId xmlns:a16="http://schemas.microsoft.com/office/drawing/2014/main" id="{00000000-0008-0000-0800-000073AA0200}"/>
            </a:ext>
          </a:extLst>
        </xdr:cNvPr>
        <xdr:cNvSpPr/>
      </xdr:nvSpPr>
      <xdr:spPr>
        <a:xfrm>
          <a:off x="11220450" y="3860800"/>
          <a:ext cx="201176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3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3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3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2106</a:t>
          </a:r>
        </a:p>
      </xdr:txBody>
    </xdr:sp>
    <xdr:clientData/>
  </xdr:twoCellAnchor>
  <xdr:twoCellAnchor>
    <xdr:from>
      <xdr:col>16</xdr:col>
      <xdr:colOff>2037169</xdr:colOff>
      <xdr:row>19</xdr:row>
      <xdr:rowOff>12700</xdr:rowOff>
    </xdr:from>
    <xdr:to>
      <xdr:col>16</xdr:col>
      <xdr:colOff>3381490</xdr:colOff>
      <xdr:row>19</xdr:row>
      <xdr:rowOff>177800</xdr:rowOff>
    </xdr:to>
    <xdr:sp macro="" textlink="">
      <xdr:nvSpPr>
        <xdr:cNvPr id="174708" name="Скругленный прямоугольник 174707">
          <a:extLst>
            <a:ext uri="{FF2B5EF4-FFF2-40B4-BE49-F238E27FC236}">
              <a16:creationId xmlns:a16="http://schemas.microsoft.com/office/drawing/2014/main" id="{00000000-0008-0000-0800-000074AA0200}"/>
            </a:ext>
          </a:extLst>
        </xdr:cNvPr>
        <xdr:cNvSpPr/>
      </xdr:nvSpPr>
      <xdr:spPr>
        <a:xfrm>
          <a:off x="13257619" y="3860800"/>
          <a:ext cx="134432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D7FF" mc:Ignorable="a14" a14:legacySpreadsheetColorIndex="3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ECFF" mc:Ignorable="a14" a14:legacySpreadsheetColorIndex="3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87AA" mc:Ignorable="a14" a14:legacySpreadsheetColorIndex="3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1416</a:t>
          </a:r>
        </a:p>
      </xdr:txBody>
    </xdr:sp>
    <xdr:clientData/>
  </xdr:twoCellAnchor>
  <xdr:twoCellAnchor>
    <xdr:from>
      <xdr:col>16</xdr:col>
      <xdr:colOff>3406890</xdr:colOff>
      <xdr:row>19</xdr:row>
      <xdr:rowOff>12700</xdr:rowOff>
    </xdr:from>
    <xdr:to>
      <xdr:col>16</xdr:col>
      <xdr:colOff>4741537</xdr:colOff>
      <xdr:row>19</xdr:row>
      <xdr:rowOff>177800</xdr:rowOff>
    </xdr:to>
    <xdr:sp macro="" textlink="">
      <xdr:nvSpPr>
        <xdr:cNvPr id="174709" name="Скругленный прямоугольник 174708">
          <a:extLst>
            <a:ext uri="{FF2B5EF4-FFF2-40B4-BE49-F238E27FC236}">
              <a16:creationId xmlns:a16="http://schemas.microsoft.com/office/drawing/2014/main" id="{00000000-0008-0000-0800-000075AA0200}"/>
            </a:ext>
          </a:extLst>
        </xdr:cNvPr>
        <xdr:cNvSpPr/>
      </xdr:nvSpPr>
      <xdr:spPr>
        <a:xfrm>
          <a:off x="14627340" y="3860800"/>
          <a:ext cx="13346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4766937</xdr:colOff>
      <xdr:row>19</xdr:row>
      <xdr:rowOff>12700</xdr:rowOff>
    </xdr:from>
    <xdr:to>
      <xdr:col>16</xdr:col>
      <xdr:colOff>5772696</xdr:colOff>
      <xdr:row>19</xdr:row>
      <xdr:rowOff>177800</xdr:rowOff>
    </xdr:to>
    <xdr:sp macro="" textlink="">
      <xdr:nvSpPr>
        <xdr:cNvPr id="174710" name="Скругленный прямоугольник 174709">
          <a:extLst>
            <a:ext uri="{FF2B5EF4-FFF2-40B4-BE49-F238E27FC236}">
              <a16:creationId xmlns:a16="http://schemas.microsoft.com/office/drawing/2014/main" id="{00000000-0008-0000-0800-000076AA0200}"/>
            </a:ext>
          </a:extLst>
        </xdr:cNvPr>
        <xdr:cNvSpPr/>
      </xdr:nvSpPr>
      <xdr:spPr>
        <a:xfrm>
          <a:off x="15987387" y="3860800"/>
          <a:ext cx="100575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1066</a:t>
          </a:r>
        </a:p>
      </xdr:txBody>
    </xdr:sp>
    <xdr:clientData/>
  </xdr:twoCellAnchor>
  <xdr:twoCellAnchor>
    <xdr:from>
      <xdr:col>16</xdr:col>
      <xdr:colOff>0</xdr:colOff>
      <xdr:row>20</xdr:row>
      <xdr:rowOff>12700</xdr:rowOff>
    </xdr:from>
    <xdr:to>
      <xdr:col>16</xdr:col>
      <xdr:colOff>2011769</xdr:colOff>
      <xdr:row>20</xdr:row>
      <xdr:rowOff>177800</xdr:rowOff>
    </xdr:to>
    <xdr:sp macro="" textlink="">
      <xdr:nvSpPr>
        <xdr:cNvPr id="174711" name="Скругленный прямоугольник 174710">
          <a:extLst>
            <a:ext uri="{FF2B5EF4-FFF2-40B4-BE49-F238E27FC236}">
              <a16:creationId xmlns:a16="http://schemas.microsoft.com/office/drawing/2014/main" id="{00000000-0008-0000-0800-000077AA0200}"/>
            </a:ext>
          </a:extLst>
        </xdr:cNvPr>
        <xdr:cNvSpPr/>
      </xdr:nvSpPr>
      <xdr:spPr>
        <a:xfrm>
          <a:off x="11220450" y="4051300"/>
          <a:ext cx="201176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3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3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3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2106</a:t>
          </a:r>
        </a:p>
      </xdr:txBody>
    </xdr:sp>
    <xdr:clientData/>
  </xdr:twoCellAnchor>
  <xdr:twoCellAnchor>
    <xdr:from>
      <xdr:col>16</xdr:col>
      <xdr:colOff>2037169</xdr:colOff>
      <xdr:row>20</xdr:row>
      <xdr:rowOff>12700</xdr:rowOff>
    </xdr:from>
    <xdr:to>
      <xdr:col>16</xdr:col>
      <xdr:colOff>3855475</xdr:colOff>
      <xdr:row>20</xdr:row>
      <xdr:rowOff>177800</xdr:rowOff>
    </xdr:to>
    <xdr:sp macro="" textlink="">
      <xdr:nvSpPr>
        <xdr:cNvPr id="174712" name="Скругленный прямоугольник 174711">
          <a:extLst>
            <a:ext uri="{FF2B5EF4-FFF2-40B4-BE49-F238E27FC236}">
              <a16:creationId xmlns:a16="http://schemas.microsoft.com/office/drawing/2014/main" id="{00000000-0008-0000-0800-000078AA0200}"/>
            </a:ext>
          </a:extLst>
        </xdr:cNvPr>
        <xdr:cNvSpPr/>
      </xdr:nvSpPr>
      <xdr:spPr>
        <a:xfrm>
          <a:off x="13257619" y="4051300"/>
          <a:ext cx="181830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A4" mc:Ignorable="a14" a14:legacySpreadsheetColorIndex="3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D8" mc:Ignorable="a14" a14:legacySpreadsheetColorIndex="3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53" mc:Ignorable="a14" a14:legacySpreadsheetColorIndex="3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1906</a:t>
          </a:r>
        </a:p>
      </xdr:txBody>
    </xdr:sp>
    <xdr:clientData/>
  </xdr:twoCellAnchor>
  <xdr:twoCellAnchor>
    <xdr:from>
      <xdr:col>16</xdr:col>
      <xdr:colOff>3880875</xdr:colOff>
      <xdr:row>20</xdr:row>
      <xdr:rowOff>12700</xdr:rowOff>
    </xdr:from>
    <xdr:to>
      <xdr:col>16</xdr:col>
      <xdr:colOff>5138136</xdr:colOff>
      <xdr:row>20</xdr:row>
      <xdr:rowOff>177800</xdr:rowOff>
    </xdr:to>
    <xdr:sp macro="" textlink="">
      <xdr:nvSpPr>
        <xdr:cNvPr id="174713" name="Скругленный прямоугольник 174712">
          <a:extLst>
            <a:ext uri="{FF2B5EF4-FFF2-40B4-BE49-F238E27FC236}">
              <a16:creationId xmlns:a16="http://schemas.microsoft.com/office/drawing/2014/main" id="{00000000-0008-0000-0800-000079AA0200}"/>
            </a:ext>
          </a:extLst>
        </xdr:cNvPr>
        <xdr:cNvSpPr/>
      </xdr:nvSpPr>
      <xdr:spPr>
        <a:xfrm>
          <a:off x="15101325" y="4051300"/>
          <a:ext cx="12572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5163536</xdr:colOff>
      <xdr:row>20</xdr:row>
      <xdr:rowOff>12700</xdr:rowOff>
    </xdr:from>
    <xdr:to>
      <xdr:col>16</xdr:col>
      <xdr:colOff>5772696</xdr:colOff>
      <xdr:row>20</xdr:row>
      <xdr:rowOff>177800</xdr:rowOff>
    </xdr:to>
    <xdr:sp macro="" textlink="">
      <xdr:nvSpPr>
        <xdr:cNvPr id="174714" name="Скругленный прямоугольник 174713">
          <a:extLst>
            <a:ext uri="{FF2B5EF4-FFF2-40B4-BE49-F238E27FC236}">
              <a16:creationId xmlns:a16="http://schemas.microsoft.com/office/drawing/2014/main" id="{00000000-0008-0000-0800-00007AAA0200}"/>
            </a:ext>
          </a:extLst>
        </xdr:cNvPr>
        <xdr:cNvSpPr/>
      </xdr:nvSpPr>
      <xdr:spPr>
        <a:xfrm>
          <a:off x="16383986" y="4051300"/>
          <a:ext cx="60916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656</a:t>
          </a:r>
        </a:p>
      </xdr:txBody>
    </xdr:sp>
    <xdr:clientData/>
  </xdr:twoCellAnchor>
  <xdr:twoCellAnchor>
    <xdr:from>
      <xdr:col>16</xdr:col>
      <xdr:colOff>0</xdr:colOff>
      <xdr:row>21</xdr:row>
      <xdr:rowOff>12700</xdr:rowOff>
    </xdr:from>
    <xdr:to>
      <xdr:col>16</xdr:col>
      <xdr:colOff>2031115</xdr:colOff>
      <xdr:row>21</xdr:row>
      <xdr:rowOff>177800</xdr:rowOff>
    </xdr:to>
    <xdr:sp macro="" textlink="">
      <xdr:nvSpPr>
        <xdr:cNvPr id="174715" name="Скругленный прямоугольник 174714">
          <a:extLst>
            <a:ext uri="{FF2B5EF4-FFF2-40B4-BE49-F238E27FC236}">
              <a16:creationId xmlns:a16="http://schemas.microsoft.com/office/drawing/2014/main" id="{00000000-0008-0000-0800-00007BAA0200}"/>
            </a:ext>
          </a:extLst>
        </xdr:cNvPr>
        <xdr:cNvSpPr/>
      </xdr:nvSpPr>
      <xdr:spPr>
        <a:xfrm>
          <a:off x="11220450" y="4241800"/>
          <a:ext cx="20311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D7FF" mc:Ignorable="a14" a14:legacySpreadsheetColorIndex="4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ECFF" mc:Ignorable="a14" a14:legacySpreadsheetColorIndex="4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87AA" mc:Ignorable="a14" a14:legacySpreadsheetColorIndex="4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2126</a:t>
          </a:r>
        </a:p>
      </xdr:txBody>
    </xdr:sp>
    <xdr:clientData/>
  </xdr:twoCellAnchor>
  <xdr:twoCellAnchor>
    <xdr:from>
      <xdr:col>16</xdr:col>
      <xdr:colOff>2056515</xdr:colOff>
      <xdr:row>21</xdr:row>
      <xdr:rowOff>12700</xdr:rowOff>
    </xdr:from>
    <xdr:to>
      <xdr:col>16</xdr:col>
      <xdr:colOff>3381488</xdr:colOff>
      <xdr:row>21</xdr:row>
      <xdr:rowOff>177800</xdr:rowOff>
    </xdr:to>
    <xdr:sp macro="" textlink="">
      <xdr:nvSpPr>
        <xdr:cNvPr id="174716" name="Скругленный прямоугольник 174715">
          <a:extLst>
            <a:ext uri="{FF2B5EF4-FFF2-40B4-BE49-F238E27FC236}">
              <a16:creationId xmlns:a16="http://schemas.microsoft.com/office/drawing/2014/main" id="{00000000-0008-0000-0800-00007CAA0200}"/>
            </a:ext>
          </a:extLst>
        </xdr:cNvPr>
        <xdr:cNvSpPr/>
      </xdr:nvSpPr>
      <xdr:spPr>
        <a:xfrm>
          <a:off x="13276965" y="4241800"/>
          <a:ext cx="132497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1396</a:t>
          </a:r>
        </a:p>
      </xdr:txBody>
    </xdr:sp>
    <xdr:clientData/>
  </xdr:twoCellAnchor>
  <xdr:twoCellAnchor>
    <xdr:from>
      <xdr:col>16</xdr:col>
      <xdr:colOff>3406890</xdr:colOff>
      <xdr:row>21</xdr:row>
      <xdr:rowOff>12700</xdr:rowOff>
    </xdr:from>
    <xdr:to>
      <xdr:col>16</xdr:col>
      <xdr:colOff>4644805</xdr:colOff>
      <xdr:row>21</xdr:row>
      <xdr:rowOff>177800</xdr:rowOff>
    </xdr:to>
    <xdr:sp macro="" textlink="">
      <xdr:nvSpPr>
        <xdr:cNvPr id="174717" name="Скругленный прямоугольник 174716">
          <a:extLst>
            <a:ext uri="{FF2B5EF4-FFF2-40B4-BE49-F238E27FC236}">
              <a16:creationId xmlns:a16="http://schemas.microsoft.com/office/drawing/2014/main" id="{00000000-0008-0000-0800-00007DAA0200}"/>
            </a:ext>
          </a:extLst>
        </xdr:cNvPr>
        <xdr:cNvSpPr/>
      </xdr:nvSpPr>
      <xdr:spPr>
        <a:xfrm>
          <a:off x="14627340" y="42418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4670205</xdr:colOff>
      <xdr:row>21</xdr:row>
      <xdr:rowOff>12700</xdr:rowOff>
    </xdr:from>
    <xdr:to>
      <xdr:col>16</xdr:col>
      <xdr:colOff>5772696</xdr:colOff>
      <xdr:row>21</xdr:row>
      <xdr:rowOff>177800</xdr:rowOff>
    </xdr:to>
    <xdr:sp macro="" textlink="">
      <xdr:nvSpPr>
        <xdr:cNvPr id="174718" name="Скругленный прямоугольник 174717">
          <a:extLst>
            <a:ext uri="{FF2B5EF4-FFF2-40B4-BE49-F238E27FC236}">
              <a16:creationId xmlns:a16="http://schemas.microsoft.com/office/drawing/2014/main" id="{00000000-0008-0000-0800-00007EAA0200}"/>
            </a:ext>
          </a:extLst>
        </xdr:cNvPr>
        <xdr:cNvSpPr/>
      </xdr:nvSpPr>
      <xdr:spPr>
        <a:xfrm>
          <a:off x="15890655" y="42418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7C" mc:Ignorable="a14" a14:legacySpreadsheetColorIndex="1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CB" mc:Ignorable="a14" a14:legacySpreadsheetColorIndex="1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00" mc:Ignorable="a14" a14:legacySpreadsheetColorIndex="1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0</xdr:colOff>
      <xdr:row>22</xdr:row>
      <xdr:rowOff>12700</xdr:rowOff>
    </xdr:from>
    <xdr:to>
      <xdr:col>16</xdr:col>
      <xdr:colOff>2031115</xdr:colOff>
      <xdr:row>22</xdr:row>
      <xdr:rowOff>177800</xdr:rowOff>
    </xdr:to>
    <xdr:sp macro="" textlink="">
      <xdr:nvSpPr>
        <xdr:cNvPr id="174719" name="Скругленный прямоугольник 174718">
          <a:extLst>
            <a:ext uri="{FF2B5EF4-FFF2-40B4-BE49-F238E27FC236}">
              <a16:creationId xmlns:a16="http://schemas.microsoft.com/office/drawing/2014/main" id="{00000000-0008-0000-0800-00007FAA0200}"/>
            </a:ext>
          </a:extLst>
        </xdr:cNvPr>
        <xdr:cNvSpPr/>
      </xdr:nvSpPr>
      <xdr:spPr>
        <a:xfrm>
          <a:off x="11220450" y="4432300"/>
          <a:ext cx="20311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D7FF" mc:Ignorable="a14" a14:legacySpreadsheetColorIndex="4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ECFF" mc:Ignorable="a14" a14:legacySpreadsheetColorIndex="4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87AA" mc:Ignorable="a14" a14:legacySpreadsheetColorIndex="4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2126</a:t>
          </a:r>
        </a:p>
      </xdr:txBody>
    </xdr:sp>
    <xdr:clientData/>
  </xdr:twoCellAnchor>
  <xdr:twoCellAnchor>
    <xdr:from>
      <xdr:col>16</xdr:col>
      <xdr:colOff>2056515</xdr:colOff>
      <xdr:row>22</xdr:row>
      <xdr:rowOff>12700</xdr:rowOff>
    </xdr:from>
    <xdr:to>
      <xdr:col>16</xdr:col>
      <xdr:colOff>3391162</xdr:colOff>
      <xdr:row>22</xdr:row>
      <xdr:rowOff>177800</xdr:rowOff>
    </xdr:to>
    <xdr:sp macro="" textlink="">
      <xdr:nvSpPr>
        <xdr:cNvPr id="174720" name="Скругленный прямоугольник 174719">
          <a:extLst>
            <a:ext uri="{FF2B5EF4-FFF2-40B4-BE49-F238E27FC236}">
              <a16:creationId xmlns:a16="http://schemas.microsoft.com/office/drawing/2014/main" id="{00000000-0008-0000-0800-000080AA0200}"/>
            </a:ext>
          </a:extLst>
        </xdr:cNvPr>
        <xdr:cNvSpPr/>
      </xdr:nvSpPr>
      <xdr:spPr>
        <a:xfrm>
          <a:off x="13276965" y="4432300"/>
          <a:ext cx="13346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3416562</xdr:colOff>
      <xdr:row>22</xdr:row>
      <xdr:rowOff>12700</xdr:rowOff>
    </xdr:from>
    <xdr:to>
      <xdr:col>16</xdr:col>
      <xdr:colOff>4683497</xdr:colOff>
      <xdr:row>22</xdr:row>
      <xdr:rowOff>177800</xdr:rowOff>
    </xdr:to>
    <xdr:sp macro="" textlink="">
      <xdr:nvSpPr>
        <xdr:cNvPr id="174721" name="Скругленный прямоугольник 174720">
          <a:extLst>
            <a:ext uri="{FF2B5EF4-FFF2-40B4-BE49-F238E27FC236}">
              <a16:creationId xmlns:a16="http://schemas.microsoft.com/office/drawing/2014/main" id="{00000000-0008-0000-0800-000081AA0200}"/>
            </a:ext>
          </a:extLst>
        </xdr:cNvPr>
        <xdr:cNvSpPr/>
      </xdr:nvSpPr>
      <xdr:spPr>
        <a:xfrm>
          <a:off x="14637012" y="44323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4708897</xdr:colOff>
      <xdr:row>22</xdr:row>
      <xdr:rowOff>12700</xdr:rowOff>
    </xdr:from>
    <xdr:to>
      <xdr:col>16</xdr:col>
      <xdr:colOff>5772696</xdr:colOff>
      <xdr:row>22</xdr:row>
      <xdr:rowOff>177800</xdr:rowOff>
    </xdr:to>
    <xdr:sp macro="" textlink="">
      <xdr:nvSpPr>
        <xdr:cNvPr id="174722" name="Скругленный прямоугольник 174721">
          <a:extLst>
            <a:ext uri="{FF2B5EF4-FFF2-40B4-BE49-F238E27FC236}">
              <a16:creationId xmlns:a16="http://schemas.microsoft.com/office/drawing/2014/main" id="{00000000-0008-0000-0800-000082AA0200}"/>
            </a:ext>
          </a:extLst>
        </xdr:cNvPr>
        <xdr:cNvSpPr/>
      </xdr:nvSpPr>
      <xdr:spPr>
        <a:xfrm>
          <a:off x="15929347" y="4432300"/>
          <a:ext cx="106379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1126</a:t>
          </a:r>
        </a:p>
      </xdr:txBody>
    </xdr:sp>
    <xdr:clientData/>
  </xdr:twoCellAnchor>
  <xdr:twoCellAnchor>
    <xdr:from>
      <xdr:col>16</xdr:col>
      <xdr:colOff>0</xdr:colOff>
      <xdr:row>23</xdr:row>
      <xdr:rowOff>12700</xdr:rowOff>
    </xdr:from>
    <xdr:to>
      <xdr:col>16</xdr:col>
      <xdr:colOff>2040789</xdr:colOff>
      <xdr:row>23</xdr:row>
      <xdr:rowOff>177800</xdr:rowOff>
    </xdr:to>
    <xdr:sp macro="" textlink="">
      <xdr:nvSpPr>
        <xdr:cNvPr id="174723" name="Скругленный прямоугольник 174722">
          <a:extLst>
            <a:ext uri="{FF2B5EF4-FFF2-40B4-BE49-F238E27FC236}">
              <a16:creationId xmlns:a16="http://schemas.microsoft.com/office/drawing/2014/main" id="{00000000-0008-0000-0800-000083AA0200}"/>
            </a:ext>
          </a:extLst>
        </xdr:cNvPr>
        <xdr:cNvSpPr/>
      </xdr:nvSpPr>
      <xdr:spPr>
        <a:xfrm>
          <a:off x="11220450" y="4622800"/>
          <a:ext cx="20407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FF" mc:Ignorable="a14" a14:legacySpreadsheetColorIndex="4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FF" mc:Ignorable="a14" a14:legacySpreadsheetColorIndex="4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AA" mc:Ignorable="a14" a14:legacySpreadsheetColorIndex="4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2136</a:t>
          </a:r>
        </a:p>
      </xdr:txBody>
    </xdr:sp>
    <xdr:clientData/>
  </xdr:twoCellAnchor>
  <xdr:twoCellAnchor>
    <xdr:from>
      <xdr:col>16</xdr:col>
      <xdr:colOff>2066189</xdr:colOff>
      <xdr:row>23</xdr:row>
      <xdr:rowOff>12700</xdr:rowOff>
    </xdr:from>
    <xdr:to>
      <xdr:col>16</xdr:col>
      <xdr:colOff>3391162</xdr:colOff>
      <xdr:row>23</xdr:row>
      <xdr:rowOff>177800</xdr:rowOff>
    </xdr:to>
    <xdr:sp macro="" textlink="">
      <xdr:nvSpPr>
        <xdr:cNvPr id="174724" name="Скругленный прямоугольник 174723">
          <a:extLst>
            <a:ext uri="{FF2B5EF4-FFF2-40B4-BE49-F238E27FC236}">
              <a16:creationId xmlns:a16="http://schemas.microsoft.com/office/drawing/2014/main" id="{00000000-0008-0000-0800-000084AA0200}"/>
            </a:ext>
          </a:extLst>
        </xdr:cNvPr>
        <xdr:cNvSpPr/>
      </xdr:nvSpPr>
      <xdr:spPr>
        <a:xfrm>
          <a:off x="13286639" y="4622800"/>
          <a:ext cx="132497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1396</a:t>
          </a:r>
        </a:p>
      </xdr:txBody>
    </xdr:sp>
    <xdr:clientData/>
  </xdr:twoCellAnchor>
  <xdr:twoCellAnchor>
    <xdr:from>
      <xdr:col>16</xdr:col>
      <xdr:colOff>3416562</xdr:colOff>
      <xdr:row>23</xdr:row>
      <xdr:rowOff>12700</xdr:rowOff>
    </xdr:from>
    <xdr:to>
      <xdr:col>16</xdr:col>
      <xdr:colOff>4683497</xdr:colOff>
      <xdr:row>23</xdr:row>
      <xdr:rowOff>177800</xdr:rowOff>
    </xdr:to>
    <xdr:sp macro="" textlink="">
      <xdr:nvSpPr>
        <xdr:cNvPr id="174725" name="Скругленный прямоугольник 174724">
          <a:extLst>
            <a:ext uri="{FF2B5EF4-FFF2-40B4-BE49-F238E27FC236}">
              <a16:creationId xmlns:a16="http://schemas.microsoft.com/office/drawing/2014/main" id="{00000000-0008-0000-0800-000085AA0200}"/>
            </a:ext>
          </a:extLst>
        </xdr:cNvPr>
        <xdr:cNvSpPr/>
      </xdr:nvSpPr>
      <xdr:spPr>
        <a:xfrm>
          <a:off x="14637012" y="46228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4708897</xdr:colOff>
      <xdr:row>23</xdr:row>
      <xdr:rowOff>12700</xdr:rowOff>
    </xdr:from>
    <xdr:to>
      <xdr:col>16</xdr:col>
      <xdr:colOff>5772696</xdr:colOff>
      <xdr:row>23</xdr:row>
      <xdr:rowOff>177800</xdr:rowOff>
    </xdr:to>
    <xdr:sp macro="" textlink="">
      <xdr:nvSpPr>
        <xdr:cNvPr id="174726" name="Скругленный прямоугольник 174725">
          <a:extLst>
            <a:ext uri="{FF2B5EF4-FFF2-40B4-BE49-F238E27FC236}">
              <a16:creationId xmlns:a16="http://schemas.microsoft.com/office/drawing/2014/main" id="{00000000-0008-0000-0800-000086AA0200}"/>
            </a:ext>
          </a:extLst>
        </xdr:cNvPr>
        <xdr:cNvSpPr/>
      </xdr:nvSpPr>
      <xdr:spPr>
        <a:xfrm>
          <a:off x="15929347" y="4622800"/>
          <a:ext cx="106379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1126</a:t>
          </a:r>
        </a:p>
      </xdr:txBody>
    </xdr:sp>
    <xdr:clientData/>
  </xdr:twoCellAnchor>
  <xdr:twoCellAnchor>
    <xdr:from>
      <xdr:col>16</xdr:col>
      <xdr:colOff>0</xdr:colOff>
      <xdr:row>24</xdr:row>
      <xdr:rowOff>12700</xdr:rowOff>
    </xdr:from>
    <xdr:to>
      <xdr:col>16</xdr:col>
      <xdr:colOff>2079481</xdr:colOff>
      <xdr:row>24</xdr:row>
      <xdr:rowOff>177800</xdr:rowOff>
    </xdr:to>
    <xdr:sp macro="" textlink="">
      <xdr:nvSpPr>
        <xdr:cNvPr id="174727" name="Скругленный прямоугольник 174726">
          <a:extLst>
            <a:ext uri="{FF2B5EF4-FFF2-40B4-BE49-F238E27FC236}">
              <a16:creationId xmlns:a16="http://schemas.microsoft.com/office/drawing/2014/main" id="{00000000-0008-0000-0800-000087AA0200}"/>
            </a:ext>
          </a:extLst>
        </xdr:cNvPr>
        <xdr:cNvSpPr/>
      </xdr:nvSpPr>
      <xdr:spPr>
        <a:xfrm>
          <a:off x="11220450" y="4813300"/>
          <a:ext cx="207948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D7" mc:Ignorable="a14" a14:legacySpreadsheetColorIndex="4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EC" mc:Ignorable="a14" a14:legacySpreadsheetColorIndex="4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87" mc:Ignorable="a14" a14:legacySpreadsheetColorIndex="4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2176</a:t>
          </a:r>
        </a:p>
      </xdr:txBody>
    </xdr:sp>
    <xdr:clientData/>
  </xdr:twoCellAnchor>
  <xdr:twoCellAnchor>
    <xdr:from>
      <xdr:col>16</xdr:col>
      <xdr:colOff>2104881</xdr:colOff>
      <xdr:row>24</xdr:row>
      <xdr:rowOff>12700</xdr:rowOff>
    </xdr:from>
    <xdr:to>
      <xdr:col>16</xdr:col>
      <xdr:colOff>3429854</xdr:colOff>
      <xdr:row>24</xdr:row>
      <xdr:rowOff>177800</xdr:rowOff>
    </xdr:to>
    <xdr:sp macro="" textlink="">
      <xdr:nvSpPr>
        <xdr:cNvPr id="174728" name="Скругленный прямоугольник 174727">
          <a:extLst>
            <a:ext uri="{FF2B5EF4-FFF2-40B4-BE49-F238E27FC236}">
              <a16:creationId xmlns:a16="http://schemas.microsoft.com/office/drawing/2014/main" id="{00000000-0008-0000-0800-000088AA0200}"/>
            </a:ext>
          </a:extLst>
        </xdr:cNvPr>
        <xdr:cNvSpPr/>
      </xdr:nvSpPr>
      <xdr:spPr>
        <a:xfrm>
          <a:off x="13325331" y="4813300"/>
          <a:ext cx="132497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1396</a:t>
          </a:r>
        </a:p>
      </xdr:txBody>
    </xdr:sp>
    <xdr:clientData/>
  </xdr:twoCellAnchor>
  <xdr:twoCellAnchor>
    <xdr:from>
      <xdr:col>16</xdr:col>
      <xdr:colOff>3455256</xdr:colOff>
      <xdr:row>24</xdr:row>
      <xdr:rowOff>12700</xdr:rowOff>
    </xdr:from>
    <xdr:to>
      <xdr:col>16</xdr:col>
      <xdr:colOff>4644805</xdr:colOff>
      <xdr:row>24</xdr:row>
      <xdr:rowOff>177800</xdr:rowOff>
    </xdr:to>
    <xdr:sp macro="" textlink="">
      <xdr:nvSpPr>
        <xdr:cNvPr id="174729" name="Скругленный прямоугольник 174728">
          <a:extLst>
            <a:ext uri="{FF2B5EF4-FFF2-40B4-BE49-F238E27FC236}">
              <a16:creationId xmlns:a16="http://schemas.microsoft.com/office/drawing/2014/main" id="{00000000-0008-0000-0800-000089AA0200}"/>
            </a:ext>
          </a:extLst>
        </xdr:cNvPr>
        <xdr:cNvSpPr/>
      </xdr:nvSpPr>
      <xdr:spPr>
        <a:xfrm>
          <a:off x="14675706" y="4813300"/>
          <a:ext cx="118954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A4" mc:Ignorable="a14" a14:legacySpreadsheetColorIndex="2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D8" mc:Ignorable="a14" a14:legacySpreadsheetColorIndex="2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53" mc:Ignorable="a14" a14:legacySpreadsheetColorIndex="2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1256</a:t>
          </a:r>
        </a:p>
      </xdr:txBody>
    </xdr:sp>
    <xdr:clientData/>
  </xdr:twoCellAnchor>
  <xdr:twoCellAnchor>
    <xdr:from>
      <xdr:col>16</xdr:col>
      <xdr:colOff>4670205</xdr:colOff>
      <xdr:row>24</xdr:row>
      <xdr:rowOff>12700</xdr:rowOff>
    </xdr:from>
    <xdr:to>
      <xdr:col>16</xdr:col>
      <xdr:colOff>5772696</xdr:colOff>
      <xdr:row>24</xdr:row>
      <xdr:rowOff>177800</xdr:rowOff>
    </xdr:to>
    <xdr:sp macro="" textlink="">
      <xdr:nvSpPr>
        <xdr:cNvPr id="174730" name="Скругленный прямоугольник 174729">
          <a:extLst>
            <a:ext uri="{FF2B5EF4-FFF2-40B4-BE49-F238E27FC236}">
              <a16:creationId xmlns:a16="http://schemas.microsoft.com/office/drawing/2014/main" id="{00000000-0008-0000-0800-00008AAA0200}"/>
            </a:ext>
          </a:extLst>
        </xdr:cNvPr>
        <xdr:cNvSpPr/>
      </xdr:nvSpPr>
      <xdr:spPr>
        <a:xfrm>
          <a:off x="15890655" y="4813300"/>
          <a:ext cx="110249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7C" mc:Ignorable="a14" a14:legacySpreadsheetColorIndex="1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CB" mc:Ignorable="a14" a14:legacySpreadsheetColorIndex="1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00" mc:Ignorable="a14" a14:legacySpreadsheetColorIndex="1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1166</a:t>
          </a:r>
        </a:p>
      </xdr:txBody>
    </xdr:sp>
    <xdr:clientData/>
  </xdr:twoCellAnchor>
  <xdr:twoCellAnchor>
    <xdr:from>
      <xdr:col>16</xdr:col>
      <xdr:colOff>0</xdr:colOff>
      <xdr:row>25</xdr:row>
      <xdr:rowOff>12700</xdr:rowOff>
    </xdr:from>
    <xdr:to>
      <xdr:col>16</xdr:col>
      <xdr:colOff>2185885</xdr:colOff>
      <xdr:row>25</xdr:row>
      <xdr:rowOff>177800</xdr:rowOff>
    </xdr:to>
    <xdr:sp macro="" textlink="">
      <xdr:nvSpPr>
        <xdr:cNvPr id="174731" name="Скругленный прямоугольник 174730">
          <a:extLst>
            <a:ext uri="{FF2B5EF4-FFF2-40B4-BE49-F238E27FC236}">
              <a16:creationId xmlns:a16="http://schemas.microsoft.com/office/drawing/2014/main" id="{00000000-0008-0000-0800-00008BAA0200}"/>
            </a:ext>
          </a:extLst>
        </xdr:cNvPr>
        <xdr:cNvSpPr/>
      </xdr:nvSpPr>
      <xdr:spPr>
        <a:xfrm>
          <a:off x="11220450" y="5003800"/>
          <a:ext cx="218588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B4" mc:Ignorable="a14" a14:legacySpreadsheetColorIndex="4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DE" mc:Ignorable="a14" a14:legacySpreadsheetColorIndex="4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64" mc:Ignorable="a14" a14:legacySpreadsheetColorIndex="4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2286</a:t>
          </a:r>
        </a:p>
      </xdr:txBody>
    </xdr:sp>
    <xdr:clientData/>
  </xdr:twoCellAnchor>
  <xdr:twoCellAnchor>
    <xdr:from>
      <xdr:col>16</xdr:col>
      <xdr:colOff>2211285</xdr:colOff>
      <xdr:row>25</xdr:row>
      <xdr:rowOff>12700</xdr:rowOff>
    </xdr:from>
    <xdr:to>
      <xdr:col>16</xdr:col>
      <xdr:colOff>3642664</xdr:colOff>
      <xdr:row>25</xdr:row>
      <xdr:rowOff>177800</xdr:rowOff>
    </xdr:to>
    <xdr:sp macro="" textlink="">
      <xdr:nvSpPr>
        <xdr:cNvPr id="174732" name="Скругленный прямоугольник 174731">
          <a:extLst>
            <a:ext uri="{FF2B5EF4-FFF2-40B4-BE49-F238E27FC236}">
              <a16:creationId xmlns:a16="http://schemas.microsoft.com/office/drawing/2014/main" id="{00000000-0008-0000-0800-00008CAA0200}"/>
            </a:ext>
          </a:extLst>
        </xdr:cNvPr>
        <xdr:cNvSpPr/>
      </xdr:nvSpPr>
      <xdr:spPr>
        <a:xfrm>
          <a:off x="13431735" y="5003800"/>
          <a:ext cx="14313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3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3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3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1506</a:t>
          </a:r>
        </a:p>
      </xdr:txBody>
    </xdr:sp>
    <xdr:clientData/>
  </xdr:twoCellAnchor>
  <xdr:twoCellAnchor>
    <xdr:from>
      <xdr:col>16</xdr:col>
      <xdr:colOff>3668064</xdr:colOff>
      <xdr:row>25</xdr:row>
      <xdr:rowOff>12700</xdr:rowOff>
    </xdr:from>
    <xdr:to>
      <xdr:col>16</xdr:col>
      <xdr:colOff>5099444</xdr:colOff>
      <xdr:row>25</xdr:row>
      <xdr:rowOff>177800</xdr:rowOff>
    </xdr:to>
    <xdr:sp macro="" textlink="">
      <xdr:nvSpPr>
        <xdr:cNvPr id="174733" name="Скругленный прямоугольник 174732">
          <a:extLst>
            <a:ext uri="{FF2B5EF4-FFF2-40B4-BE49-F238E27FC236}">
              <a16:creationId xmlns:a16="http://schemas.microsoft.com/office/drawing/2014/main" id="{00000000-0008-0000-0800-00008DAA0200}"/>
            </a:ext>
          </a:extLst>
        </xdr:cNvPr>
        <xdr:cNvSpPr/>
      </xdr:nvSpPr>
      <xdr:spPr>
        <a:xfrm>
          <a:off x="14888514" y="5003800"/>
          <a:ext cx="143138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3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3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3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1506</a:t>
          </a:r>
        </a:p>
      </xdr:txBody>
    </xdr:sp>
    <xdr:clientData/>
  </xdr:twoCellAnchor>
  <xdr:twoCellAnchor>
    <xdr:from>
      <xdr:col>16</xdr:col>
      <xdr:colOff>5124844</xdr:colOff>
      <xdr:row>25</xdr:row>
      <xdr:rowOff>12700</xdr:rowOff>
    </xdr:from>
    <xdr:to>
      <xdr:col>16</xdr:col>
      <xdr:colOff>5772696</xdr:colOff>
      <xdr:row>25</xdr:row>
      <xdr:rowOff>177800</xdr:rowOff>
    </xdr:to>
    <xdr:sp macro="" textlink="">
      <xdr:nvSpPr>
        <xdr:cNvPr id="174734" name="Скругленный прямоугольник 174733">
          <a:extLst>
            <a:ext uri="{FF2B5EF4-FFF2-40B4-BE49-F238E27FC236}">
              <a16:creationId xmlns:a16="http://schemas.microsoft.com/office/drawing/2014/main" id="{00000000-0008-0000-0800-00008EAA0200}"/>
            </a:ext>
          </a:extLst>
        </xdr:cNvPr>
        <xdr:cNvSpPr/>
      </xdr:nvSpPr>
      <xdr:spPr>
        <a:xfrm>
          <a:off x="16345294" y="5003800"/>
          <a:ext cx="64785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696</a:t>
          </a:r>
        </a:p>
      </xdr:txBody>
    </xdr:sp>
    <xdr:clientData/>
  </xdr:twoCellAnchor>
  <xdr:twoCellAnchor>
    <xdr:from>
      <xdr:col>16</xdr:col>
      <xdr:colOff>0</xdr:colOff>
      <xdr:row>26</xdr:row>
      <xdr:rowOff>12700</xdr:rowOff>
    </xdr:from>
    <xdr:to>
      <xdr:col>16</xdr:col>
      <xdr:colOff>1305628</xdr:colOff>
      <xdr:row>26</xdr:row>
      <xdr:rowOff>177800</xdr:rowOff>
    </xdr:to>
    <xdr:sp macro="" textlink="">
      <xdr:nvSpPr>
        <xdr:cNvPr id="174735" name="Скругленный прямоугольник 174734">
          <a:extLst>
            <a:ext uri="{FF2B5EF4-FFF2-40B4-BE49-F238E27FC236}">
              <a16:creationId xmlns:a16="http://schemas.microsoft.com/office/drawing/2014/main" id="{00000000-0008-0000-0800-00008FAA0200}"/>
            </a:ext>
          </a:extLst>
        </xdr:cNvPr>
        <xdr:cNvSpPr/>
      </xdr:nvSpPr>
      <xdr:spPr>
        <a:xfrm>
          <a:off x="11220450" y="5194300"/>
          <a:ext cx="130562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7C96" mc:Ignorable="a14" a14:legacySpreadsheetColorIndex="2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CBD3" mc:Ignorable="a14" a14:legacySpreadsheetColorIndex="2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0041" mc:Ignorable="a14" a14:legacySpreadsheetColorIndex="2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1376</a:t>
          </a:r>
        </a:p>
      </xdr:txBody>
    </xdr:sp>
    <xdr:clientData/>
  </xdr:twoCellAnchor>
  <xdr:twoCellAnchor>
    <xdr:from>
      <xdr:col>16</xdr:col>
      <xdr:colOff>1331028</xdr:colOff>
      <xdr:row>26</xdr:row>
      <xdr:rowOff>12700</xdr:rowOff>
    </xdr:from>
    <xdr:to>
      <xdr:col>16</xdr:col>
      <xdr:colOff>2597962</xdr:colOff>
      <xdr:row>26</xdr:row>
      <xdr:rowOff>177800</xdr:rowOff>
    </xdr:to>
    <xdr:sp macro="" textlink="">
      <xdr:nvSpPr>
        <xdr:cNvPr id="174736" name="Скругленный прямоугольник 174735">
          <a:extLst>
            <a:ext uri="{FF2B5EF4-FFF2-40B4-BE49-F238E27FC236}">
              <a16:creationId xmlns:a16="http://schemas.microsoft.com/office/drawing/2014/main" id="{00000000-0008-0000-0800-000090AA0200}"/>
            </a:ext>
          </a:extLst>
        </xdr:cNvPr>
        <xdr:cNvSpPr/>
      </xdr:nvSpPr>
      <xdr:spPr>
        <a:xfrm>
          <a:off x="12551478" y="5194300"/>
          <a:ext cx="126693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2623362</xdr:colOff>
      <xdr:row>26</xdr:row>
      <xdr:rowOff>12700</xdr:rowOff>
    </xdr:from>
    <xdr:to>
      <xdr:col>16</xdr:col>
      <xdr:colOff>3880624</xdr:colOff>
      <xdr:row>26</xdr:row>
      <xdr:rowOff>177800</xdr:rowOff>
    </xdr:to>
    <xdr:sp macro="" textlink="">
      <xdr:nvSpPr>
        <xdr:cNvPr id="174737" name="Скругленный прямоугольник 174736">
          <a:extLst>
            <a:ext uri="{FF2B5EF4-FFF2-40B4-BE49-F238E27FC236}">
              <a16:creationId xmlns:a16="http://schemas.microsoft.com/office/drawing/2014/main" id="{00000000-0008-0000-0800-000091AA0200}"/>
            </a:ext>
          </a:extLst>
        </xdr:cNvPr>
        <xdr:cNvSpPr/>
      </xdr:nvSpPr>
      <xdr:spPr>
        <a:xfrm>
          <a:off x="13843812" y="5194300"/>
          <a:ext cx="125726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3906025</xdr:colOff>
      <xdr:row>26</xdr:row>
      <xdr:rowOff>12700</xdr:rowOff>
    </xdr:from>
    <xdr:to>
      <xdr:col>16</xdr:col>
      <xdr:colOff>5114922</xdr:colOff>
      <xdr:row>26</xdr:row>
      <xdr:rowOff>177800</xdr:rowOff>
    </xdr:to>
    <xdr:sp macro="" textlink="">
      <xdr:nvSpPr>
        <xdr:cNvPr id="174738" name="Скругленный прямоугольник 174737">
          <a:extLst>
            <a:ext uri="{FF2B5EF4-FFF2-40B4-BE49-F238E27FC236}">
              <a16:creationId xmlns:a16="http://schemas.microsoft.com/office/drawing/2014/main" id="{00000000-0008-0000-0800-000092AA0200}"/>
            </a:ext>
          </a:extLst>
        </xdr:cNvPr>
        <xdr:cNvSpPr/>
      </xdr:nvSpPr>
      <xdr:spPr>
        <a:xfrm>
          <a:off x="15126475" y="5194300"/>
          <a:ext cx="120889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CFCFCF" mc:Ignorable="a14" a14:legacySpreadsheetColorIndex="2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8E8E8" mc:Ignorable="a14" a14:legacySpreadsheetColorIndex="2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7F7F7F" mc:Ignorable="a14" a14:legacySpreadsheetColorIndex="2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1276</a:t>
          </a:r>
        </a:p>
      </xdr:txBody>
    </xdr:sp>
    <xdr:clientData/>
  </xdr:twoCellAnchor>
  <xdr:twoCellAnchor>
    <xdr:from>
      <xdr:col>16</xdr:col>
      <xdr:colOff>5140320</xdr:colOff>
      <xdr:row>26</xdr:row>
      <xdr:rowOff>12700</xdr:rowOff>
    </xdr:from>
    <xdr:to>
      <xdr:col>16</xdr:col>
      <xdr:colOff>5768826</xdr:colOff>
      <xdr:row>26</xdr:row>
      <xdr:rowOff>177800</xdr:rowOff>
    </xdr:to>
    <xdr:sp macro="" textlink="">
      <xdr:nvSpPr>
        <xdr:cNvPr id="174739" name="Скругленный прямоугольник 174738">
          <a:extLst>
            <a:ext uri="{FF2B5EF4-FFF2-40B4-BE49-F238E27FC236}">
              <a16:creationId xmlns:a16="http://schemas.microsoft.com/office/drawing/2014/main" id="{00000000-0008-0000-0800-000093AA0200}"/>
            </a:ext>
          </a:extLst>
        </xdr:cNvPr>
        <xdr:cNvSpPr/>
      </xdr:nvSpPr>
      <xdr:spPr>
        <a:xfrm>
          <a:off x="16360770" y="5194300"/>
          <a:ext cx="62850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676</a:t>
          </a:r>
        </a:p>
      </xdr:txBody>
    </xdr:sp>
    <xdr:clientData/>
  </xdr:twoCellAnchor>
  <xdr:twoCellAnchor>
    <xdr:from>
      <xdr:col>16</xdr:col>
      <xdr:colOff>0</xdr:colOff>
      <xdr:row>27</xdr:row>
      <xdr:rowOff>12700</xdr:rowOff>
    </xdr:from>
    <xdr:to>
      <xdr:col>16</xdr:col>
      <xdr:colOff>2185885</xdr:colOff>
      <xdr:row>27</xdr:row>
      <xdr:rowOff>177800</xdr:rowOff>
    </xdr:to>
    <xdr:sp macro="" textlink="">
      <xdr:nvSpPr>
        <xdr:cNvPr id="174740" name="Скругленный прямоугольник 174739">
          <a:extLst>
            <a:ext uri="{FF2B5EF4-FFF2-40B4-BE49-F238E27FC236}">
              <a16:creationId xmlns:a16="http://schemas.microsoft.com/office/drawing/2014/main" id="{00000000-0008-0000-0800-000094AA0200}"/>
            </a:ext>
          </a:extLst>
        </xdr:cNvPr>
        <xdr:cNvSpPr/>
      </xdr:nvSpPr>
      <xdr:spPr>
        <a:xfrm>
          <a:off x="11220450" y="5384800"/>
          <a:ext cx="218588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B4" mc:Ignorable="a14" a14:legacySpreadsheetColorIndex="4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DE" mc:Ignorable="a14" a14:legacySpreadsheetColorIndex="4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64" mc:Ignorable="a14" a14:legacySpreadsheetColorIndex="4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2286</a:t>
          </a:r>
        </a:p>
      </xdr:txBody>
    </xdr:sp>
    <xdr:clientData/>
  </xdr:twoCellAnchor>
  <xdr:twoCellAnchor>
    <xdr:from>
      <xdr:col>16</xdr:col>
      <xdr:colOff>2211285</xdr:colOff>
      <xdr:row>27</xdr:row>
      <xdr:rowOff>12700</xdr:rowOff>
    </xdr:from>
    <xdr:to>
      <xdr:col>16</xdr:col>
      <xdr:colOff>4290766</xdr:colOff>
      <xdr:row>27</xdr:row>
      <xdr:rowOff>177800</xdr:rowOff>
    </xdr:to>
    <xdr:sp macro="" textlink="">
      <xdr:nvSpPr>
        <xdr:cNvPr id="174741" name="Скругленный прямоугольник 174740">
          <a:extLst>
            <a:ext uri="{FF2B5EF4-FFF2-40B4-BE49-F238E27FC236}">
              <a16:creationId xmlns:a16="http://schemas.microsoft.com/office/drawing/2014/main" id="{00000000-0008-0000-0800-000095AA0200}"/>
            </a:ext>
          </a:extLst>
        </xdr:cNvPr>
        <xdr:cNvSpPr/>
      </xdr:nvSpPr>
      <xdr:spPr>
        <a:xfrm>
          <a:off x="13431735" y="5384800"/>
          <a:ext cx="207948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D7" mc:Ignorable="a14" a14:legacySpreadsheetColorIndex="4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EC" mc:Ignorable="a14" a14:legacySpreadsheetColorIndex="4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87" mc:Ignorable="a14" a14:legacySpreadsheetColorIndex="4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2176</a:t>
          </a:r>
        </a:p>
      </xdr:txBody>
    </xdr:sp>
    <xdr:clientData/>
  </xdr:twoCellAnchor>
  <xdr:twoCellAnchor>
    <xdr:from>
      <xdr:col>16</xdr:col>
      <xdr:colOff>4316168</xdr:colOff>
      <xdr:row>27</xdr:row>
      <xdr:rowOff>12700</xdr:rowOff>
    </xdr:from>
    <xdr:to>
      <xdr:col>16</xdr:col>
      <xdr:colOff>5766893</xdr:colOff>
      <xdr:row>27</xdr:row>
      <xdr:rowOff>177800</xdr:rowOff>
    </xdr:to>
    <xdr:sp macro="" textlink="">
      <xdr:nvSpPr>
        <xdr:cNvPr id="174742" name="Скругленный прямоугольник 174741">
          <a:extLst>
            <a:ext uri="{FF2B5EF4-FFF2-40B4-BE49-F238E27FC236}">
              <a16:creationId xmlns:a16="http://schemas.microsoft.com/office/drawing/2014/main" id="{00000000-0008-0000-0800-000096AA0200}"/>
            </a:ext>
          </a:extLst>
        </xdr:cNvPr>
        <xdr:cNvSpPr/>
      </xdr:nvSpPr>
      <xdr:spPr>
        <a:xfrm>
          <a:off x="15536618" y="5384800"/>
          <a:ext cx="14507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3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3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3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0</xdr:colOff>
      <xdr:row>28</xdr:row>
      <xdr:rowOff>12700</xdr:rowOff>
    </xdr:from>
    <xdr:to>
      <xdr:col>16</xdr:col>
      <xdr:colOff>2243925</xdr:colOff>
      <xdr:row>28</xdr:row>
      <xdr:rowOff>177800</xdr:rowOff>
    </xdr:to>
    <xdr:sp macro="" textlink="">
      <xdr:nvSpPr>
        <xdr:cNvPr id="174743" name="Скругленный прямоугольник 174742">
          <a:extLst>
            <a:ext uri="{FF2B5EF4-FFF2-40B4-BE49-F238E27FC236}">
              <a16:creationId xmlns:a16="http://schemas.microsoft.com/office/drawing/2014/main" id="{00000000-0008-0000-0800-000097AA0200}"/>
            </a:ext>
          </a:extLst>
        </xdr:cNvPr>
        <xdr:cNvSpPr/>
      </xdr:nvSpPr>
      <xdr:spPr>
        <a:xfrm>
          <a:off x="11220450" y="5575300"/>
          <a:ext cx="22439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D7FF" mc:Ignorable="a14" a14:legacySpreadsheetColorIndex="4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ECFF" mc:Ignorable="a14" a14:legacySpreadsheetColorIndex="4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87AA" mc:Ignorable="a14" a14:legacySpreadsheetColorIndex="4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2346</a:t>
          </a:r>
        </a:p>
      </xdr:txBody>
    </xdr:sp>
    <xdr:clientData/>
  </xdr:twoCellAnchor>
  <xdr:twoCellAnchor>
    <xdr:from>
      <xdr:col>16</xdr:col>
      <xdr:colOff>2269325</xdr:colOff>
      <xdr:row>28</xdr:row>
      <xdr:rowOff>12700</xdr:rowOff>
    </xdr:from>
    <xdr:to>
      <xdr:col>16</xdr:col>
      <xdr:colOff>4310114</xdr:colOff>
      <xdr:row>28</xdr:row>
      <xdr:rowOff>177800</xdr:rowOff>
    </xdr:to>
    <xdr:sp macro="" textlink="">
      <xdr:nvSpPr>
        <xdr:cNvPr id="174744" name="Скругленный прямоугольник 174743">
          <a:extLst>
            <a:ext uri="{FF2B5EF4-FFF2-40B4-BE49-F238E27FC236}">
              <a16:creationId xmlns:a16="http://schemas.microsoft.com/office/drawing/2014/main" id="{00000000-0008-0000-0800-000098AA0200}"/>
            </a:ext>
          </a:extLst>
        </xdr:cNvPr>
        <xdr:cNvSpPr/>
      </xdr:nvSpPr>
      <xdr:spPr>
        <a:xfrm>
          <a:off x="13489775" y="5575300"/>
          <a:ext cx="20407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FF" mc:Ignorable="a14" a14:legacySpreadsheetColorIndex="4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FF" mc:Ignorable="a14" a14:legacySpreadsheetColorIndex="4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AA" mc:Ignorable="a14" a14:legacySpreadsheetColorIndex="4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2136</a:t>
          </a:r>
        </a:p>
      </xdr:txBody>
    </xdr:sp>
    <xdr:clientData/>
  </xdr:twoCellAnchor>
  <xdr:twoCellAnchor>
    <xdr:from>
      <xdr:col>16</xdr:col>
      <xdr:colOff>4335514</xdr:colOff>
      <xdr:row>28</xdr:row>
      <xdr:rowOff>12700</xdr:rowOff>
    </xdr:from>
    <xdr:to>
      <xdr:col>16</xdr:col>
      <xdr:colOff>5766893</xdr:colOff>
      <xdr:row>28</xdr:row>
      <xdr:rowOff>177800</xdr:rowOff>
    </xdr:to>
    <xdr:sp macro="" textlink="">
      <xdr:nvSpPr>
        <xdr:cNvPr id="174745" name="Скругленный прямоугольник 174744">
          <a:extLst>
            <a:ext uri="{FF2B5EF4-FFF2-40B4-BE49-F238E27FC236}">
              <a16:creationId xmlns:a16="http://schemas.microsoft.com/office/drawing/2014/main" id="{00000000-0008-0000-0800-000099AA0200}"/>
            </a:ext>
          </a:extLst>
        </xdr:cNvPr>
        <xdr:cNvSpPr/>
      </xdr:nvSpPr>
      <xdr:spPr>
        <a:xfrm>
          <a:off x="15555964" y="5575300"/>
          <a:ext cx="14313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3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3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3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1506</a:t>
          </a:r>
        </a:p>
      </xdr:txBody>
    </xdr:sp>
    <xdr:clientData/>
  </xdr:twoCellAnchor>
  <xdr:twoCellAnchor>
    <xdr:from>
      <xdr:col>16</xdr:col>
      <xdr:colOff>0</xdr:colOff>
      <xdr:row>29</xdr:row>
      <xdr:rowOff>12700</xdr:rowOff>
    </xdr:from>
    <xdr:to>
      <xdr:col>16</xdr:col>
      <xdr:colOff>1750593</xdr:colOff>
      <xdr:row>29</xdr:row>
      <xdr:rowOff>177800</xdr:rowOff>
    </xdr:to>
    <xdr:sp macro="" textlink="">
      <xdr:nvSpPr>
        <xdr:cNvPr id="174746" name="Скругленный прямоугольник 174745">
          <a:extLst>
            <a:ext uri="{FF2B5EF4-FFF2-40B4-BE49-F238E27FC236}">
              <a16:creationId xmlns:a16="http://schemas.microsoft.com/office/drawing/2014/main" id="{00000000-0008-0000-0800-00009AAA0200}"/>
            </a:ext>
          </a:extLst>
        </xdr:cNvPr>
        <xdr:cNvSpPr/>
      </xdr:nvSpPr>
      <xdr:spPr>
        <a:xfrm>
          <a:off x="11220450" y="5765800"/>
          <a:ext cx="175059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3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3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3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1836</a:t>
          </a:r>
        </a:p>
      </xdr:txBody>
    </xdr:sp>
    <xdr:clientData/>
  </xdr:twoCellAnchor>
  <xdr:twoCellAnchor>
    <xdr:from>
      <xdr:col>16</xdr:col>
      <xdr:colOff>1775993</xdr:colOff>
      <xdr:row>29</xdr:row>
      <xdr:rowOff>12700</xdr:rowOff>
    </xdr:from>
    <xdr:to>
      <xdr:col>16</xdr:col>
      <xdr:colOff>3110641</xdr:colOff>
      <xdr:row>29</xdr:row>
      <xdr:rowOff>177800</xdr:rowOff>
    </xdr:to>
    <xdr:sp macro="" textlink="">
      <xdr:nvSpPr>
        <xdr:cNvPr id="174747" name="Скругленный прямоугольник 174746">
          <a:extLst>
            <a:ext uri="{FF2B5EF4-FFF2-40B4-BE49-F238E27FC236}">
              <a16:creationId xmlns:a16="http://schemas.microsoft.com/office/drawing/2014/main" id="{00000000-0008-0000-0800-00009BAA0200}"/>
            </a:ext>
          </a:extLst>
        </xdr:cNvPr>
        <xdr:cNvSpPr/>
      </xdr:nvSpPr>
      <xdr:spPr>
        <a:xfrm>
          <a:off x="12996443" y="5765800"/>
          <a:ext cx="133464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96D7" mc:Ignorable="a14" a14:legacySpreadsheetColorIndex="3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3EC" mc:Ignorable="a14" a14:legacySpreadsheetColorIndex="3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4187" mc:Ignorable="a14" a14:legacySpreadsheetColorIndex="3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1406</a:t>
          </a:r>
        </a:p>
      </xdr:txBody>
    </xdr:sp>
    <xdr:clientData/>
  </xdr:twoCellAnchor>
  <xdr:twoCellAnchor>
    <xdr:from>
      <xdr:col>16</xdr:col>
      <xdr:colOff>3136041</xdr:colOff>
      <xdr:row>29</xdr:row>
      <xdr:rowOff>12700</xdr:rowOff>
    </xdr:from>
    <xdr:to>
      <xdr:col>16</xdr:col>
      <xdr:colOff>4461015</xdr:colOff>
      <xdr:row>29</xdr:row>
      <xdr:rowOff>177800</xdr:rowOff>
    </xdr:to>
    <xdr:sp macro="" textlink="">
      <xdr:nvSpPr>
        <xdr:cNvPr id="174748" name="Скругленный прямоугольник 174747">
          <a:extLst>
            <a:ext uri="{FF2B5EF4-FFF2-40B4-BE49-F238E27FC236}">
              <a16:creationId xmlns:a16="http://schemas.microsoft.com/office/drawing/2014/main" id="{00000000-0008-0000-0800-00009CAA0200}"/>
            </a:ext>
          </a:extLst>
        </xdr:cNvPr>
        <xdr:cNvSpPr/>
      </xdr:nvSpPr>
      <xdr:spPr>
        <a:xfrm>
          <a:off x="14356491" y="5765800"/>
          <a:ext cx="132497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A4A4" mc:Ignorable="a14" a14:legacySpreadsheetColorIndex="2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D8D8" mc:Ignorable="a14" a14:legacySpreadsheetColorIndex="2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5353" mc:Ignorable="a14" a14:legacySpreadsheetColorIndex="2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1396</a:t>
          </a:r>
        </a:p>
      </xdr:txBody>
    </xdr:sp>
    <xdr:clientData/>
  </xdr:twoCellAnchor>
  <xdr:twoCellAnchor>
    <xdr:from>
      <xdr:col>16</xdr:col>
      <xdr:colOff>4486415</xdr:colOff>
      <xdr:row>29</xdr:row>
      <xdr:rowOff>12700</xdr:rowOff>
    </xdr:from>
    <xdr:to>
      <xdr:col>16</xdr:col>
      <xdr:colOff>5763023</xdr:colOff>
      <xdr:row>29</xdr:row>
      <xdr:rowOff>177800</xdr:rowOff>
    </xdr:to>
    <xdr:sp macro="" textlink="">
      <xdr:nvSpPr>
        <xdr:cNvPr id="174749" name="Скругленный прямоугольник 174748">
          <a:extLst>
            <a:ext uri="{FF2B5EF4-FFF2-40B4-BE49-F238E27FC236}">
              <a16:creationId xmlns:a16="http://schemas.microsoft.com/office/drawing/2014/main" id="{00000000-0008-0000-0800-00009DAA0200}"/>
            </a:ext>
          </a:extLst>
        </xdr:cNvPr>
        <xdr:cNvSpPr/>
      </xdr:nvSpPr>
      <xdr:spPr>
        <a:xfrm>
          <a:off x="15706865" y="5765800"/>
          <a:ext cx="127660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D7FFFF" mc:Ignorable="a14" a14:legacySpreadsheetColorIndex="2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ECFFFF" mc:Ignorable="a14" a14:legacySpreadsheetColorIndex="2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87AAAA" mc:Ignorable="a14" a14:legacySpreadsheetColorIndex="2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1346</a:t>
          </a:r>
        </a:p>
      </xdr:txBody>
    </xdr:sp>
    <xdr:clientData/>
  </xdr:twoCellAnchor>
  <xdr:twoCellAnchor>
    <xdr:from>
      <xdr:col>16</xdr:col>
      <xdr:colOff>0</xdr:colOff>
      <xdr:row>30</xdr:row>
      <xdr:rowOff>12700</xdr:rowOff>
    </xdr:from>
    <xdr:to>
      <xdr:col>16</xdr:col>
      <xdr:colOff>2243925</xdr:colOff>
      <xdr:row>30</xdr:row>
      <xdr:rowOff>177800</xdr:rowOff>
    </xdr:to>
    <xdr:sp macro="" textlink="">
      <xdr:nvSpPr>
        <xdr:cNvPr id="174750" name="Скругленный прямоугольник 174749">
          <a:extLst>
            <a:ext uri="{FF2B5EF4-FFF2-40B4-BE49-F238E27FC236}">
              <a16:creationId xmlns:a16="http://schemas.microsoft.com/office/drawing/2014/main" id="{00000000-0008-0000-0800-00009EAA0200}"/>
            </a:ext>
          </a:extLst>
        </xdr:cNvPr>
        <xdr:cNvSpPr/>
      </xdr:nvSpPr>
      <xdr:spPr>
        <a:xfrm>
          <a:off x="11220450" y="5956300"/>
          <a:ext cx="22439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D7FF" mc:Ignorable="a14" a14:legacySpreadsheetColorIndex="4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ECFF" mc:Ignorable="a14" a14:legacySpreadsheetColorIndex="4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87AA" mc:Ignorable="a14" a14:legacySpreadsheetColorIndex="4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2346</a:t>
          </a:r>
        </a:p>
      </xdr:txBody>
    </xdr:sp>
    <xdr:clientData/>
  </xdr:twoCellAnchor>
  <xdr:twoCellAnchor>
    <xdr:from>
      <xdr:col>16</xdr:col>
      <xdr:colOff>2269325</xdr:colOff>
      <xdr:row>30</xdr:row>
      <xdr:rowOff>12700</xdr:rowOff>
    </xdr:from>
    <xdr:to>
      <xdr:col>16</xdr:col>
      <xdr:colOff>3507240</xdr:colOff>
      <xdr:row>30</xdr:row>
      <xdr:rowOff>177800</xdr:rowOff>
    </xdr:to>
    <xdr:sp macro="" textlink="">
      <xdr:nvSpPr>
        <xdr:cNvPr id="174751" name="Скругленный прямоугольник 174750">
          <a:extLst>
            <a:ext uri="{FF2B5EF4-FFF2-40B4-BE49-F238E27FC236}">
              <a16:creationId xmlns:a16="http://schemas.microsoft.com/office/drawing/2014/main" id="{00000000-0008-0000-0800-00009FAA0200}"/>
            </a:ext>
          </a:extLst>
        </xdr:cNvPr>
        <xdr:cNvSpPr/>
      </xdr:nvSpPr>
      <xdr:spPr>
        <a:xfrm>
          <a:off x="13489775" y="59563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3532640</xdr:colOff>
      <xdr:row>30</xdr:row>
      <xdr:rowOff>12700</xdr:rowOff>
    </xdr:from>
    <xdr:to>
      <xdr:col>16</xdr:col>
      <xdr:colOff>4731863</xdr:colOff>
      <xdr:row>30</xdr:row>
      <xdr:rowOff>177800</xdr:rowOff>
    </xdr:to>
    <xdr:sp macro="" textlink="">
      <xdr:nvSpPr>
        <xdr:cNvPr id="174752" name="Скругленный прямоугольник 174751">
          <a:extLst>
            <a:ext uri="{FF2B5EF4-FFF2-40B4-BE49-F238E27FC236}">
              <a16:creationId xmlns:a16="http://schemas.microsoft.com/office/drawing/2014/main" id="{00000000-0008-0000-0800-0000A0AA0200}"/>
            </a:ext>
          </a:extLst>
        </xdr:cNvPr>
        <xdr:cNvSpPr/>
      </xdr:nvSpPr>
      <xdr:spPr>
        <a:xfrm>
          <a:off x="14753090" y="5956300"/>
          <a:ext cx="119922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A4" mc:Ignorable="a14" a14:legacySpreadsheetColorIndex="2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D8" mc:Ignorable="a14" a14:legacySpreadsheetColorIndex="2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53" mc:Ignorable="a14" a14:legacySpreadsheetColorIndex="2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1266</a:t>
          </a:r>
        </a:p>
      </xdr:txBody>
    </xdr:sp>
    <xdr:clientData/>
  </xdr:twoCellAnchor>
  <xdr:twoCellAnchor>
    <xdr:from>
      <xdr:col>16</xdr:col>
      <xdr:colOff>4757263</xdr:colOff>
      <xdr:row>30</xdr:row>
      <xdr:rowOff>12700</xdr:rowOff>
    </xdr:from>
    <xdr:to>
      <xdr:col>16</xdr:col>
      <xdr:colOff>5763022</xdr:colOff>
      <xdr:row>30</xdr:row>
      <xdr:rowOff>177800</xdr:rowOff>
    </xdr:to>
    <xdr:sp macro="" textlink="">
      <xdr:nvSpPr>
        <xdr:cNvPr id="174753" name="Скругленный прямоугольник 174752">
          <a:extLst>
            <a:ext uri="{FF2B5EF4-FFF2-40B4-BE49-F238E27FC236}">
              <a16:creationId xmlns:a16="http://schemas.microsoft.com/office/drawing/2014/main" id="{00000000-0008-0000-0800-0000A1AA0200}"/>
            </a:ext>
          </a:extLst>
        </xdr:cNvPr>
        <xdr:cNvSpPr/>
      </xdr:nvSpPr>
      <xdr:spPr>
        <a:xfrm>
          <a:off x="15977713" y="5956300"/>
          <a:ext cx="100575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1066</a:t>
          </a:r>
        </a:p>
      </xdr:txBody>
    </xdr:sp>
    <xdr:clientData/>
  </xdr:twoCellAnchor>
  <xdr:twoCellAnchor>
    <xdr:from>
      <xdr:col>16</xdr:col>
      <xdr:colOff>0</xdr:colOff>
      <xdr:row>31</xdr:row>
      <xdr:rowOff>12700</xdr:rowOff>
    </xdr:from>
    <xdr:to>
      <xdr:col>16</xdr:col>
      <xdr:colOff>1266935</xdr:colOff>
      <xdr:row>31</xdr:row>
      <xdr:rowOff>177800</xdr:rowOff>
    </xdr:to>
    <xdr:sp macro="" textlink="">
      <xdr:nvSpPr>
        <xdr:cNvPr id="174754" name="Скругленный прямоугольник 174753">
          <a:extLst>
            <a:ext uri="{FF2B5EF4-FFF2-40B4-BE49-F238E27FC236}">
              <a16:creationId xmlns:a16="http://schemas.microsoft.com/office/drawing/2014/main" id="{00000000-0008-0000-0800-0000A2AA0200}"/>
            </a:ext>
          </a:extLst>
        </xdr:cNvPr>
        <xdr:cNvSpPr/>
      </xdr:nvSpPr>
      <xdr:spPr>
        <a:xfrm>
          <a:off x="11220450" y="6146800"/>
          <a:ext cx="126693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D7" mc:Ignorable="a14" a14:legacySpreadsheetColorIndex="2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EC" mc:Ignorable="a14" a14:legacySpreadsheetColorIndex="2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87" mc:Ignorable="a14" a14:legacySpreadsheetColorIndex="2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1336</a:t>
          </a:r>
        </a:p>
      </xdr:txBody>
    </xdr:sp>
    <xdr:clientData/>
  </xdr:twoCellAnchor>
  <xdr:twoCellAnchor>
    <xdr:from>
      <xdr:col>16</xdr:col>
      <xdr:colOff>1292335</xdr:colOff>
      <xdr:row>31</xdr:row>
      <xdr:rowOff>12700</xdr:rowOff>
    </xdr:from>
    <xdr:to>
      <xdr:col>16</xdr:col>
      <xdr:colOff>2549596</xdr:colOff>
      <xdr:row>31</xdr:row>
      <xdr:rowOff>177800</xdr:rowOff>
    </xdr:to>
    <xdr:sp macro="" textlink="">
      <xdr:nvSpPr>
        <xdr:cNvPr id="174755" name="Скругленный прямоугольник 174754">
          <a:extLst>
            <a:ext uri="{FF2B5EF4-FFF2-40B4-BE49-F238E27FC236}">
              <a16:creationId xmlns:a16="http://schemas.microsoft.com/office/drawing/2014/main" id="{00000000-0008-0000-0800-0000A3AA0200}"/>
            </a:ext>
          </a:extLst>
        </xdr:cNvPr>
        <xdr:cNvSpPr/>
      </xdr:nvSpPr>
      <xdr:spPr>
        <a:xfrm>
          <a:off x="12512785" y="6146800"/>
          <a:ext cx="12572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B48396" mc:Ignorable="a14" a14:legacySpreadsheetColorIndex="2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ECDD3" mc:Ignorable="a14" a14:legacySpreadsheetColorIndex="2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641E41" mc:Ignorable="a14" a14:legacySpreadsheetColorIndex="2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1326</a:t>
          </a:r>
        </a:p>
      </xdr:txBody>
    </xdr:sp>
    <xdr:clientData/>
  </xdr:twoCellAnchor>
  <xdr:twoCellAnchor>
    <xdr:from>
      <xdr:col>16</xdr:col>
      <xdr:colOff>2574996</xdr:colOff>
      <xdr:row>31</xdr:row>
      <xdr:rowOff>12700</xdr:rowOff>
    </xdr:from>
    <xdr:to>
      <xdr:col>16</xdr:col>
      <xdr:colOff>3812911</xdr:colOff>
      <xdr:row>31</xdr:row>
      <xdr:rowOff>177800</xdr:rowOff>
    </xdr:to>
    <xdr:sp macro="" textlink="">
      <xdr:nvSpPr>
        <xdr:cNvPr id="174756" name="Скругленный прямоугольник 174755">
          <a:extLst>
            <a:ext uri="{FF2B5EF4-FFF2-40B4-BE49-F238E27FC236}">
              <a16:creationId xmlns:a16="http://schemas.microsoft.com/office/drawing/2014/main" id="{00000000-0008-0000-0800-0000A4AA0200}"/>
            </a:ext>
          </a:extLst>
        </xdr:cNvPr>
        <xdr:cNvSpPr/>
      </xdr:nvSpPr>
      <xdr:spPr>
        <a:xfrm>
          <a:off x="13795446" y="61468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3838313</xdr:colOff>
      <xdr:row>31</xdr:row>
      <xdr:rowOff>12700</xdr:rowOff>
    </xdr:from>
    <xdr:to>
      <xdr:col>16</xdr:col>
      <xdr:colOff>5076228</xdr:colOff>
      <xdr:row>31</xdr:row>
      <xdr:rowOff>177800</xdr:rowOff>
    </xdr:to>
    <xdr:sp macro="" textlink="">
      <xdr:nvSpPr>
        <xdr:cNvPr id="174757" name="Скругленный прямоугольник 174756">
          <a:extLst>
            <a:ext uri="{FF2B5EF4-FFF2-40B4-BE49-F238E27FC236}">
              <a16:creationId xmlns:a16="http://schemas.microsoft.com/office/drawing/2014/main" id="{00000000-0008-0000-0800-0000A5AA0200}"/>
            </a:ext>
          </a:extLst>
        </xdr:cNvPr>
        <xdr:cNvSpPr/>
      </xdr:nvSpPr>
      <xdr:spPr>
        <a:xfrm>
          <a:off x="15058763" y="6146800"/>
          <a:ext cx="12379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A4" mc:Ignorable="a14" a14:legacySpreadsheetColorIndex="2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D8" mc:Ignorable="a14" a14:legacySpreadsheetColorIndex="2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53" mc:Ignorable="a14" a14:legacySpreadsheetColorIndex="2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1306</a:t>
          </a:r>
        </a:p>
      </xdr:txBody>
    </xdr:sp>
    <xdr:clientData/>
  </xdr:twoCellAnchor>
  <xdr:twoCellAnchor>
    <xdr:from>
      <xdr:col>16</xdr:col>
      <xdr:colOff>5101628</xdr:colOff>
      <xdr:row>31</xdr:row>
      <xdr:rowOff>12700</xdr:rowOff>
    </xdr:from>
    <xdr:to>
      <xdr:col>16</xdr:col>
      <xdr:colOff>5759154</xdr:colOff>
      <xdr:row>31</xdr:row>
      <xdr:rowOff>177800</xdr:rowOff>
    </xdr:to>
    <xdr:sp macro="" textlink="">
      <xdr:nvSpPr>
        <xdr:cNvPr id="174758" name="Скругленный прямоугольник 174757">
          <a:extLst>
            <a:ext uri="{FF2B5EF4-FFF2-40B4-BE49-F238E27FC236}">
              <a16:creationId xmlns:a16="http://schemas.microsoft.com/office/drawing/2014/main" id="{00000000-0008-0000-0800-0000A6AA0200}"/>
            </a:ext>
          </a:extLst>
        </xdr:cNvPr>
        <xdr:cNvSpPr/>
      </xdr:nvSpPr>
      <xdr:spPr>
        <a:xfrm>
          <a:off x="16322078" y="6146800"/>
          <a:ext cx="65752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706</a:t>
          </a:r>
        </a:p>
      </xdr:txBody>
    </xdr:sp>
    <xdr:clientData/>
  </xdr:twoCellAnchor>
  <xdr:twoCellAnchor>
    <xdr:from>
      <xdr:col>16</xdr:col>
      <xdr:colOff>0</xdr:colOff>
      <xdr:row>32</xdr:row>
      <xdr:rowOff>12700</xdr:rowOff>
    </xdr:from>
    <xdr:to>
      <xdr:col>16</xdr:col>
      <xdr:colOff>1450725</xdr:colOff>
      <xdr:row>32</xdr:row>
      <xdr:rowOff>177800</xdr:rowOff>
    </xdr:to>
    <xdr:sp macro="" textlink="">
      <xdr:nvSpPr>
        <xdr:cNvPr id="174759" name="Скругленный прямоугольник 174758">
          <a:extLst>
            <a:ext uri="{FF2B5EF4-FFF2-40B4-BE49-F238E27FC236}">
              <a16:creationId xmlns:a16="http://schemas.microsoft.com/office/drawing/2014/main" id="{00000000-0008-0000-0800-0000A7AA0200}"/>
            </a:ext>
          </a:extLst>
        </xdr:cNvPr>
        <xdr:cNvSpPr/>
      </xdr:nvSpPr>
      <xdr:spPr>
        <a:xfrm>
          <a:off x="11220450" y="6337300"/>
          <a:ext cx="145072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3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3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3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1526</a:t>
          </a:r>
        </a:p>
      </xdr:txBody>
    </xdr:sp>
    <xdr:clientData/>
  </xdr:twoCellAnchor>
  <xdr:twoCellAnchor>
    <xdr:from>
      <xdr:col>16</xdr:col>
      <xdr:colOff>1476125</xdr:colOff>
      <xdr:row>32</xdr:row>
      <xdr:rowOff>12700</xdr:rowOff>
    </xdr:from>
    <xdr:to>
      <xdr:col>16</xdr:col>
      <xdr:colOff>2781753</xdr:colOff>
      <xdr:row>32</xdr:row>
      <xdr:rowOff>177800</xdr:rowOff>
    </xdr:to>
    <xdr:sp macro="" textlink="">
      <xdr:nvSpPr>
        <xdr:cNvPr id="174760" name="Скругленный прямоугольник 174759">
          <a:extLst>
            <a:ext uri="{FF2B5EF4-FFF2-40B4-BE49-F238E27FC236}">
              <a16:creationId xmlns:a16="http://schemas.microsoft.com/office/drawing/2014/main" id="{00000000-0008-0000-0800-0000A8AA0200}"/>
            </a:ext>
          </a:extLst>
        </xdr:cNvPr>
        <xdr:cNvSpPr/>
      </xdr:nvSpPr>
      <xdr:spPr>
        <a:xfrm>
          <a:off x="12696575" y="6337300"/>
          <a:ext cx="130562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967C96" mc:Ignorable="a14" a14:legacySpreadsheetColorIndex="2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3CBD3" mc:Ignorable="a14" a14:legacySpreadsheetColorIndex="2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410041" mc:Ignorable="a14" a14:legacySpreadsheetColorIndex="2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1376</a:t>
          </a:r>
        </a:p>
      </xdr:txBody>
    </xdr:sp>
    <xdr:clientData/>
  </xdr:twoCellAnchor>
  <xdr:twoCellAnchor>
    <xdr:from>
      <xdr:col>16</xdr:col>
      <xdr:colOff>2807153</xdr:colOff>
      <xdr:row>32</xdr:row>
      <xdr:rowOff>12700</xdr:rowOff>
    </xdr:from>
    <xdr:to>
      <xdr:col>16</xdr:col>
      <xdr:colOff>3619449</xdr:colOff>
      <xdr:row>32</xdr:row>
      <xdr:rowOff>177800</xdr:rowOff>
    </xdr:to>
    <xdr:sp macro="" textlink="">
      <xdr:nvSpPr>
        <xdr:cNvPr id="174761" name="Скругленный прямоугольник 174760">
          <a:extLst>
            <a:ext uri="{FF2B5EF4-FFF2-40B4-BE49-F238E27FC236}">
              <a16:creationId xmlns:a16="http://schemas.microsoft.com/office/drawing/2014/main" id="{00000000-0008-0000-0800-0000A9AA0200}"/>
            </a:ext>
          </a:extLst>
        </xdr:cNvPr>
        <xdr:cNvSpPr/>
      </xdr:nvSpPr>
      <xdr:spPr>
        <a:xfrm>
          <a:off x="14027603" y="6337300"/>
          <a:ext cx="81229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866</a:t>
          </a:r>
        </a:p>
      </xdr:txBody>
    </xdr:sp>
    <xdr:clientData/>
  </xdr:twoCellAnchor>
  <xdr:twoCellAnchor>
    <xdr:from>
      <xdr:col>16</xdr:col>
      <xdr:colOff>3644849</xdr:colOff>
      <xdr:row>32</xdr:row>
      <xdr:rowOff>12700</xdr:rowOff>
    </xdr:from>
    <xdr:to>
      <xdr:col>16</xdr:col>
      <xdr:colOff>4273355</xdr:colOff>
      <xdr:row>32</xdr:row>
      <xdr:rowOff>177800</xdr:rowOff>
    </xdr:to>
    <xdr:sp macro="" textlink="">
      <xdr:nvSpPr>
        <xdr:cNvPr id="174762" name="Скругленный прямоугольник 174761">
          <a:extLst>
            <a:ext uri="{FF2B5EF4-FFF2-40B4-BE49-F238E27FC236}">
              <a16:creationId xmlns:a16="http://schemas.microsoft.com/office/drawing/2014/main" id="{00000000-0008-0000-0800-0000AAAA0200}"/>
            </a:ext>
          </a:extLst>
        </xdr:cNvPr>
        <xdr:cNvSpPr/>
      </xdr:nvSpPr>
      <xdr:spPr>
        <a:xfrm>
          <a:off x="14865299" y="6337300"/>
          <a:ext cx="62850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676</a:t>
          </a:r>
        </a:p>
      </xdr:txBody>
    </xdr:sp>
    <xdr:clientData/>
  </xdr:twoCellAnchor>
  <xdr:twoCellAnchor>
    <xdr:from>
      <xdr:col>16</xdr:col>
      <xdr:colOff>4298755</xdr:colOff>
      <xdr:row>32</xdr:row>
      <xdr:rowOff>12700</xdr:rowOff>
    </xdr:from>
    <xdr:to>
      <xdr:col>16</xdr:col>
      <xdr:colOff>5778500</xdr:colOff>
      <xdr:row>32</xdr:row>
      <xdr:rowOff>177800</xdr:rowOff>
    </xdr:to>
    <xdr:sp macro="" textlink="">
      <xdr:nvSpPr>
        <xdr:cNvPr id="174763" name="Скругленный прямоугольник 174762">
          <a:extLst>
            <a:ext uri="{FF2B5EF4-FFF2-40B4-BE49-F238E27FC236}">
              <a16:creationId xmlns:a16="http://schemas.microsoft.com/office/drawing/2014/main" id="{00000000-0008-0000-0800-0000ABAA0200}"/>
            </a:ext>
          </a:extLst>
        </xdr:cNvPr>
        <xdr:cNvSpPr/>
      </xdr:nvSpPr>
      <xdr:spPr>
        <a:xfrm>
          <a:off x="15519205" y="6337300"/>
          <a:ext cx="147974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Остаток: 1556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44825</xdr:colOff>
      <xdr:row>17</xdr:row>
      <xdr:rowOff>150420</xdr:rowOff>
    </xdr:from>
    <xdr:to>
      <xdr:col>3</xdr:col>
      <xdr:colOff>307043</xdr:colOff>
      <xdr:row>19</xdr:row>
      <xdr:rowOff>76200</xdr:rowOff>
    </xdr:to>
    <xdr:sp macro="[0]!Raskroy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25800" y="3617520"/>
          <a:ext cx="1214718" cy="30678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Расчет</a:t>
          </a:r>
          <a:r>
            <a:rPr lang="en-US" sz="1100"/>
            <a:t> DP</a:t>
          </a:r>
          <a:endParaRPr lang="ru-RU" sz="1100"/>
        </a:p>
      </xdr:txBody>
    </xdr:sp>
    <xdr:clientData fPrintsWithSheet="0"/>
  </xdr:twoCellAnchor>
  <xdr:twoCellAnchor>
    <xdr:from>
      <xdr:col>3</xdr:col>
      <xdr:colOff>472817</xdr:colOff>
      <xdr:row>17</xdr:row>
      <xdr:rowOff>150420</xdr:rowOff>
    </xdr:from>
    <xdr:to>
      <xdr:col>4</xdr:col>
      <xdr:colOff>735035</xdr:colOff>
      <xdr:row>19</xdr:row>
      <xdr:rowOff>76200</xdr:rowOff>
    </xdr:to>
    <xdr:sp macro="[0]!ClearData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606292" y="3617520"/>
          <a:ext cx="1214718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Очистить все</a:t>
          </a:r>
        </a:p>
      </xdr:txBody>
    </xdr:sp>
    <xdr:clientData fPrintsWithSheet="0"/>
  </xdr:twoCellAnchor>
  <xdr:twoCellAnchor>
    <xdr:from>
      <xdr:col>4</xdr:col>
      <xdr:colOff>924205</xdr:colOff>
      <xdr:row>17</xdr:row>
      <xdr:rowOff>150420</xdr:rowOff>
    </xdr:from>
    <xdr:to>
      <xdr:col>7</xdr:col>
      <xdr:colOff>21011</xdr:colOff>
      <xdr:row>19</xdr:row>
      <xdr:rowOff>76200</xdr:rowOff>
    </xdr:to>
    <xdr:sp macro="[0]!OutGraph" textlink="">
      <xdr:nvSpPr>
        <xdr:cNvPr id="4" name="Скругленный прямоугольник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010180" y="3617520"/>
          <a:ext cx="1220881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Отобразить</a:t>
          </a:r>
        </a:p>
      </xdr:txBody>
    </xdr:sp>
    <xdr:clientData fPrintsWithSheet="0"/>
  </xdr:twoCellAnchor>
  <xdr:twoCellAnchor>
    <xdr:from>
      <xdr:col>7</xdr:col>
      <xdr:colOff>197224</xdr:colOff>
      <xdr:row>17</xdr:row>
      <xdr:rowOff>150420</xdr:rowOff>
    </xdr:from>
    <xdr:to>
      <xdr:col>8</xdr:col>
      <xdr:colOff>806824</xdr:colOff>
      <xdr:row>19</xdr:row>
      <xdr:rowOff>76200</xdr:rowOff>
    </xdr:to>
    <xdr:sp macro="[0]!Export2PDF" textlink="">
      <xdr:nvSpPr>
        <xdr:cNvPr id="5" name="Скругленный прямоугольник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4407274" y="3617520"/>
          <a:ext cx="1209675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Экспорт в </a:t>
          </a:r>
          <a:r>
            <a:rPr lang="en-US" sz="1100"/>
            <a:t>PDF</a:t>
          </a:r>
          <a:endParaRPr lang="ru-RU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13</xdr:row>
          <xdr:rowOff>180975</xdr:rowOff>
        </xdr:from>
        <xdr:to>
          <xdr:col>9</xdr:col>
          <xdr:colOff>9525</xdr:colOff>
          <xdr:row>15</xdr:row>
          <xdr:rowOff>0</xdr:rowOff>
        </xdr:to>
        <xdr:sp macro="" textlink="">
          <xdr:nvSpPr>
            <xdr:cNvPr id="174081" name="Drop Down 1" hidden="1">
              <a:extLst>
                <a:ext uri="{63B3BB69-23CF-44E3-9099-C40C66FF867C}">
                  <a14:compatExt spid="_x0000_s174081"/>
                </a:ext>
                <a:ext uri="{FF2B5EF4-FFF2-40B4-BE49-F238E27FC236}">
                  <a16:creationId xmlns:a16="http://schemas.microsoft.com/office/drawing/2014/main" id="{00000000-0008-0000-0900-000001A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13</xdr:row>
          <xdr:rowOff>161925</xdr:rowOff>
        </xdr:from>
        <xdr:to>
          <xdr:col>5</xdr:col>
          <xdr:colOff>981075</xdr:colOff>
          <xdr:row>15</xdr:row>
          <xdr:rowOff>0</xdr:rowOff>
        </xdr:to>
        <xdr:sp macro="" textlink="">
          <xdr:nvSpPr>
            <xdr:cNvPr id="174082" name="Check Box 2" hidden="1">
              <a:extLst>
                <a:ext uri="{63B3BB69-23CF-44E3-9099-C40C66FF867C}">
                  <a14:compatExt spid="_x0000_s174082"/>
                </a:ext>
                <a:ext uri="{FF2B5EF4-FFF2-40B4-BE49-F238E27FC236}">
                  <a16:creationId xmlns:a16="http://schemas.microsoft.com/office/drawing/2014/main" id="{00000000-0008-0000-0900-000002A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Группировать решение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14</xdr:row>
          <xdr:rowOff>161925</xdr:rowOff>
        </xdr:from>
        <xdr:to>
          <xdr:col>5</xdr:col>
          <xdr:colOff>981075</xdr:colOff>
          <xdr:row>16</xdr:row>
          <xdr:rowOff>0</xdr:rowOff>
        </xdr:to>
        <xdr:sp macro="" textlink="">
          <xdr:nvSpPr>
            <xdr:cNvPr id="174083" name="Check Box 3" hidden="1">
              <a:extLst>
                <a:ext uri="{63B3BB69-23CF-44E3-9099-C40C66FF867C}">
                  <a14:compatExt spid="_x0000_s174083"/>
                </a:ext>
                <a:ext uri="{FF2B5EF4-FFF2-40B4-BE49-F238E27FC236}">
                  <a16:creationId xmlns:a16="http://schemas.microsoft.com/office/drawing/2014/main" id="{00000000-0008-0000-0900-000003A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Отображать графику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15</xdr:row>
          <xdr:rowOff>0</xdr:rowOff>
        </xdr:from>
        <xdr:to>
          <xdr:col>9</xdr:col>
          <xdr:colOff>9525</xdr:colOff>
          <xdr:row>16</xdr:row>
          <xdr:rowOff>9525</xdr:rowOff>
        </xdr:to>
        <xdr:sp macro="" textlink="">
          <xdr:nvSpPr>
            <xdr:cNvPr id="174084" name="Drop Down 4" hidden="1">
              <a:extLst>
                <a:ext uri="{63B3BB69-23CF-44E3-9099-C40C66FF867C}">
                  <a14:compatExt spid="_x0000_s174084"/>
                </a:ext>
                <a:ext uri="{FF2B5EF4-FFF2-40B4-BE49-F238E27FC236}">
                  <a16:creationId xmlns:a16="http://schemas.microsoft.com/office/drawing/2014/main" id="{00000000-0008-0000-0900-000004A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15</xdr:row>
          <xdr:rowOff>161925</xdr:rowOff>
        </xdr:from>
        <xdr:to>
          <xdr:col>5</xdr:col>
          <xdr:colOff>981075</xdr:colOff>
          <xdr:row>17</xdr:row>
          <xdr:rowOff>0</xdr:rowOff>
        </xdr:to>
        <xdr:sp macro="" textlink="">
          <xdr:nvSpPr>
            <xdr:cNvPr id="174085" name="Check Box 5" hidden="1">
              <a:extLst>
                <a:ext uri="{63B3BB69-23CF-44E3-9099-C40C66FF867C}">
                  <a14:compatExt spid="_x0000_s174085"/>
                </a:ext>
                <a:ext uri="{FF2B5EF4-FFF2-40B4-BE49-F238E27FC236}">
                  <a16:creationId xmlns:a16="http://schemas.microsoft.com/office/drawing/2014/main" id="{00000000-0008-0000-0900-000005A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Рез под 45 градусов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16</xdr:row>
          <xdr:rowOff>0</xdr:rowOff>
        </xdr:from>
        <xdr:to>
          <xdr:col>9</xdr:col>
          <xdr:colOff>0</xdr:colOff>
          <xdr:row>17</xdr:row>
          <xdr:rowOff>28575</xdr:rowOff>
        </xdr:to>
        <xdr:sp macro="" textlink="">
          <xdr:nvSpPr>
            <xdr:cNvPr id="174086" name="Check Box 6" hidden="1">
              <a:extLst>
                <a:ext uri="{63B3BB69-23CF-44E3-9099-C40C66FF867C}">
                  <a14:compatExt spid="_x0000_s174086"/>
                </a:ext>
                <a:ext uri="{FF2B5EF4-FFF2-40B4-BE49-F238E27FC236}">
                  <a16:creationId xmlns:a16="http://schemas.microsoft.com/office/drawing/2014/main" id="{00000000-0008-0000-0900-000006A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Раскрой в два профиля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44825</xdr:colOff>
      <xdr:row>20</xdr:row>
      <xdr:rowOff>0</xdr:rowOff>
    </xdr:from>
    <xdr:to>
      <xdr:col>3</xdr:col>
      <xdr:colOff>307043</xdr:colOff>
      <xdr:row>21</xdr:row>
      <xdr:rowOff>116280</xdr:rowOff>
    </xdr:to>
    <xdr:sp macro="[0]!lpCSP" textlink="">
      <xdr:nvSpPr>
        <xdr:cNvPr id="12" name="Скругленный прямоугольник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225800" y="4038600"/>
          <a:ext cx="1214718" cy="30678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Расчет</a:t>
          </a:r>
          <a:r>
            <a:rPr lang="en-US" sz="1100"/>
            <a:t> LP</a:t>
          </a:r>
          <a:endParaRPr lang="ru-RU" sz="1100"/>
        </a:p>
      </xdr:txBody>
    </xdr:sp>
    <xdr:clientData fPrintsWithSheet="0"/>
  </xdr:twoCellAnchor>
  <xdr:twoCellAnchor>
    <xdr:from>
      <xdr:col>3</xdr:col>
      <xdr:colOff>472817</xdr:colOff>
      <xdr:row>20</xdr:row>
      <xdr:rowOff>0</xdr:rowOff>
    </xdr:from>
    <xdr:to>
      <xdr:col>4</xdr:col>
      <xdr:colOff>735035</xdr:colOff>
      <xdr:row>21</xdr:row>
      <xdr:rowOff>116280</xdr:rowOff>
    </xdr:to>
    <xdr:sp macro="[0]!ClearSolve" textlink="">
      <xdr:nvSpPr>
        <xdr:cNvPr id="13" name="Скругленный прямоугольник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1606292" y="4038600"/>
          <a:ext cx="1214718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Убрать</a:t>
          </a:r>
          <a:r>
            <a:rPr lang="ru-RU" sz="1100" baseline="0"/>
            <a:t> решение</a:t>
          </a:r>
          <a:endParaRPr lang="ru-RU" sz="1100"/>
        </a:p>
      </xdr:txBody>
    </xdr:sp>
    <xdr:clientData fPrintsWithSheet="0"/>
  </xdr:twoCellAnchor>
  <xdr:twoCellAnchor>
    <xdr:from>
      <xdr:col>4</xdr:col>
      <xdr:colOff>924205</xdr:colOff>
      <xdr:row>20</xdr:row>
      <xdr:rowOff>0</xdr:rowOff>
    </xdr:from>
    <xdr:to>
      <xdr:col>7</xdr:col>
      <xdr:colOff>21011</xdr:colOff>
      <xdr:row>21</xdr:row>
      <xdr:rowOff>116280</xdr:rowOff>
    </xdr:to>
    <xdr:sp macro="[0]!OffGraph" textlink="">
      <xdr:nvSpPr>
        <xdr:cNvPr id="14" name="Скругленный прямоугольник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3010180" y="4038600"/>
          <a:ext cx="1220881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Убрать</a:t>
          </a:r>
          <a:r>
            <a:rPr lang="ru-RU" sz="1100" baseline="0"/>
            <a:t> графику</a:t>
          </a:r>
          <a:endParaRPr lang="ru-RU" sz="1100"/>
        </a:p>
      </xdr:txBody>
    </xdr:sp>
    <xdr:clientData fPrintsWithSheet="0"/>
  </xdr:twoCellAnchor>
  <xdr:twoCellAnchor>
    <xdr:from>
      <xdr:col>7</xdr:col>
      <xdr:colOff>197224</xdr:colOff>
      <xdr:row>20</xdr:row>
      <xdr:rowOff>0</xdr:rowOff>
    </xdr:from>
    <xdr:to>
      <xdr:col>8</xdr:col>
      <xdr:colOff>806824</xdr:colOff>
      <xdr:row>21</xdr:row>
      <xdr:rowOff>116280</xdr:rowOff>
    </xdr:to>
    <xdr:sp macro="" textlink="">
      <xdr:nvSpPr>
        <xdr:cNvPr id="15" name="Скругленный прямоугольник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>
        <a:xfrm>
          <a:off x="4407274" y="4038600"/>
          <a:ext cx="1209675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Создать отчет</a:t>
          </a:r>
        </a:p>
      </xdr:txBody>
    </xdr:sp>
    <xdr:clientData fPrintsWithSheet="0"/>
  </xdr:twoCellAnchor>
  <xdr:twoCellAnchor>
    <xdr:from>
      <xdr:col>16</xdr:col>
      <xdr:colOff>0</xdr:colOff>
      <xdr:row>3</xdr:row>
      <xdr:rowOff>12700</xdr:rowOff>
    </xdr:from>
    <xdr:to>
      <xdr:col>16</xdr:col>
      <xdr:colOff>811044</xdr:colOff>
      <xdr:row>3</xdr:row>
      <xdr:rowOff>177800</xdr:rowOff>
    </xdr:to>
    <xdr:sp macro="" textlink="">
      <xdr:nvSpPr>
        <xdr:cNvPr id="178079" name="Скругленный прямоугольник 178078">
          <a:extLst>
            <a:ext uri="{FF2B5EF4-FFF2-40B4-BE49-F238E27FC236}">
              <a16:creationId xmlns:a16="http://schemas.microsoft.com/office/drawing/2014/main" id="{00000000-0008-0000-0900-00009FB70200}"/>
            </a:ext>
          </a:extLst>
        </xdr:cNvPr>
        <xdr:cNvSpPr/>
      </xdr:nvSpPr>
      <xdr:spPr>
        <a:xfrm>
          <a:off x="11668125" y="812800"/>
          <a:ext cx="81104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980</a:t>
          </a:r>
        </a:p>
      </xdr:txBody>
    </xdr:sp>
    <xdr:clientData/>
  </xdr:twoCellAnchor>
  <xdr:twoCellAnchor>
    <xdr:from>
      <xdr:col>16</xdr:col>
      <xdr:colOff>836444</xdr:colOff>
      <xdr:row>3</xdr:row>
      <xdr:rowOff>12700</xdr:rowOff>
    </xdr:from>
    <xdr:to>
      <xdr:col>16</xdr:col>
      <xdr:colOff>1698699</xdr:colOff>
      <xdr:row>3</xdr:row>
      <xdr:rowOff>177800</xdr:rowOff>
    </xdr:to>
    <xdr:sp macro="" textlink="">
      <xdr:nvSpPr>
        <xdr:cNvPr id="178080" name="Скругленный прямоугольник 178079">
          <a:extLst>
            <a:ext uri="{FF2B5EF4-FFF2-40B4-BE49-F238E27FC236}">
              <a16:creationId xmlns:a16="http://schemas.microsoft.com/office/drawing/2014/main" id="{00000000-0008-0000-0900-0000A0B70200}"/>
            </a:ext>
          </a:extLst>
        </xdr:cNvPr>
        <xdr:cNvSpPr/>
      </xdr:nvSpPr>
      <xdr:spPr>
        <a:xfrm>
          <a:off x="12504569" y="812800"/>
          <a:ext cx="86225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1040</a:t>
          </a:r>
        </a:p>
      </xdr:txBody>
    </xdr:sp>
    <xdr:clientData/>
  </xdr:twoCellAnchor>
  <xdr:twoCellAnchor>
    <xdr:from>
      <xdr:col>16</xdr:col>
      <xdr:colOff>1724099</xdr:colOff>
      <xdr:row>3</xdr:row>
      <xdr:rowOff>12700</xdr:rowOff>
    </xdr:from>
    <xdr:to>
      <xdr:col>16</xdr:col>
      <xdr:colOff>2586355</xdr:colOff>
      <xdr:row>3</xdr:row>
      <xdr:rowOff>177800</xdr:rowOff>
    </xdr:to>
    <xdr:sp macro="" textlink="">
      <xdr:nvSpPr>
        <xdr:cNvPr id="178081" name="Скругленный прямоугольник 178080">
          <a:extLst>
            <a:ext uri="{FF2B5EF4-FFF2-40B4-BE49-F238E27FC236}">
              <a16:creationId xmlns:a16="http://schemas.microsoft.com/office/drawing/2014/main" id="{00000000-0008-0000-0900-0000A1B70200}"/>
            </a:ext>
          </a:extLst>
        </xdr:cNvPr>
        <xdr:cNvSpPr/>
      </xdr:nvSpPr>
      <xdr:spPr>
        <a:xfrm>
          <a:off x="13392224" y="812800"/>
          <a:ext cx="86225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1040</a:t>
          </a:r>
        </a:p>
      </xdr:txBody>
    </xdr:sp>
    <xdr:clientData/>
  </xdr:twoCellAnchor>
  <xdr:twoCellAnchor>
    <xdr:from>
      <xdr:col>16</xdr:col>
      <xdr:colOff>2611755</xdr:colOff>
      <xdr:row>3</xdr:row>
      <xdr:rowOff>12700</xdr:rowOff>
    </xdr:from>
    <xdr:to>
      <xdr:col>16</xdr:col>
      <xdr:colOff>3550827</xdr:colOff>
      <xdr:row>3</xdr:row>
      <xdr:rowOff>177800</xdr:rowOff>
    </xdr:to>
    <xdr:sp macro="" textlink="">
      <xdr:nvSpPr>
        <xdr:cNvPr id="178082" name="Скругленный прямоугольник 178081">
          <a:extLst>
            <a:ext uri="{FF2B5EF4-FFF2-40B4-BE49-F238E27FC236}">
              <a16:creationId xmlns:a16="http://schemas.microsoft.com/office/drawing/2014/main" id="{00000000-0008-0000-0900-0000A2B70200}"/>
            </a:ext>
          </a:extLst>
        </xdr:cNvPr>
        <xdr:cNvSpPr/>
      </xdr:nvSpPr>
      <xdr:spPr>
        <a:xfrm>
          <a:off x="14279880" y="812800"/>
          <a:ext cx="93907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1130</a:t>
          </a:r>
        </a:p>
      </xdr:txBody>
    </xdr:sp>
    <xdr:clientData/>
  </xdr:twoCellAnchor>
  <xdr:twoCellAnchor>
    <xdr:from>
      <xdr:col>16</xdr:col>
      <xdr:colOff>3576227</xdr:colOff>
      <xdr:row>3</xdr:row>
      <xdr:rowOff>12700</xdr:rowOff>
    </xdr:from>
    <xdr:to>
      <xdr:col>16</xdr:col>
      <xdr:colOff>4664664</xdr:colOff>
      <xdr:row>3</xdr:row>
      <xdr:rowOff>177800</xdr:rowOff>
    </xdr:to>
    <xdr:sp macro="" textlink="">
      <xdr:nvSpPr>
        <xdr:cNvPr id="178083" name="Скругленный прямоугольник 178082">
          <a:extLst>
            <a:ext uri="{FF2B5EF4-FFF2-40B4-BE49-F238E27FC236}">
              <a16:creationId xmlns:a16="http://schemas.microsoft.com/office/drawing/2014/main" id="{00000000-0008-0000-0900-0000A3B70200}"/>
            </a:ext>
          </a:extLst>
        </xdr:cNvPr>
        <xdr:cNvSpPr/>
      </xdr:nvSpPr>
      <xdr:spPr>
        <a:xfrm>
          <a:off x="15244352" y="812800"/>
          <a:ext cx="108843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1305</a:t>
          </a:r>
        </a:p>
      </xdr:txBody>
    </xdr:sp>
    <xdr:clientData/>
  </xdr:twoCellAnchor>
  <xdr:twoCellAnchor>
    <xdr:from>
      <xdr:col>16</xdr:col>
      <xdr:colOff>4690063</xdr:colOff>
      <xdr:row>3</xdr:row>
      <xdr:rowOff>12700</xdr:rowOff>
    </xdr:from>
    <xdr:to>
      <xdr:col>16</xdr:col>
      <xdr:colOff>5778500</xdr:colOff>
      <xdr:row>3</xdr:row>
      <xdr:rowOff>177800</xdr:rowOff>
    </xdr:to>
    <xdr:sp macro="" textlink="">
      <xdr:nvSpPr>
        <xdr:cNvPr id="178084" name="Скругленный прямоугольник 178083">
          <a:extLst>
            <a:ext uri="{FF2B5EF4-FFF2-40B4-BE49-F238E27FC236}">
              <a16:creationId xmlns:a16="http://schemas.microsoft.com/office/drawing/2014/main" id="{00000000-0008-0000-0900-0000A4B70200}"/>
            </a:ext>
          </a:extLst>
        </xdr:cNvPr>
        <xdr:cNvSpPr/>
      </xdr:nvSpPr>
      <xdr:spPr>
        <a:xfrm>
          <a:off x="16358188" y="812800"/>
          <a:ext cx="108843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1305</a:t>
          </a:r>
        </a:p>
      </xdr:txBody>
    </xdr:sp>
    <xdr:clientData/>
  </xdr:twoCellAnchor>
  <xdr:twoCellAnchor>
    <xdr:from>
      <xdr:col>16</xdr:col>
      <xdr:colOff>0</xdr:colOff>
      <xdr:row>4</xdr:row>
      <xdr:rowOff>12700</xdr:rowOff>
    </xdr:from>
    <xdr:to>
      <xdr:col>16</xdr:col>
      <xdr:colOff>512314</xdr:colOff>
      <xdr:row>4</xdr:row>
      <xdr:rowOff>177800</xdr:rowOff>
    </xdr:to>
    <xdr:sp macro="" textlink="">
      <xdr:nvSpPr>
        <xdr:cNvPr id="178085" name="Скругленный прямоугольник 178084">
          <a:extLst>
            <a:ext uri="{FF2B5EF4-FFF2-40B4-BE49-F238E27FC236}">
              <a16:creationId xmlns:a16="http://schemas.microsoft.com/office/drawing/2014/main" id="{00000000-0008-0000-0900-0000A5B70200}"/>
            </a:ext>
          </a:extLst>
        </xdr:cNvPr>
        <xdr:cNvSpPr/>
      </xdr:nvSpPr>
      <xdr:spPr>
        <a:xfrm>
          <a:off x="11668125" y="1003300"/>
          <a:ext cx="51231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630</a:t>
          </a:r>
        </a:p>
      </xdr:txBody>
    </xdr:sp>
    <xdr:clientData/>
  </xdr:twoCellAnchor>
  <xdr:twoCellAnchor>
    <xdr:from>
      <xdr:col>16</xdr:col>
      <xdr:colOff>537714</xdr:colOff>
      <xdr:row>4</xdr:row>
      <xdr:rowOff>12700</xdr:rowOff>
    </xdr:from>
    <xdr:to>
      <xdr:col>16</xdr:col>
      <xdr:colOff>1399970</xdr:colOff>
      <xdr:row>4</xdr:row>
      <xdr:rowOff>177800</xdr:rowOff>
    </xdr:to>
    <xdr:sp macro="" textlink="">
      <xdr:nvSpPr>
        <xdr:cNvPr id="178086" name="Скругленный прямоугольник 178085">
          <a:extLst>
            <a:ext uri="{FF2B5EF4-FFF2-40B4-BE49-F238E27FC236}">
              <a16:creationId xmlns:a16="http://schemas.microsoft.com/office/drawing/2014/main" id="{00000000-0008-0000-0900-0000A6B70200}"/>
            </a:ext>
          </a:extLst>
        </xdr:cNvPr>
        <xdr:cNvSpPr/>
      </xdr:nvSpPr>
      <xdr:spPr>
        <a:xfrm>
          <a:off x="12205839" y="1003300"/>
          <a:ext cx="86225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1040</a:t>
          </a:r>
        </a:p>
      </xdr:txBody>
    </xdr:sp>
    <xdr:clientData/>
  </xdr:twoCellAnchor>
  <xdr:twoCellAnchor>
    <xdr:from>
      <xdr:col>16</xdr:col>
      <xdr:colOff>1425369</xdr:colOff>
      <xdr:row>4</xdr:row>
      <xdr:rowOff>12700</xdr:rowOff>
    </xdr:from>
    <xdr:to>
      <xdr:col>16</xdr:col>
      <xdr:colOff>2287625</xdr:colOff>
      <xdr:row>4</xdr:row>
      <xdr:rowOff>177800</xdr:rowOff>
    </xdr:to>
    <xdr:sp macro="" textlink="">
      <xdr:nvSpPr>
        <xdr:cNvPr id="178087" name="Скругленный прямоугольник 178086">
          <a:extLst>
            <a:ext uri="{FF2B5EF4-FFF2-40B4-BE49-F238E27FC236}">
              <a16:creationId xmlns:a16="http://schemas.microsoft.com/office/drawing/2014/main" id="{00000000-0008-0000-0900-0000A7B70200}"/>
            </a:ext>
          </a:extLst>
        </xdr:cNvPr>
        <xdr:cNvSpPr/>
      </xdr:nvSpPr>
      <xdr:spPr>
        <a:xfrm>
          <a:off x="13093494" y="1003300"/>
          <a:ext cx="86225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1040</a:t>
          </a:r>
        </a:p>
      </xdr:txBody>
    </xdr:sp>
    <xdr:clientData/>
  </xdr:twoCellAnchor>
  <xdr:twoCellAnchor>
    <xdr:from>
      <xdr:col>16</xdr:col>
      <xdr:colOff>2313025</xdr:colOff>
      <xdr:row>4</xdr:row>
      <xdr:rowOff>12700</xdr:rowOff>
    </xdr:from>
    <xdr:to>
      <xdr:col>16</xdr:col>
      <xdr:colOff>3401461</xdr:colOff>
      <xdr:row>4</xdr:row>
      <xdr:rowOff>177800</xdr:rowOff>
    </xdr:to>
    <xdr:sp macro="" textlink="">
      <xdr:nvSpPr>
        <xdr:cNvPr id="178088" name="Скругленный прямоугольник 178087">
          <a:extLst>
            <a:ext uri="{FF2B5EF4-FFF2-40B4-BE49-F238E27FC236}">
              <a16:creationId xmlns:a16="http://schemas.microsoft.com/office/drawing/2014/main" id="{00000000-0008-0000-0900-0000A8B70200}"/>
            </a:ext>
          </a:extLst>
        </xdr:cNvPr>
        <xdr:cNvSpPr/>
      </xdr:nvSpPr>
      <xdr:spPr>
        <a:xfrm>
          <a:off x="13981150" y="1003300"/>
          <a:ext cx="108843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1305</a:t>
          </a:r>
        </a:p>
      </xdr:txBody>
    </xdr:sp>
    <xdr:clientData/>
  </xdr:twoCellAnchor>
  <xdr:twoCellAnchor>
    <xdr:from>
      <xdr:col>16</xdr:col>
      <xdr:colOff>3426862</xdr:colOff>
      <xdr:row>4</xdr:row>
      <xdr:rowOff>12700</xdr:rowOff>
    </xdr:from>
    <xdr:to>
      <xdr:col>16</xdr:col>
      <xdr:colOff>4515300</xdr:colOff>
      <xdr:row>4</xdr:row>
      <xdr:rowOff>177800</xdr:rowOff>
    </xdr:to>
    <xdr:sp macro="" textlink="">
      <xdr:nvSpPr>
        <xdr:cNvPr id="178089" name="Скругленный прямоугольник 178088">
          <a:extLst>
            <a:ext uri="{FF2B5EF4-FFF2-40B4-BE49-F238E27FC236}">
              <a16:creationId xmlns:a16="http://schemas.microsoft.com/office/drawing/2014/main" id="{00000000-0008-0000-0900-0000A9B70200}"/>
            </a:ext>
          </a:extLst>
        </xdr:cNvPr>
        <xdr:cNvSpPr/>
      </xdr:nvSpPr>
      <xdr:spPr>
        <a:xfrm>
          <a:off x="15094987" y="1003300"/>
          <a:ext cx="108843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1305</a:t>
          </a:r>
        </a:p>
      </xdr:txBody>
    </xdr:sp>
    <xdr:clientData/>
  </xdr:twoCellAnchor>
  <xdr:twoCellAnchor>
    <xdr:from>
      <xdr:col>16</xdr:col>
      <xdr:colOff>4540698</xdr:colOff>
      <xdr:row>4</xdr:row>
      <xdr:rowOff>12700</xdr:rowOff>
    </xdr:from>
    <xdr:to>
      <xdr:col>16</xdr:col>
      <xdr:colOff>5778500</xdr:colOff>
      <xdr:row>4</xdr:row>
      <xdr:rowOff>177800</xdr:rowOff>
    </xdr:to>
    <xdr:sp macro="" textlink="">
      <xdr:nvSpPr>
        <xdr:cNvPr id="178090" name="Скругленный прямоугольник 178089">
          <a:extLst>
            <a:ext uri="{FF2B5EF4-FFF2-40B4-BE49-F238E27FC236}">
              <a16:creationId xmlns:a16="http://schemas.microsoft.com/office/drawing/2014/main" id="{00000000-0008-0000-0900-0000AAB70200}"/>
            </a:ext>
          </a:extLst>
        </xdr:cNvPr>
        <xdr:cNvSpPr/>
      </xdr:nvSpPr>
      <xdr:spPr>
        <a:xfrm>
          <a:off x="16208823" y="1003300"/>
          <a:ext cx="123780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1480</a:t>
          </a:r>
        </a:p>
      </xdr:txBody>
    </xdr:sp>
    <xdr:clientData/>
  </xdr:twoCellAnchor>
  <xdr:twoCellAnchor>
    <xdr:from>
      <xdr:col>16</xdr:col>
      <xdr:colOff>0</xdr:colOff>
      <xdr:row>5</xdr:row>
      <xdr:rowOff>12700</xdr:rowOff>
    </xdr:from>
    <xdr:to>
      <xdr:col>16</xdr:col>
      <xdr:colOff>512314</xdr:colOff>
      <xdr:row>5</xdr:row>
      <xdr:rowOff>177800</xdr:rowOff>
    </xdr:to>
    <xdr:sp macro="" textlink="">
      <xdr:nvSpPr>
        <xdr:cNvPr id="178091" name="Скругленный прямоугольник 178090">
          <a:extLst>
            <a:ext uri="{FF2B5EF4-FFF2-40B4-BE49-F238E27FC236}">
              <a16:creationId xmlns:a16="http://schemas.microsoft.com/office/drawing/2014/main" id="{00000000-0008-0000-0900-0000ABB70200}"/>
            </a:ext>
          </a:extLst>
        </xdr:cNvPr>
        <xdr:cNvSpPr/>
      </xdr:nvSpPr>
      <xdr:spPr>
        <a:xfrm>
          <a:off x="11668125" y="1193800"/>
          <a:ext cx="51231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630</a:t>
          </a:r>
        </a:p>
      </xdr:txBody>
    </xdr:sp>
    <xdr:clientData/>
  </xdr:twoCellAnchor>
  <xdr:twoCellAnchor>
    <xdr:from>
      <xdr:col>16</xdr:col>
      <xdr:colOff>537714</xdr:colOff>
      <xdr:row>5</xdr:row>
      <xdr:rowOff>12700</xdr:rowOff>
    </xdr:from>
    <xdr:to>
      <xdr:col>16</xdr:col>
      <xdr:colOff>1399970</xdr:colOff>
      <xdr:row>5</xdr:row>
      <xdr:rowOff>177800</xdr:rowOff>
    </xdr:to>
    <xdr:sp macro="" textlink="">
      <xdr:nvSpPr>
        <xdr:cNvPr id="178092" name="Скругленный прямоугольник 178091">
          <a:extLst>
            <a:ext uri="{FF2B5EF4-FFF2-40B4-BE49-F238E27FC236}">
              <a16:creationId xmlns:a16="http://schemas.microsoft.com/office/drawing/2014/main" id="{00000000-0008-0000-0900-0000ACB70200}"/>
            </a:ext>
          </a:extLst>
        </xdr:cNvPr>
        <xdr:cNvSpPr/>
      </xdr:nvSpPr>
      <xdr:spPr>
        <a:xfrm>
          <a:off x="12205839" y="1193800"/>
          <a:ext cx="86225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1040</a:t>
          </a:r>
        </a:p>
      </xdr:txBody>
    </xdr:sp>
    <xdr:clientData/>
  </xdr:twoCellAnchor>
  <xdr:twoCellAnchor>
    <xdr:from>
      <xdr:col>16</xdr:col>
      <xdr:colOff>1425369</xdr:colOff>
      <xdr:row>5</xdr:row>
      <xdr:rowOff>12700</xdr:rowOff>
    </xdr:from>
    <xdr:to>
      <xdr:col>16</xdr:col>
      <xdr:colOff>2287625</xdr:colOff>
      <xdr:row>5</xdr:row>
      <xdr:rowOff>177800</xdr:rowOff>
    </xdr:to>
    <xdr:sp macro="" textlink="">
      <xdr:nvSpPr>
        <xdr:cNvPr id="178093" name="Скругленный прямоугольник 178092">
          <a:extLst>
            <a:ext uri="{FF2B5EF4-FFF2-40B4-BE49-F238E27FC236}">
              <a16:creationId xmlns:a16="http://schemas.microsoft.com/office/drawing/2014/main" id="{00000000-0008-0000-0900-0000ADB70200}"/>
            </a:ext>
          </a:extLst>
        </xdr:cNvPr>
        <xdr:cNvSpPr/>
      </xdr:nvSpPr>
      <xdr:spPr>
        <a:xfrm>
          <a:off x="13093494" y="1193800"/>
          <a:ext cx="86225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1040</a:t>
          </a:r>
        </a:p>
      </xdr:txBody>
    </xdr:sp>
    <xdr:clientData/>
  </xdr:twoCellAnchor>
  <xdr:twoCellAnchor>
    <xdr:from>
      <xdr:col>16</xdr:col>
      <xdr:colOff>2313025</xdr:colOff>
      <xdr:row>5</xdr:row>
      <xdr:rowOff>12700</xdr:rowOff>
    </xdr:from>
    <xdr:to>
      <xdr:col>16</xdr:col>
      <xdr:colOff>3252096</xdr:colOff>
      <xdr:row>5</xdr:row>
      <xdr:rowOff>177800</xdr:rowOff>
    </xdr:to>
    <xdr:sp macro="" textlink="">
      <xdr:nvSpPr>
        <xdr:cNvPr id="178094" name="Скругленный прямоугольник 178093">
          <a:extLst>
            <a:ext uri="{FF2B5EF4-FFF2-40B4-BE49-F238E27FC236}">
              <a16:creationId xmlns:a16="http://schemas.microsoft.com/office/drawing/2014/main" id="{00000000-0008-0000-0900-0000AEB70200}"/>
            </a:ext>
          </a:extLst>
        </xdr:cNvPr>
        <xdr:cNvSpPr/>
      </xdr:nvSpPr>
      <xdr:spPr>
        <a:xfrm>
          <a:off x="13981150" y="1193800"/>
          <a:ext cx="93907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1130</a:t>
          </a:r>
        </a:p>
      </xdr:txBody>
    </xdr:sp>
    <xdr:clientData/>
  </xdr:twoCellAnchor>
  <xdr:twoCellAnchor>
    <xdr:from>
      <xdr:col>16</xdr:col>
      <xdr:colOff>3277496</xdr:colOff>
      <xdr:row>5</xdr:row>
      <xdr:rowOff>12700</xdr:rowOff>
    </xdr:from>
    <xdr:to>
      <xdr:col>16</xdr:col>
      <xdr:colOff>4515298</xdr:colOff>
      <xdr:row>5</xdr:row>
      <xdr:rowOff>177800</xdr:rowOff>
    </xdr:to>
    <xdr:sp macro="" textlink="">
      <xdr:nvSpPr>
        <xdr:cNvPr id="178095" name="Скругленный прямоугольник 178094">
          <a:extLst>
            <a:ext uri="{FF2B5EF4-FFF2-40B4-BE49-F238E27FC236}">
              <a16:creationId xmlns:a16="http://schemas.microsoft.com/office/drawing/2014/main" id="{00000000-0008-0000-0900-0000AFB70200}"/>
            </a:ext>
          </a:extLst>
        </xdr:cNvPr>
        <xdr:cNvSpPr/>
      </xdr:nvSpPr>
      <xdr:spPr>
        <a:xfrm>
          <a:off x="14945621" y="1193800"/>
          <a:ext cx="123780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1480</a:t>
          </a:r>
        </a:p>
      </xdr:txBody>
    </xdr:sp>
    <xdr:clientData/>
  </xdr:twoCellAnchor>
  <xdr:twoCellAnchor>
    <xdr:from>
      <xdr:col>16</xdr:col>
      <xdr:colOff>4540698</xdr:colOff>
      <xdr:row>5</xdr:row>
      <xdr:rowOff>12700</xdr:rowOff>
    </xdr:from>
    <xdr:to>
      <xdr:col>16</xdr:col>
      <xdr:colOff>5778500</xdr:colOff>
      <xdr:row>5</xdr:row>
      <xdr:rowOff>177800</xdr:rowOff>
    </xdr:to>
    <xdr:sp macro="" textlink="">
      <xdr:nvSpPr>
        <xdr:cNvPr id="178096" name="Скругленный прямоугольник 178095">
          <a:extLst>
            <a:ext uri="{FF2B5EF4-FFF2-40B4-BE49-F238E27FC236}">
              <a16:creationId xmlns:a16="http://schemas.microsoft.com/office/drawing/2014/main" id="{00000000-0008-0000-0900-0000B0B70200}"/>
            </a:ext>
          </a:extLst>
        </xdr:cNvPr>
        <xdr:cNvSpPr/>
      </xdr:nvSpPr>
      <xdr:spPr>
        <a:xfrm>
          <a:off x="16208823" y="1193800"/>
          <a:ext cx="123780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1480</a:t>
          </a:r>
        </a:p>
      </xdr:txBody>
    </xdr:sp>
    <xdr:clientData/>
  </xdr:twoCellAnchor>
  <xdr:twoCellAnchor>
    <xdr:from>
      <xdr:col>16</xdr:col>
      <xdr:colOff>0</xdr:colOff>
      <xdr:row>6</xdr:row>
      <xdr:rowOff>12700</xdr:rowOff>
    </xdr:from>
    <xdr:to>
      <xdr:col>16</xdr:col>
      <xdr:colOff>1067099</xdr:colOff>
      <xdr:row>6</xdr:row>
      <xdr:rowOff>177800</xdr:rowOff>
    </xdr:to>
    <xdr:sp macro="" textlink="">
      <xdr:nvSpPr>
        <xdr:cNvPr id="178097" name="Скругленный прямоугольник 178096">
          <a:extLst>
            <a:ext uri="{FF2B5EF4-FFF2-40B4-BE49-F238E27FC236}">
              <a16:creationId xmlns:a16="http://schemas.microsoft.com/office/drawing/2014/main" id="{00000000-0008-0000-0900-0000B1B70200}"/>
            </a:ext>
          </a:extLst>
        </xdr:cNvPr>
        <xdr:cNvSpPr/>
      </xdr:nvSpPr>
      <xdr:spPr>
        <a:xfrm>
          <a:off x="11668125" y="1384300"/>
          <a:ext cx="106709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1280</a:t>
          </a:r>
        </a:p>
      </xdr:txBody>
    </xdr:sp>
    <xdr:clientData/>
  </xdr:twoCellAnchor>
  <xdr:twoCellAnchor>
    <xdr:from>
      <xdr:col>16</xdr:col>
      <xdr:colOff>1092499</xdr:colOff>
      <xdr:row>6</xdr:row>
      <xdr:rowOff>12700</xdr:rowOff>
    </xdr:from>
    <xdr:to>
      <xdr:col>16</xdr:col>
      <xdr:colOff>2159598</xdr:colOff>
      <xdr:row>6</xdr:row>
      <xdr:rowOff>177800</xdr:rowOff>
    </xdr:to>
    <xdr:sp macro="" textlink="">
      <xdr:nvSpPr>
        <xdr:cNvPr id="178098" name="Скругленный прямоугольник 178097">
          <a:extLst>
            <a:ext uri="{FF2B5EF4-FFF2-40B4-BE49-F238E27FC236}">
              <a16:creationId xmlns:a16="http://schemas.microsoft.com/office/drawing/2014/main" id="{00000000-0008-0000-0900-0000B2B70200}"/>
            </a:ext>
          </a:extLst>
        </xdr:cNvPr>
        <xdr:cNvSpPr/>
      </xdr:nvSpPr>
      <xdr:spPr>
        <a:xfrm>
          <a:off x="12760624" y="1384300"/>
          <a:ext cx="106709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1280</a:t>
          </a:r>
        </a:p>
      </xdr:txBody>
    </xdr:sp>
    <xdr:clientData/>
  </xdr:twoCellAnchor>
  <xdr:twoCellAnchor>
    <xdr:from>
      <xdr:col>16</xdr:col>
      <xdr:colOff>2184998</xdr:colOff>
      <xdr:row>6</xdr:row>
      <xdr:rowOff>12700</xdr:rowOff>
    </xdr:from>
    <xdr:to>
      <xdr:col>16</xdr:col>
      <xdr:colOff>3252098</xdr:colOff>
      <xdr:row>6</xdr:row>
      <xdr:rowOff>177800</xdr:rowOff>
    </xdr:to>
    <xdr:sp macro="" textlink="">
      <xdr:nvSpPr>
        <xdr:cNvPr id="178099" name="Скругленный прямоугольник 178098">
          <a:extLst>
            <a:ext uri="{FF2B5EF4-FFF2-40B4-BE49-F238E27FC236}">
              <a16:creationId xmlns:a16="http://schemas.microsoft.com/office/drawing/2014/main" id="{00000000-0008-0000-0900-0000B3B70200}"/>
            </a:ext>
          </a:extLst>
        </xdr:cNvPr>
        <xdr:cNvSpPr/>
      </xdr:nvSpPr>
      <xdr:spPr>
        <a:xfrm>
          <a:off x="13853123" y="1384300"/>
          <a:ext cx="106710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1280</a:t>
          </a:r>
        </a:p>
      </xdr:txBody>
    </xdr:sp>
    <xdr:clientData/>
  </xdr:twoCellAnchor>
  <xdr:twoCellAnchor>
    <xdr:from>
      <xdr:col>16</xdr:col>
      <xdr:colOff>3277496</xdr:colOff>
      <xdr:row>6</xdr:row>
      <xdr:rowOff>12700</xdr:rowOff>
    </xdr:from>
    <xdr:to>
      <xdr:col>16</xdr:col>
      <xdr:colOff>4515298</xdr:colOff>
      <xdr:row>6</xdr:row>
      <xdr:rowOff>177800</xdr:rowOff>
    </xdr:to>
    <xdr:sp macro="" textlink="">
      <xdr:nvSpPr>
        <xdr:cNvPr id="178100" name="Скругленный прямоугольник 178099">
          <a:extLst>
            <a:ext uri="{FF2B5EF4-FFF2-40B4-BE49-F238E27FC236}">
              <a16:creationId xmlns:a16="http://schemas.microsoft.com/office/drawing/2014/main" id="{00000000-0008-0000-0900-0000B4B70200}"/>
            </a:ext>
          </a:extLst>
        </xdr:cNvPr>
        <xdr:cNvSpPr/>
      </xdr:nvSpPr>
      <xdr:spPr>
        <a:xfrm>
          <a:off x="14945621" y="1384300"/>
          <a:ext cx="123780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1480</a:t>
          </a:r>
        </a:p>
      </xdr:txBody>
    </xdr:sp>
    <xdr:clientData/>
  </xdr:twoCellAnchor>
  <xdr:twoCellAnchor>
    <xdr:from>
      <xdr:col>16</xdr:col>
      <xdr:colOff>4540698</xdr:colOff>
      <xdr:row>6</xdr:row>
      <xdr:rowOff>12700</xdr:rowOff>
    </xdr:from>
    <xdr:to>
      <xdr:col>16</xdr:col>
      <xdr:colOff>5778500</xdr:colOff>
      <xdr:row>6</xdr:row>
      <xdr:rowOff>177800</xdr:rowOff>
    </xdr:to>
    <xdr:sp macro="" textlink="">
      <xdr:nvSpPr>
        <xdr:cNvPr id="178101" name="Скругленный прямоугольник 178100">
          <a:extLst>
            <a:ext uri="{FF2B5EF4-FFF2-40B4-BE49-F238E27FC236}">
              <a16:creationId xmlns:a16="http://schemas.microsoft.com/office/drawing/2014/main" id="{00000000-0008-0000-0900-0000B5B70200}"/>
            </a:ext>
          </a:extLst>
        </xdr:cNvPr>
        <xdr:cNvSpPr/>
      </xdr:nvSpPr>
      <xdr:spPr>
        <a:xfrm>
          <a:off x="16208823" y="1384300"/>
          <a:ext cx="123780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1480</a:t>
          </a:r>
        </a:p>
      </xdr:txBody>
    </xdr:sp>
    <xdr:clientData/>
  </xdr:twoCellAnchor>
  <xdr:twoCellAnchor>
    <xdr:from>
      <xdr:col>16</xdr:col>
      <xdr:colOff>0</xdr:colOff>
      <xdr:row>7</xdr:row>
      <xdr:rowOff>12700</xdr:rowOff>
    </xdr:from>
    <xdr:to>
      <xdr:col>16</xdr:col>
      <xdr:colOff>768369</xdr:colOff>
      <xdr:row>7</xdr:row>
      <xdr:rowOff>177800</xdr:rowOff>
    </xdr:to>
    <xdr:sp macro="" textlink="">
      <xdr:nvSpPr>
        <xdr:cNvPr id="178102" name="Скругленный прямоугольник 178101">
          <a:extLst>
            <a:ext uri="{FF2B5EF4-FFF2-40B4-BE49-F238E27FC236}">
              <a16:creationId xmlns:a16="http://schemas.microsoft.com/office/drawing/2014/main" id="{00000000-0008-0000-0900-0000B6B70200}"/>
            </a:ext>
          </a:extLst>
        </xdr:cNvPr>
        <xdr:cNvSpPr/>
      </xdr:nvSpPr>
      <xdr:spPr>
        <a:xfrm>
          <a:off x="11668125" y="1574800"/>
          <a:ext cx="76836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930</a:t>
          </a:r>
        </a:p>
      </xdr:txBody>
    </xdr:sp>
    <xdr:clientData/>
  </xdr:twoCellAnchor>
  <xdr:twoCellAnchor>
    <xdr:from>
      <xdr:col>16</xdr:col>
      <xdr:colOff>793769</xdr:colOff>
      <xdr:row>7</xdr:row>
      <xdr:rowOff>12700</xdr:rowOff>
    </xdr:from>
    <xdr:to>
      <xdr:col>16</xdr:col>
      <xdr:colOff>1656024</xdr:colOff>
      <xdr:row>7</xdr:row>
      <xdr:rowOff>177800</xdr:rowOff>
    </xdr:to>
    <xdr:sp macro="" textlink="">
      <xdr:nvSpPr>
        <xdr:cNvPr id="178103" name="Скругленный прямоугольник 178102">
          <a:extLst>
            <a:ext uri="{FF2B5EF4-FFF2-40B4-BE49-F238E27FC236}">
              <a16:creationId xmlns:a16="http://schemas.microsoft.com/office/drawing/2014/main" id="{00000000-0008-0000-0900-0000B7B70200}"/>
            </a:ext>
          </a:extLst>
        </xdr:cNvPr>
        <xdr:cNvSpPr/>
      </xdr:nvSpPr>
      <xdr:spPr>
        <a:xfrm>
          <a:off x="12461894" y="1574800"/>
          <a:ext cx="86225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1040</a:t>
          </a:r>
        </a:p>
      </xdr:txBody>
    </xdr:sp>
    <xdr:clientData/>
  </xdr:twoCellAnchor>
  <xdr:twoCellAnchor>
    <xdr:from>
      <xdr:col>16</xdr:col>
      <xdr:colOff>1681424</xdr:colOff>
      <xdr:row>7</xdr:row>
      <xdr:rowOff>12700</xdr:rowOff>
    </xdr:from>
    <xdr:to>
      <xdr:col>16</xdr:col>
      <xdr:colOff>2543680</xdr:colOff>
      <xdr:row>7</xdr:row>
      <xdr:rowOff>177800</xdr:rowOff>
    </xdr:to>
    <xdr:sp macro="" textlink="">
      <xdr:nvSpPr>
        <xdr:cNvPr id="178104" name="Скругленный прямоугольник 178103">
          <a:extLst>
            <a:ext uri="{FF2B5EF4-FFF2-40B4-BE49-F238E27FC236}">
              <a16:creationId xmlns:a16="http://schemas.microsoft.com/office/drawing/2014/main" id="{00000000-0008-0000-0900-0000B8B70200}"/>
            </a:ext>
          </a:extLst>
        </xdr:cNvPr>
        <xdr:cNvSpPr/>
      </xdr:nvSpPr>
      <xdr:spPr>
        <a:xfrm>
          <a:off x="13349549" y="1574800"/>
          <a:ext cx="86225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1040</a:t>
          </a:r>
        </a:p>
      </xdr:txBody>
    </xdr:sp>
    <xdr:clientData/>
  </xdr:twoCellAnchor>
  <xdr:twoCellAnchor>
    <xdr:from>
      <xdr:col>16</xdr:col>
      <xdr:colOff>2569079</xdr:colOff>
      <xdr:row>7</xdr:row>
      <xdr:rowOff>12700</xdr:rowOff>
    </xdr:from>
    <xdr:to>
      <xdr:col>16</xdr:col>
      <xdr:colOff>3431335</xdr:colOff>
      <xdr:row>7</xdr:row>
      <xdr:rowOff>177800</xdr:rowOff>
    </xdr:to>
    <xdr:sp macro="" textlink="">
      <xdr:nvSpPr>
        <xdr:cNvPr id="178105" name="Скругленный прямоугольник 178104">
          <a:extLst>
            <a:ext uri="{FF2B5EF4-FFF2-40B4-BE49-F238E27FC236}">
              <a16:creationId xmlns:a16="http://schemas.microsoft.com/office/drawing/2014/main" id="{00000000-0008-0000-0900-0000B9B70200}"/>
            </a:ext>
          </a:extLst>
        </xdr:cNvPr>
        <xdr:cNvSpPr/>
      </xdr:nvSpPr>
      <xdr:spPr>
        <a:xfrm>
          <a:off x="14237204" y="1574800"/>
          <a:ext cx="86225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1040</a:t>
          </a:r>
        </a:p>
      </xdr:txBody>
    </xdr:sp>
    <xdr:clientData/>
  </xdr:twoCellAnchor>
  <xdr:twoCellAnchor>
    <xdr:from>
      <xdr:col>16</xdr:col>
      <xdr:colOff>3456735</xdr:colOff>
      <xdr:row>7</xdr:row>
      <xdr:rowOff>12700</xdr:rowOff>
    </xdr:from>
    <xdr:to>
      <xdr:col>16</xdr:col>
      <xdr:colOff>4318991</xdr:colOff>
      <xdr:row>7</xdr:row>
      <xdr:rowOff>177800</xdr:rowOff>
    </xdr:to>
    <xdr:sp macro="" textlink="">
      <xdr:nvSpPr>
        <xdr:cNvPr id="178106" name="Скругленный прямоугольник 178105">
          <a:extLst>
            <a:ext uri="{FF2B5EF4-FFF2-40B4-BE49-F238E27FC236}">
              <a16:creationId xmlns:a16="http://schemas.microsoft.com/office/drawing/2014/main" id="{00000000-0008-0000-0900-0000BAB70200}"/>
            </a:ext>
          </a:extLst>
        </xdr:cNvPr>
        <xdr:cNvSpPr/>
      </xdr:nvSpPr>
      <xdr:spPr>
        <a:xfrm>
          <a:off x="15124860" y="1574800"/>
          <a:ext cx="86225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1040</a:t>
          </a:r>
        </a:p>
      </xdr:txBody>
    </xdr:sp>
    <xdr:clientData/>
  </xdr:twoCellAnchor>
  <xdr:twoCellAnchor>
    <xdr:from>
      <xdr:col>16</xdr:col>
      <xdr:colOff>4344389</xdr:colOff>
      <xdr:row>7</xdr:row>
      <xdr:rowOff>12700</xdr:rowOff>
    </xdr:from>
    <xdr:to>
      <xdr:col>16</xdr:col>
      <xdr:colOff>5774232</xdr:colOff>
      <xdr:row>7</xdr:row>
      <xdr:rowOff>177800</xdr:rowOff>
    </xdr:to>
    <xdr:sp macro="" textlink="">
      <xdr:nvSpPr>
        <xdr:cNvPr id="178107" name="Скругленный прямоугольник 178106">
          <a:extLst>
            <a:ext uri="{FF2B5EF4-FFF2-40B4-BE49-F238E27FC236}">
              <a16:creationId xmlns:a16="http://schemas.microsoft.com/office/drawing/2014/main" id="{00000000-0008-0000-0900-0000BBB70200}"/>
            </a:ext>
          </a:extLst>
        </xdr:cNvPr>
        <xdr:cNvSpPr/>
      </xdr:nvSpPr>
      <xdr:spPr>
        <a:xfrm>
          <a:off x="16012514" y="1574800"/>
          <a:ext cx="142984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1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1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1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1705</a:t>
          </a:r>
        </a:p>
      </xdr:txBody>
    </xdr:sp>
    <xdr:clientData/>
  </xdr:twoCellAnchor>
  <xdr:twoCellAnchor>
    <xdr:from>
      <xdr:col>16</xdr:col>
      <xdr:colOff>0</xdr:colOff>
      <xdr:row>8</xdr:row>
      <xdr:rowOff>12700</xdr:rowOff>
    </xdr:from>
    <xdr:to>
      <xdr:col>16</xdr:col>
      <xdr:colOff>554990</xdr:colOff>
      <xdr:row>8</xdr:row>
      <xdr:rowOff>177800</xdr:rowOff>
    </xdr:to>
    <xdr:sp macro="" textlink="">
      <xdr:nvSpPr>
        <xdr:cNvPr id="178108" name="Скругленный прямоугольник 178107">
          <a:extLst>
            <a:ext uri="{FF2B5EF4-FFF2-40B4-BE49-F238E27FC236}">
              <a16:creationId xmlns:a16="http://schemas.microsoft.com/office/drawing/2014/main" id="{00000000-0008-0000-0900-0000BCB70200}"/>
            </a:ext>
          </a:extLst>
        </xdr:cNvPr>
        <xdr:cNvSpPr/>
      </xdr:nvSpPr>
      <xdr:spPr>
        <a:xfrm>
          <a:off x="11668125" y="1765300"/>
          <a:ext cx="55499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680</a:t>
          </a:r>
        </a:p>
      </xdr:txBody>
    </xdr:sp>
    <xdr:clientData/>
  </xdr:twoCellAnchor>
  <xdr:twoCellAnchor>
    <xdr:from>
      <xdr:col>16</xdr:col>
      <xdr:colOff>580390</xdr:colOff>
      <xdr:row>8</xdr:row>
      <xdr:rowOff>12700</xdr:rowOff>
    </xdr:from>
    <xdr:to>
      <xdr:col>16</xdr:col>
      <xdr:colOff>1135380</xdr:colOff>
      <xdr:row>8</xdr:row>
      <xdr:rowOff>177800</xdr:rowOff>
    </xdr:to>
    <xdr:sp macro="" textlink="">
      <xdr:nvSpPr>
        <xdr:cNvPr id="178109" name="Скругленный прямоугольник 178108">
          <a:extLst>
            <a:ext uri="{FF2B5EF4-FFF2-40B4-BE49-F238E27FC236}">
              <a16:creationId xmlns:a16="http://schemas.microsoft.com/office/drawing/2014/main" id="{00000000-0008-0000-0900-0000BDB70200}"/>
            </a:ext>
          </a:extLst>
        </xdr:cNvPr>
        <xdr:cNvSpPr/>
      </xdr:nvSpPr>
      <xdr:spPr>
        <a:xfrm>
          <a:off x="12248515" y="1765300"/>
          <a:ext cx="55499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680</a:t>
          </a:r>
        </a:p>
      </xdr:txBody>
    </xdr:sp>
    <xdr:clientData/>
  </xdr:twoCellAnchor>
  <xdr:twoCellAnchor>
    <xdr:from>
      <xdr:col>16</xdr:col>
      <xdr:colOff>1160780</xdr:colOff>
      <xdr:row>8</xdr:row>
      <xdr:rowOff>12700</xdr:rowOff>
    </xdr:from>
    <xdr:to>
      <xdr:col>16</xdr:col>
      <xdr:colOff>1715770</xdr:colOff>
      <xdr:row>8</xdr:row>
      <xdr:rowOff>177800</xdr:rowOff>
    </xdr:to>
    <xdr:sp macro="" textlink="">
      <xdr:nvSpPr>
        <xdr:cNvPr id="178110" name="Скругленный прямоугольник 178109">
          <a:extLst>
            <a:ext uri="{FF2B5EF4-FFF2-40B4-BE49-F238E27FC236}">
              <a16:creationId xmlns:a16="http://schemas.microsoft.com/office/drawing/2014/main" id="{00000000-0008-0000-0900-0000BEB70200}"/>
            </a:ext>
          </a:extLst>
        </xdr:cNvPr>
        <xdr:cNvSpPr/>
      </xdr:nvSpPr>
      <xdr:spPr>
        <a:xfrm>
          <a:off x="12828905" y="1765300"/>
          <a:ext cx="55499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680</a:t>
          </a:r>
        </a:p>
      </xdr:txBody>
    </xdr:sp>
    <xdr:clientData/>
  </xdr:twoCellAnchor>
  <xdr:twoCellAnchor>
    <xdr:from>
      <xdr:col>16</xdr:col>
      <xdr:colOff>1741170</xdr:colOff>
      <xdr:row>8</xdr:row>
      <xdr:rowOff>12700</xdr:rowOff>
    </xdr:from>
    <xdr:to>
      <xdr:col>16</xdr:col>
      <xdr:colOff>2509538</xdr:colOff>
      <xdr:row>8</xdr:row>
      <xdr:rowOff>177800</xdr:rowOff>
    </xdr:to>
    <xdr:sp macro="" textlink="">
      <xdr:nvSpPr>
        <xdr:cNvPr id="178111" name="Скругленный прямоугольник 178110">
          <a:extLst>
            <a:ext uri="{FF2B5EF4-FFF2-40B4-BE49-F238E27FC236}">
              <a16:creationId xmlns:a16="http://schemas.microsoft.com/office/drawing/2014/main" id="{00000000-0008-0000-0900-0000BFB70200}"/>
            </a:ext>
          </a:extLst>
        </xdr:cNvPr>
        <xdr:cNvSpPr/>
      </xdr:nvSpPr>
      <xdr:spPr>
        <a:xfrm>
          <a:off x="13409295" y="1765300"/>
          <a:ext cx="76836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930</a:t>
          </a:r>
        </a:p>
      </xdr:txBody>
    </xdr:sp>
    <xdr:clientData/>
  </xdr:twoCellAnchor>
  <xdr:twoCellAnchor>
    <xdr:from>
      <xdr:col>16</xdr:col>
      <xdr:colOff>2534938</xdr:colOff>
      <xdr:row>8</xdr:row>
      <xdr:rowOff>12700</xdr:rowOff>
    </xdr:from>
    <xdr:to>
      <xdr:col>16</xdr:col>
      <xdr:colOff>3397194</xdr:colOff>
      <xdr:row>8</xdr:row>
      <xdr:rowOff>177800</xdr:rowOff>
    </xdr:to>
    <xdr:sp macro="" textlink="">
      <xdr:nvSpPr>
        <xdr:cNvPr id="178112" name="Скругленный прямоугольник 178111">
          <a:extLst>
            <a:ext uri="{FF2B5EF4-FFF2-40B4-BE49-F238E27FC236}">
              <a16:creationId xmlns:a16="http://schemas.microsoft.com/office/drawing/2014/main" id="{00000000-0008-0000-0900-0000C0B70200}"/>
            </a:ext>
          </a:extLst>
        </xdr:cNvPr>
        <xdr:cNvSpPr/>
      </xdr:nvSpPr>
      <xdr:spPr>
        <a:xfrm>
          <a:off x="14203063" y="1765300"/>
          <a:ext cx="86225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1040</a:t>
          </a:r>
        </a:p>
      </xdr:txBody>
    </xdr:sp>
    <xdr:clientData/>
  </xdr:twoCellAnchor>
  <xdr:twoCellAnchor>
    <xdr:from>
      <xdr:col>16</xdr:col>
      <xdr:colOff>3422594</xdr:colOff>
      <xdr:row>8</xdr:row>
      <xdr:rowOff>12700</xdr:rowOff>
    </xdr:from>
    <xdr:to>
      <xdr:col>16</xdr:col>
      <xdr:colOff>4511030</xdr:colOff>
      <xdr:row>8</xdr:row>
      <xdr:rowOff>177800</xdr:rowOff>
    </xdr:to>
    <xdr:sp macro="" textlink="">
      <xdr:nvSpPr>
        <xdr:cNvPr id="178113" name="Скругленный прямоугольник 178112">
          <a:extLst>
            <a:ext uri="{FF2B5EF4-FFF2-40B4-BE49-F238E27FC236}">
              <a16:creationId xmlns:a16="http://schemas.microsoft.com/office/drawing/2014/main" id="{00000000-0008-0000-0900-0000C1B70200}"/>
            </a:ext>
          </a:extLst>
        </xdr:cNvPr>
        <xdr:cNvSpPr/>
      </xdr:nvSpPr>
      <xdr:spPr>
        <a:xfrm>
          <a:off x="15090719" y="1765300"/>
          <a:ext cx="108843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1305</a:t>
          </a:r>
        </a:p>
      </xdr:txBody>
    </xdr:sp>
    <xdr:clientData/>
  </xdr:twoCellAnchor>
  <xdr:twoCellAnchor>
    <xdr:from>
      <xdr:col>16</xdr:col>
      <xdr:colOff>4536430</xdr:colOff>
      <xdr:row>8</xdr:row>
      <xdr:rowOff>12700</xdr:rowOff>
    </xdr:from>
    <xdr:to>
      <xdr:col>16</xdr:col>
      <xdr:colOff>5774232</xdr:colOff>
      <xdr:row>8</xdr:row>
      <xdr:rowOff>177800</xdr:rowOff>
    </xdr:to>
    <xdr:sp macro="" textlink="">
      <xdr:nvSpPr>
        <xdr:cNvPr id="178114" name="Скругленный прямоугольник 178113">
          <a:extLst>
            <a:ext uri="{FF2B5EF4-FFF2-40B4-BE49-F238E27FC236}">
              <a16:creationId xmlns:a16="http://schemas.microsoft.com/office/drawing/2014/main" id="{00000000-0008-0000-0900-0000C2B70200}"/>
            </a:ext>
          </a:extLst>
        </xdr:cNvPr>
        <xdr:cNvSpPr/>
      </xdr:nvSpPr>
      <xdr:spPr>
        <a:xfrm>
          <a:off x="16204555" y="1765300"/>
          <a:ext cx="123780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1480</a:t>
          </a:r>
        </a:p>
      </xdr:txBody>
    </xdr:sp>
    <xdr:clientData/>
  </xdr:twoCellAnchor>
  <xdr:twoCellAnchor>
    <xdr:from>
      <xdr:col>16</xdr:col>
      <xdr:colOff>0</xdr:colOff>
      <xdr:row>9</xdr:row>
      <xdr:rowOff>12700</xdr:rowOff>
    </xdr:from>
    <xdr:to>
      <xdr:col>16</xdr:col>
      <xdr:colOff>862255</xdr:colOff>
      <xdr:row>9</xdr:row>
      <xdr:rowOff>177800</xdr:rowOff>
    </xdr:to>
    <xdr:sp macro="" textlink="">
      <xdr:nvSpPr>
        <xdr:cNvPr id="178115" name="Скругленный прямоугольник 178114">
          <a:extLst>
            <a:ext uri="{FF2B5EF4-FFF2-40B4-BE49-F238E27FC236}">
              <a16:creationId xmlns:a16="http://schemas.microsoft.com/office/drawing/2014/main" id="{00000000-0008-0000-0900-0000C3B70200}"/>
            </a:ext>
          </a:extLst>
        </xdr:cNvPr>
        <xdr:cNvSpPr/>
      </xdr:nvSpPr>
      <xdr:spPr>
        <a:xfrm>
          <a:off x="11668125" y="1955800"/>
          <a:ext cx="86225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1040</a:t>
          </a:r>
        </a:p>
      </xdr:txBody>
    </xdr:sp>
    <xdr:clientData/>
  </xdr:twoCellAnchor>
  <xdr:twoCellAnchor>
    <xdr:from>
      <xdr:col>16</xdr:col>
      <xdr:colOff>887655</xdr:colOff>
      <xdr:row>9</xdr:row>
      <xdr:rowOff>12700</xdr:rowOff>
    </xdr:from>
    <xdr:to>
      <xdr:col>16</xdr:col>
      <xdr:colOff>1749910</xdr:colOff>
      <xdr:row>9</xdr:row>
      <xdr:rowOff>177800</xdr:rowOff>
    </xdr:to>
    <xdr:sp macro="" textlink="">
      <xdr:nvSpPr>
        <xdr:cNvPr id="178116" name="Скругленный прямоугольник 178115">
          <a:extLst>
            <a:ext uri="{FF2B5EF4-FFF2-40B4-BE49-F238E27FC236}">
              <a16:creationId xmlns:a16="http://schemas.microsoft.com/office/drawing/2014/main" id="{00000000-0008-0000-0900-0000C4B70200}"/>
            </a:ext>
          </a:extLst>
        </xdr:cNvPr>
        <xdr:cNvSpPr/>
      </xdr:nvSpPr>
      <xdr:spPr>
        <a:xfrm>
          <a:off x="12555780" y="1955800"/>
          <a:ext cx="86225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1040</a:t>
          </a:r>
        </a:p>
      </xdr:txBody>
    </xdr:sp>
    <xdr:clientData/>
  </xdr:twoCellAnchor>
  <xdr:twoCellAnchor>
    <xdr:from>
      <xdr:col>16</xdr:col>
      <xdr:colOff>1775310</xdr:colOff>
      <xdr:row>9</xdr:row>
      <xdr:rowOff>12700</xdr:rowOff>
    </xdr:from>
    <xdr:to>
      <xdr:col>16</xdr:col>
      <xdr:colOff>2863748</xdr:colOff>
      <xdr:row>9</xdr:row>
      <xdr:rowOff>177800</xdr:rowOff>
    </xdr:to>
    <xdr:sp macro="" textlink="">
      <xdr:nvSpPr>
        <xdr:cNvPr id="178117" name="Скругленный прямоугольник 178116">
          <a:extLst>
            <a:ext uri="{FF2B5EF4-FFF2-40B4-BE49-F238E27FC236}">
              <a16:creationId xmlns:a16="http://schemas.microsoft.com/office/drawing/2014/main" id="{00000000-0008-0000-0900-0000C5B70200}"/>
            </a:ext>
          </a:extLst>
        </xdr:cNvPr>
        <xdr:cNvSpPr/>
      </xdr:nvSpPr>
      <xdr:spPr>
        <a:xfrm>
          <a:off x="13443435" y="1955800"/>
          <a:ext cx="108843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1305</a:t>
          </a:r>
        </a:p>
      </xdr:txBody>
    </xdr:sp>
    <xdr:clientData/>
  </xdr:twoCellAnchor>
  <xdr:twoCellAnchor>
    <xdr:from>
      <xdr:col>16</xdr:col>
      <xdr:colOff>2889148</xdr:colOff>
      <xdr:row>9</xdr:row>
      <xdr:rowOff>12700</xdr:rowOff>
    </xdr:from>
    <xdr:to>
      <xdr:col>16</xdr:col>
      <xdr:colOff>4318991</xdr:colOff>
      <xdr:row>9</xdr:row>
      <xdr:rowOff>177800</xdr:rowOff>
    </xdr:to>
    <xdr:sp macro="" textlink="">
      <xdr:nvSpPr>
        <xdr:cNvPr id="178118" name="Скругленный прямоугольник 178117">
          <a:extLst>
            <a:ext uri="{FF2B5EF4-FFF2-40B4-BE49-F238E27FC236}">
              <a16:creationId xmlns:a16="http://schemas.microsoft.com/office/drawing/2014/main" id="{00000000-0008-0000-0900-0000C6B70200}"/>
            </a:ext>
          </a:extLst>
        </xdr:cNvPr>
        <xdr:cNvSpPr/>
      </xdr:nvSpPr>
      <xdr:spPr>
        <a:xfrm>
          <a:off x="14557273" y="1955800"/>
          <a:ext cx="142984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1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1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1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1705</a:t>
          </a:r>
        </a:p>
      </xdr:txBody>
    </xdr:sp>
    <xdr:clientData/>
  </xdr:twoCellAnchor>
  <xdr:twoCellAnchor>
    <xdr:from>
      <xdr:col>16</xdr:col>
      <xdr:colOff>4344389</xdr:colOff>
      <xdr:row>9</xdr:row>
      <xdr:rowOff>12700</xdr:rowOff>
    </xdr:from>
    <xdr:to>
      <xdr:col>16</xdr:col>
      <xdr:colOff>5774232</xdr:colOff>
      <xdr:row>9</xdr:row>
      <xdr:rowOff>177800</xdr:rowOff>
    </xdr:to>
    <xdr:sp macro="" textlink="">
      <xdr:nvSpPr>
        <xdr:cNvPr id="178119" name="Скругленный прямоугольник 178118">
          <a:extLst>
            <a:ext uri="{FF2B5EF4-FFF2-40B4-BE49-F238E27FC236}">
              <a16:creationId xmlns:a16="http://schemas.microsoft.com/office/drawing/2014/main" id="{00000000-0008-0000-0900-0000C7B70200}"/>
            </a:ext>
          </a:extLst>
        </xdr:cNvPr>
        <xdr:cNvSpPr/>
      </xdr:nvSpPr>
      <xdr:spPr>
        <a:xfrm>
          <a:off x="16012514" y="1955800"/>
          <a:ext cx="142984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1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1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1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1705</a:t>
          </a:r>
        </a:p>
      </xdr:txBody>
    </xdr:sp>
    <xdr:clientData/>
  </xdr:twoCellAnchor>
  <xdr:twoCellAnchor>
    <xdr:from>
      <xdr:col>16</xdr:col>
      <xdr:colOff>0</xdr:colOff>
      <xdr:row>10</xdr:row>
      <xdr:rowOff>12700</xdr:rowOff>
    </xdr:from>
    <xdr:to>
      <xdr:col>16</xdr:col>
      <xdr:colOff>768369</xdr:colOff>
      <xdr:row>10</xdr:row>
      <xdr:rowOff>177800</xdr:rowOff>
    </xdr:to>
    <xdr:sp macro="" textlink="">
      <xdr:nvSpPr>
        <xdr:cNvPr id="178120" name="Скругленный прямоугольник 178119">
          <a:extLst>
            <a:ext uri="{FF2B5EF4-FFF2-40B4-BE49-F238E27FC236}">
              <a16:creationId xmlns:a16="http://schemas.microsoft.com/office/drawing/2014/main" id="{00000000-0008-0000-0900-0000C8B70200}"/>
            </a:ext>
          </a:extLst>
        </xdr:cNvPr>
        <xdr:cNvSpPr/>
      </xdr:nvSpPr>
      <xdr:spPr>
        <a:xfrm>
          <a:off x="11668125" y="2146300"/>
          <a:ext cx="76836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930</a:t>
          </a:r>
        </a:p>
      </xdr:txBody>
    </xdr:sp>
    <xdr:clientData/>
  </xdr:twoCellAnchor>
  <xdr:twoCellAnchor>
    <xdr:from>
      <xdr:col>16</xdr:col>
      <xdr:colOff>793769</xdr:colOff>
      <xdr:row>10</xdr:row>
      <xdr:rowOff>12700</xdr:rowOff>
    </xdr:from>
    <xdr:to>
      <xdr:col>16</xdr:col>
      <xdr:colOff>1562137</xdr:colOff>
      <xdr:row>10</xdr:row>
      <xdr:rowOff>177800</xdr:rowOff>
    </xdr:to>
    <xdr:sp macro="" textlink="">
      <xdr:nvSpPr>
        <xdr:cNvPr id="178121" name="Скругленный прямоугольник 178120">
          <a:extLst>
            <a:ext uri="{FF2B5EF4-FFF2-40B4-BE49-F238E27FC236}">
              <a16:creationId xmlns:a16="http://schemas.microsoft.com/office/drawing/2014/main" id="{00000000-0008-0000-0900-0000C9B70200}"/>
            </a:ext>
          </a:extLst>
        </xdr:cNvPr>
        <xdr:cNvSpPr/>
      </xdr:nvSpPr>
      <xdr:spPr>
        <a:xfrm>
          <a:off x="12461894" y="2146300"/>
          <a:ext cx="76836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930</a:t>
          </a:r>
        </a:p>
      </xdr:txBody>
    </xdr:sp>
    <xdr:clientData/>
  </xdr:twoCellAnchor>
  <xdr:twoCellAnchor>
    <xdr:from>
      <xdr:col>16</xdr:col>
      <xdr:colOff>1587537</xdr:colOff>
      <xdr:row>10</xdr:row>
      <xdr:rowOff>12700</xdr:rowOff>
    </xdr:from>
    <xdr:to>
      <xdr:col>16</xdr:col>
      <xdr:colOff>2449793</xdr:colOff>
      <xdr:row>10</xdr:row>
      <xdr:rowOff>177800</xdr:rowOff>
    </xdr:to>
    <xdr:sp macro="" textlink="">
      <xdr:nvSpPr>
        <xdr:cNvPr id="178122" name="Скругленный прямоугольник 178121">
          <a:extLst>
            <a:ext uri="{FF2B5EF4-FFF2-40B4-BE49-F238E27FC236}">
              <a16:creationId xmlns:a16="http://schemas.microsoft.com/office/drawing/2014/main" id="{00000000-0008-0000-0900-0000CAB70200}"/>
            </a:ext>
          </a:extLst>
        </xdr:cNvPr>
        <xdr:cNvSpPr/>
      </xdr:nvSpPr>
      <xdr:spPr>
        <a:xfrm>
          <a:off x="13255662" y="2146300"/>
          <a:ext cx="86225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1040</a:t>
          </a:r>
        </a:p>
      </xdr:txBody>
    </xdr:sp>
    <xdr:clientData/>
  </xdr:twoCellAnchor>
  <xdr:twoCellAnchor>
    <xdr:from>
      <xdr:col>16</xdr:col>
      <xdr:colOff>2475193</xdr:colOff>
      <xdr:row>10</xdr:row>
      <xdr:rowOff>12700</xdr:rowOff>
    </xdr:from>
    <xdr:to>
      <xdr:col>16</xdr:col>
      <xdr:colOff>3542292</xdr:colOff>
      <xdr:row>10</xdr:row>
      <xdr:rowOff>177800</xdr:rowOff>
    </xdr:to>
    <xdr:sp macro="" textlink="">
      <xdr:nvSpPr>
        <xdr:cNvPr id="178123" name="Скругленный прямоугольник 178122">
          <a:extLst>
            <a:ext uri="{FF2B5EF4-FFF2-40B4-BE49-F238E27FC236}">
              <a16:creationId xmlns:a16="http://schemas.microsoft.com/office/drawing/2014/main" id="{00000000-0008-0000-0900-0000CBB70200}"/>
            </a:ext>
          </a:extLst>
        </xdr:cNvPr>
        <xdr:cNvSpPr/>
      </xdr:nvSpPr>
      <xdr:spPr>
        <a:xfrm>
          <a:off x="14143318" y="2146300"/>
          <a:ext cx="106709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1280</a:t>
          </a:r>
        </a:p>
      </xdr:txBody>
    </xdr:sp>
    <xdr:clientData/>
  </xdr:twoCellAnchor>
  <xdr:twoCellAnchor>
    <xdr:from>
      <xdr:col>16</xdr:col>
      <xdr:colOff>3567691</xdr:colOff>
      <xdr:row>10</xdr:row>
      <xdr:rowOff>12700</xdr:rowOff>
    </xdr:from>
    <xdr:to>
      <xdr:col>16</xdr:col>
      <xdr:colOff>4656128</xdr:colOff>
      <xdr:row>10</xdr:row>
      <xdr:rowOff>177800</xdr:rowOff>
    </xdr:to>
    <xdr:sp macro="" textlink="">
      <xdr:nvSpPr>
        <xdr:cNvPr id="178124" name="Скругленный прямоугольник 178123">
          <a:extLst>
            <a:ext uri="{FF2B5EF4-FFF2-40B4-BE49-F238E27FC236}">
              <a16:creationId xmlns:a16="http://schemas.microsoft.com/office/drawing/2014/main" id="{00000000-0008-0000-0900-0000CCB70200}"/>
            </a:ext>
          </a:extLst>
        </xdr:cNvPr>
        <xdr:cNvSpPr/>
      </xdr:nvSpPr>
      <xdr:spPr>
        <a:xfrm>
          <a:off x="15235816" y="2146300"/>
          <a:ext cx="108843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1305</a:t>
          </a:r>
        </a:p>
      </xdr:txBody>
    </xdr:sp>
    <xdr:clientData/>
  </xdr:twoCellAnchor>
  <xdr:twoCellAnchor>
    <xdr:from>
      <xdr:col>16</xdr:col>
      <xdr:colOff>4681528</xdr:colOff>
      <xdr:row>10</xdr:row>
      <xdr:rowOff>12700</xdr:rowOff>
    </xdr:from>
    <xdr:to>
      <xdr:col>16</xdr:col>
      <xdr:colOff>5769964</xdr:colOff>
      <xdr:row>10</xdr:row>
      <xdr:rowOff>177800</xdr:rowOff>
    </xdr:to>
    <xdr:sp macro="" textlink="">
      <xdr:nvSpPr>
        <xdr:cNvPr id="178125" name="Скругленный прямоугольник 178124">
          <a:extLst>
            <a:ext uri="{FF2B5EF4-FFF2-40B4-BE49-F238E27FC236}">
              <a16:creationId xmlns:a16="http://schemas.microsoft.com/office/drawing/2014/main" id="{00000000-0008-0000-0900-0000CDB70200}"/>
            </a:ext>
          </a:extLst>
        </xdr:cNvPr>
        <xdr:cNvSpPr/>
      </xdr:nvSpPr>
      <xdr:spPr>
        <a:xfrm>
          <a:off x="16349653" y="2146300"/>
          <a:ext cx="108843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1305</a:t>
          </a:r>
        </a:p>
      </xdr:txBody>
    </xdr:sp>
    <xdr:clientData/>
  </xdr:twoCellAnchor>
  <xdr:twoCellAnchor>
    <xdr:from>
      <xdr:col>16</xdr:col>
      <xdr:colOff>0</xdr:colOff>
      <xdr:row>11</xdr:row>
      <xdr:rowOff>12700</xdr:rowOff>
    </xdr:from>
    <xdr:to>
      <xdr:col>16</xdr:col>
      <xdr:colOff>554990</xdr:colOff>
      <xdr:row>11</xdr:row>
      <xdr:rowOff>177800</xdr:rowOff>
    </xdr:to>
    <xdr:sp macro="" textlink="">
      <xdr:nvSpPr>
        <xdr:cNvPr id="178126" name="Скругленный прямоугольник 178125">
          <a:extLst>
            <a:ext uri="{FF2B5EF4-FFF2-40B4-BE49-F238E27FC236}">
              <a16:creationId xmlns:a16="http://schemas.microsoft.com/office/drawing/2014/main" id="{00000000-0008-0000-0900-0000CEB70200}"/>
            </a:ext>
          </a:extLst>
        </xdr:cNvPr>
        <xdr:cNvSpPr/>
      </xdr:nvSpPr>
      <xdr:spPr>
        <a:xfrm>
          <a:off x="11668125" y="2336800"/>
          <a:ext cx="55499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680</a:t>
          </a:r>
        </a:p>
      </xdr:txBody>
    </xdr:sp>
    <xdr:clientData/>
  </xdr:twoCellAnchor>
  <xdr:twoCellAnchor>
    <xdr:from>
      <xdr:col>16</xdr:col>
      <xdr:colOff>580390</xdr:colOff>
      <xdr:row>11</xdr:row>
      <xdr:rowOff>12700</xdr:rowOff>
    </xdr:from>
    <xdr:to>
      <xdr:col>16</xdr:col>
      <xdr:colOff>1348760</xdr:colOff>
      <xdr:row>11</xdr:row>
      <xdr:rowOff>177800</xdr:rowOff>
    </xdr:to>
    <xdr:sp macro="" textlink="">
      <xdr:nvSpPr>
        <xdr:cNvPr id="178127" name="Скругленный прямоугольник 178126">
          <a:extLst>
            <a:ext uri="{FF2B5EF4-FFF2-40B4-BE49-F238E27FC236}">
              <a16:creationId xmlns:a16="http://schemas.microsoft.com/office/drawing/2014/main" id="{00000000-0008-0000-0900-0000CFB70200}"/>
            </a:ext>
          </a:extLst>
        </xdr:cNvPr>
        <xdr:cNvSpPr/>
      </xdr:nvSpPr>
      <xdr:spPr>
        <a:xfrm>
          <a:off x="12248515" y="2336800"/>
          <a:ext cx="76837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930</a:t>
          </a:r>
        </a:p>
      </xdr:txBody>
    </xdr:sp>
    <xdr:clientData/>
  </xdr:twoCellAnchor>
  <xdr:twoCellAnchor>
    <xdr:from>
      <xdr:col>16</xdr:col>
      <xdr:colOff>1374158</xdr:colOff>
      <xdr:row>11</xdr:row>
      <xdr:rowOff>12700</xdr:rowOff>
    </xdr:from>
    <xdr:to>
      <xdr:col>16</xdr:col>
      <xdr:colOff>2236414</xdr:colOff>
      <xdr:row>11</xdr:row>
      <xdr:rowOff>177800</xdr:rowOff>
    </xdr:to>
    <xdr:sp macro="" textlink="">
      <xdr:nvSpPr>
        <xdr:cNvPr id="178128" name="Скругленный прямоугольник 178127">
          <a:extLst>
            <a:ext uri="{FF2B5EF4-FFF2-40B4-BE49-F238E27FC236}">
              <a16:creationId xmlns:a16="http://schemas.microsoft.com/office/drawing/2014/main" id="{00000000-0008-0000-0900-0000D0B70200}"/>
            </a:ext>
          </a:extLst>
        </xdr:cNvPr>
        <xdr:cNvSpPr/>
      </xdr:nvSpPr>
      <xdr:spPr>
        <a:xfrm>
          <a:off x="13042283" y="2336800"/>
          <a:ext cx="86225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1040</a:t>
          </a:r>
        </a:p>
      </xdr:txBody>
    </xdr:sp>
    <xdr:clientData/>
  </xdr:twoCellAnchor>
  <xdr:twoCellAnchor>
    <xdr:from>
      <xdr:col>16</xdr:col>
      <xdr:colOff>2261814</xdr:colOff>
      <xdr:row>11</xdr:row>
      <xdr:rowOff>12700</xdr:rowOff>
    </xdr:from>
    <xdr:to>
      <xdr:col>16</xdr:col>
      <xdr:colOff>3200885</xdr:colOff>
      <xdr:row>11</xdr:row>
      <xdr:rowOff>177800</xdr:rowOff>
    </xdr:to>
    <xdr:sp macro="" textlink="">
      <xdr:nvSpPr>
        <xdr:cNvPr id="178129" name="Скругленный прямоугольник 178128">
          <a:extLst>
            <a:ext uri="{FF2B5EF4-FFF2-40B4-BE49-F238E27FC236}">
              <a16:creationId xmlns:a16="http://schemas.microsoft.com/office/drawing/2014/main" id="{00000000-0008-0000-0900-0000D1B70200}"/>
            </a:ext>
          </a:extLst>
        </xdr:cNvPr>
        <xdr:cNvSpPr/>
      </xdr:nvSpPr>
      <xdr:spPr>
        <a:xfrm>
          <a:off x="13929939" y="2336800"/>
          <a:ext cx="93907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1130</a:t>
          </a:r>
        </a:p>
      </xdr:txBody>
    </xdr:sp>
    <xdr:clientData/>
  </xdr:twoCellAnchor>
  <xdr:twoCellAnchor>
    <xdr:from>
      <xdr:col>16</xdr:col>
      <xdr:colOff>3226285</xdr:colOff>
      <xdr:row>11</xdr:row>
      <xdr:rowOff>12700</xdr:rowOff>
    </xdr:from>
    <xdr:to>
      <xdr:col>16</xdr:col>
      <xdr:colOff>4314723</xdr:colOff>
      <xdr:row>11</xdr:row>
      <xdr:rowOff>177800</xdr:rowOff>
    </xdr:to>
    <xdr:sp macro="" textlink="">
      <xdr:nvSpPr>
        <xdr:cNvPr id="178130" name="Скругленный прямоугольник 178129">
          <a:extLst>
            <a:ext uri="{FF2B5EF4-FFF2-40B4-BE49-F238E27FC236}">
              <a16:creationId xmlns:a16="http://schemas.microsoft.com/office/drawing/2014/main" id="{00000000-0008-0000-0900-0000D2B70200}"/>
            </a:ext>
          </a:extLst>
        </xdr:cNvPr>
        <xdr:cNvSpPr/>
      </xdr:nvSpPr>
      <xdr:spPr>
        <a:xfrm>
          <a:off x="14894410" y="2336800"/>
          <a:ext cx="108843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1305</a:t>
          </a:r>
        </a:p>
      </xdr:txBody>
    </xdr:sp>
    <xdr:clientData/>
  </xdr:twoCellAnchor>
  <xdr:twoCellAnchor>
    <xdr:from>
      <xdr:col>16</xdr:col>
      <xdr:colOff>4340123</xdr:colOff>
      <xdr:row>11</xdr:row>
      <xdr:rowOff>12700</xdr:rowOff>
    </xdr:from>
    <xdr:to>
      <xdr:col>16</xdr:col>
      <xdr:colOff>5769966</xdr:colOff>
      <xdr:row>11</xdr:row>
      <xdr:rowOff>177800</xdr:rowOff>
    </xdr:to>
    <xdr:sp macro="" textlink="">
      <xdr:nvSpPr>
        <xdr:cNvPr id="178131" name="Скругленный прямоугольник 178130">
          <a:extLst>
            <a:ext uri="{FF2B5EF4-FFF2-40B4-BE49-F238E27FC236}">
              <a16:creationId xmlns:a16="http://schemas.microsoft.com/office/drawing/2014/main" id="{00000000-0008-0000-0900-0000D3B70200}"/>
            </a:ext>
          </a:extLst>
        </xdr:cNvPr>
        <xdr:cNvSpPr/>
      </xdr:nvSpPr>
      <xdr:spPr>
        <a:xfrm>
          <a:off x="16008248" y="2336800"/>
          <a:ext cx="142984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1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1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1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1705</a:t>
          </a:r>
        </a:p>
      </xdr:txBody>
    </xdr:sp>
    <xdr:clientData/>
  </xdr:twoCellAnchor>
  <xdr:twoCellAnchor>
    <xdr:from>
      <xdr:col>16</xdr:col>
      <xdr:colOff>0</xdr:colOff>
      <xdr:row>12</xdr:row>
      <xdr:rowOff>12700</xdr:rowOff>
    </xdr:from>
    <xdr:to>
      <xdr:col>16</xdr:col>
      <xdr:colOff>512314</xdr:colOff>
      <xdr:row>12</xdr:row>
      <xdr:rowOff>177800</xdr:rowOff>
    </xdr:to>
    <xdr:sp macro="" textlink="">
      <xdr:nvSpPr>
        <xdr:cNvPr id="178132" name="Скругленный прямоугольник 178131">
          <a:extLst>
            <a:ext uri="{FF2B5EF4-FFF2-40B4-BE49-F238E27FC236}">
              <a16:creationId xmlns:a16="http://schemas.microsoft.com/office/drawing/2014/main" id="{00000000-0008-0000-0900-0000D4B70200}"/>
            </a:ext>
          </a:extLst>
        </xdr:cNvPr>
        <xdr:cNvSpPr/>
      </xdr:nvSpPr>
      <xdr:spPr>
        <a:xfrm>
          <a:off x="11668125" y="2527300"/>
          <a:ext cx="51231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630</a:t>
          </a:r>
        </a:p>
      </xdr:txBody>
    </xdr:sp>
    <xdr:clientData/>
  </xdr:twoCellAnchor>
  <xdr:twoCellAnchor>
    <xdr:from>
      <xdr:col>16</xdr:col>
      <xdr:colOff>537714</xdr:colOff>
      <xdr:row>12</xdr:row>
      <xdr:rowOff>12700</xdr:rowOff>
    </xdr:from>
    <xdr:to>
      <xdr:col>16</xdr:col>
      <xdr:colOff>1050029</xdr:colOff>
      <xdr:row>12</xdr:row>
      <xdr:rowOff>177800</xdr:rowOff>
    </xdr:to>
    <xdr:sp macro="" textlink="">
      <xdr:nvSpPr>
        <xdr:cNvPr id="178133" name="Скругленный прямоугольник 178132">
          <a:extLst>
            <a:ext uri="{FF2B5EF4-FFF2-40B4-BE49-F238E27FC236}">
              <a16:creationId xmlns:a16="http://schemas.microsoft.com/office/drawing/2014/main" id="{00000000-0008-0000-0900-0000D5B70200}"/>
            </a:ext>
          </a:extLst>
        </xdr:cNvPr>
        <xdr:cNvSpPr/>
      </xdr:nvSpPr>
      <xdr:spPr>
        <a:xfrm>
          <a:off x="12205839" y="2527300"/>
          <a:ext cx="5123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630</a:t>
          </a:r>
        </a:p>
      </xdr:txBody>
    </xdr:sp>
    <xdr:clientData/>
  </xdr:twoCellAnchor>
  <xdr:twoCellAnchor>
    <xdr:from>
      <xdr:col>16</xdr:col>
      <xdr:colOff>1075428</xdr:colOff>
      <xdr:row>12</xdr:row>
      <xdr:rowOff>12700</xdr:rowOff>
    </xdr:from>
    <xdr:to>
      <xdr:col>16</xdr:col>
      <xdr:colOff>1630418</xdr:colOff>
      <xdr:row>12</xdr:row>
      <xdr:rowOff>177800</xdr:rowOff>
    </xdr:to>
    <xdr:sp macro="" textlink="">
      <xdr:nvSpPr>
        <xdr:cNvPr id="178134" name="Скругленный прямоугольник 178133">
          <a:extLst>
            <a:ext uri="{FF2B5EF4-FFF2-40B4-BE49-F238E27FC236}">
              <a16:creationId xmlns:a16="http://schemas.microsoft.com/office/drawing/2014/main" id="{00000000-0008-0000-0900-0000D6B70200}"/>
            </a:ext>
          </a:extLst>
        </xdr:cNvPr>
        <xdr:cNvSpPr/>
      </xdr:nvSpPr>
      <xdr:spPr>
        <a:xfrm>
          <a:off x="12743553" y="2527300"/>
          <a:ext cx="55499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680</a:t>
          </a:r>
        </a:p>
      </xdr:txBody>
    </xdr:sp>
    <xdr:clientData/>
  </xdr:twoCellAnchor>
  <xdr:twoCellAnchor>
    <xdr:from>
      <xdr:col>16</xdr:col>
      <xdr:colOff>1655818</xdr:colOff>
      <xdr:row>12</xdr:row>
      <xdr:rowOff>12700</xdr:rowOff>
    </xdr:from>
    <xdr:to>
      <xdr:col>16</xdr:col>
      <xdr:colOff>2424187</xdr:colOff>
      <xdr:row>12</xdr:row>
      <xdr:rowOff>177800</xdr:rowOff>
    </xdr:to>
    <xdr:sp macro="" textlink="">
      <xdr:nvSpPr>
        <xdr:cNvPr id="178135" name="Скругленный прямоугольник 178134">
          <a:extLst>
            <a:ext uri="{FF2B5EF4-FFF2-40B4-BE49-F238E27FC236}">
              <a16:creationId xmlns:a16="http://schemas.microsoft.com/office/drawing/2014/main" id="{00000000-0008-0000-0900-0000D7B70200}"/>
            </a:ext>
          </a:extLst>
        </xdr:cNvPr>
        <xdr:cNvSpPr/>
      </xdr:nvSpPr>
      <xdr:spPr>
        <a:xfrm>
          <a:off x="13323943" y="2527300"/>
          <a:ext cx="76836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930</a:t>
          </a:r>
        </a:p>
      </xdr:txBody>
    </xdr:sp>
    <xdr:clientData/>
  </xdr:twoCellAnchor>
  <xdr:twoCellAnchor>
    <xdr:from>
      <xdr:col>16</xdr:col>
      <xdr:colOff>2449587</xdr:colOff>
      <xdr:row>12</xdr:row>
      <xdr:rowOff>12700</xdr:rowOff>
    </xdr:from>
    <xdr:to>
      <xdr:col>16</xdr:col>
      <xdr:colOff>3260632</xdr:colOff>
      <xdr:row>12</xdr:row>
      <xdr:rowOff>177800</xdr:rowOff>
    </xdr:to>
    <xdr:sp macro="" textlink="">
      <xdr:nvSpPr>
        <xdr:cNvPr id="178136" name="Скругленный прямоугольник 178135">
          <a:extLst>
            <a:ext uri="{FF2B5EF4-FFF2-40B4-BE49-F238E27FC236}">
              <a16:creationId xmlns:a16="http://schemas.microsoft.com/office/drawing/2014/main" id="{00000000-0008-0000-0900-0000D8B70200}"/>
            </a:ext>
          </a:extLst>
        </xdr:cNvPr>
        <xdr:cNvSpPr/>
      </xdr:nvSpPr>
      <xdr:spPr>
        <a:xfrm>
          <a:off x="14117712" y="2527300"/>
          <a:ext cx="81104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980</a:t>
          </a:r>
        </a:p>
      </xdr:txBody>
    </xdr:sp>
    <xdr:clientData/>
  </xdr:twoCellAnchor>
  <xdr:twoCellAnchor>
    <xdr:from>
      <xdr:col>16</xdr:col>
      <xdr:colOff>3286032</xdr:colOff>
      <xdr:row>12</xdr:row>
      <xdr:rowOff>12700</xdr:rowOff>
    </xdr:from>
    <xdr:to>
      <xdr:col>16</xdr:col>
      <xdr:colOff>4097077</xdr:colOff>
      <xdr:row>12</xdr:row>
      <xdr:rowOff>177800</xdr:rowOff>
    </xdr:to>
    <xdr:sp macro="" textlink="">
      <xdr:nvSpPr>
        <xdr:cNvPr id="178137" name="Скругленный прямоугольник 178136">
          <a:extLst>
            <a:ext uri="{FF2B5EF4-FFF2-40B4-BE49-F238E27FC236}">
              <a16:creationId xmlns:a16="http://schemas.microsoft.com/office/drawing/2014/main" id="{00000000-0008-0000-0900-0000D9B70200}"/>
            </a:ext>
          </a:extLst>
        </xdr:cNvPr>
        <xdr:cNvSpPr/>
      </xdr:nvSpPr>
      <xdr:spPr>
        <a:xfrm>
          <a:off x="14954157" y="2527300"/>
          <a:ext cx="81104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980</a:t>
          </a:r>
        </a:p>
      </xdr:txBody>
    </xdr:sp>
    <xdr:clientData/>
  </xdr:twoCellAnchor>
  <xdr:twoCellAnchor>
    <xdr:from>
      <xdr:col>16</xdr:col>
      <xdr:colOff>4122476</xdr:colOff>
      <xdr:row>12</xdr:row>
      <xdr:rowOff>12700</xdr:rowOff>
    </xdr:from>
    <xdr:to>
      <xdr:col>16</xdr:col>
      <xdr:colOff>4933521</xdr:colOff>
      <xdr:row>12</xdr:row>
      <xdr:rowOff>177800</xdr:rowOff>
    </xdr:to>
    <xdr:sp macro="" textlink="">
      <xdr:nvSpPr>
        <xdr:cNvPr id="178138" name="Скругленный прямоугольник 178137">
          <a:extLst>
            <a:ext uri="{FF2B5EF4-FFF2-40B4-BE49-F238E27FC236}">
              <a16:creationId xmlns:a16="http://schemas.microsoft.com/office/drawing/2014/main" id="{00000000-0008-0000-0900-0000DAB70200}"/>
            </a:ext>
          </a:extLst>
        </xdr:cNvPr>
        <xdr:cNvSpPr/>
      </xdr:nvSpPr>
      <xdr:spPr>
        <a:xfrm>
          <a:off x="15790601" y="2527300"/>
          <a:ext cx="81104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980</a:t>
          </a:r>
        </a:p>
      </xdr:txBody>
    </xdr:sp>
    <xdr:clientData/>
  </xdr:twoCellAnchor>
  <xdr:twoCellAnchor>
    <xdr:from>
      <xdr:col>16</xdr:col>
      <xdr:colOff>4958921</xdr:colOff>
      <xdr:row>12</xdr:row>
      <xdr:rowOff>12700</xdr:rowOff>
    </xdr:from>
    <xdr:to>
      <xdr:col>16</xdr:col>
      <xdr:colOff>5769966</xdr:colOff>
      <xdr:row>12</xdr:row>
      <xdr:rowOff>177800</xdr:rowOff>
    </xdr:to>
    <xdr:sp macro="" textlink="">
      <xdr:nvSpPr>
        <xdr:cNvPr id="178139" name="Скругленный прямоугольник 178138">
          <a:extLst>
            <a:ext uri="{FF2B5EF4-FFF2-40B4-BE49-F238E27FC236}">
              <a16:creationId xmlns:a16="http://schemas.microsoft.com/office/drawing/2014/main" id="{00000000-0008-0000-0900-0000DBB70200}"/>
            </a:ext>
          </a:extLst>
        </xdr:cNvPr>
        <xdr:cNvSpPr/>
      </xdr:nvSpPr>
      <xdr:spPr>
        <a:xfrm>
          <a:off x="16627046" y="2527300"/>
          <a:ext cx="81104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980</a:t>
          </a:r>
        </a:p>
      </xdr:txBody>
    </xdr:sp>
    <xdr:clientData/>
  </xdr:twoCellAnchor>
  <xdr:twoCellAnchor>
    <xdr:from>
      <xdr:col>16</xdr:col>
      <xdr:colOff>0</xdr:colOff>
      <xdr:row>13</xdr:row>
      <xdr:rowOff>12700</xdr:rowOff>
    </xdr:from>
    <xdr:to>
      <xdr:col>16</xdr:col>
      <xdr:colOff>862255</xdr:colOff>
      <xdr:row>13</xdr:row>
      <xdr:rowOff>177800</xdr:rowOff>
    </xdr:to>
    <xdr:sp macro="" textlink="">
      <xdr:nvSpPr>
        <xdr:cNvPr id="178140" name="Скругленный прямоугольник 178139">
          <a:extLst>
            <a:ext uri="{FF2B5EF4-FFF2-40B4-BE49-F238E27FC236}">
              <a16:creationId xmlns:a16="http://schemas.microsoft.com/office/drawing/2014/main" id="{00000000-0008-0000-0900-0000DCB70200}"/>
            </a:ext>
          </a:extLst>
        </xdr:cNvPr>
        <xdr:cNvSpPr/>
      </xdr:nvSpPr>
      <xdr:spPr>
        <a:xfrm>
          <a:off x="11668125" y="2717800"/>
          <a:ext cx="86225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1040</a:t>
          </a:r>
        </a:p>
      </xdr:txBody>
    </xdr:sp>
    <xdr:clientData/>
  </xdr:twoCellAnchor>
  <xdr:twoCellAnchor>
    <xdr:from>
      <xdr:col>16</xdr:col>
      <xdr:colOff>887655</xdr:colOff>
      <xdr:row>13</xdr:row>
      <xdr:rowOff>12700</xdr:rowOff>
    </xdr:from>
    <xdr:to>
      <xdr:col>16</xdr:col>
      <xdr:colOff>1976092</xdr:colOff>
      <xdr:row>13</xdr:row>
      <xdr:rowOff>177800</xdr:rowOff>
    </xdr:to>
    <xdr:sp macro="" textlink="">
      <xdr:nvSpPr>
        <xdr:cNvPr id="178141" name="Скругленный прямоугольник 178140">
          <a:extLst>
            <a:ext uri="{FF2B5EF4-FFF2-40B4-BE49-F238E27FC236}">
              <a16:creationId xmlns:a16="http://schemas.microsoft.com/office/drawing/2014/main" id="{00000000-0008-0000-0900-0000DDB70200}"/>
            </a:ext>
          </a:extLst>
        </xdr:cNvPr>
        <xdr:cNvSpPr/>
      </xdr:nvSpPr>
      <xdr:spPr>
        <a:xfrm>
          <a:off x="12555780" y="2717800"/>
          <a:ext cx="108843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1305</a:t>
          </a:r>
        </a:p>
      </xdr:txBody>
    </xdr:sp>
    <xdr:clientData/>
  </xdr:twoCellAnchor>
  <xdr:twoCellAnchor>
    <xdr:from>
      <xdr:col>16</xdr:col>
      <xdr:colOff>2001492</xdr:colOff>
      <xdr:row>13</xdr:row>
      <xdr:rowOff>12700</xdr:rowOff>
    </xdr:from>
    <xdr:to>
      <xdr:col>16</xdr:col>
      <xdr:colOff>3239294</xdr:colOff>
      <xdr:row>13</xdr:row>
      <xdr:rowOff>177800</xdr:rowOff>
    </xdr:to>
    <xdr:sp macro="" textlink="">
      <xdr:nvSpPr>
        <xdr:cNvPr id="178142" name="Скругленный прямоугольник 178141">
          <a:extLst>
            <a:ext uri="{FF2B5EF4-FFF2-40B4-BE49-F238E27FC236}">
              <a16:creationId xmlns:a16="http://schemas.microsoft.com/office/drawing/2014/main" id="{00000000-0008-0000-0900-0000DEB70200}"/>
            </a:ext>
          </a:extLst>
        </xdr:cNvPr>
        <xdr:cNvSpPr/>
      </xdr:nvSpPr>
      <xdr:spPr>
        <a:xfrm>
          <a:off x="13669617" y="2717800"/>
          <a:ext cx="123780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1480</a:t>
          </a:r>
        </a:p>
      </xdr:txBody>
    </xdr:sp>
    <xdr:clientData/>
  </xdr:twoCellAnchor>
  <xdr:twoCellAnchor>
    <xdr:from>
      <xdr:col>16</xdr:col>
      <xdr:colOff>3264694</xdr:colOff>
      <xdr:row>13</xdr:row>
      <xdr:rowOff>12700</xdr:rowOff>
    </xdr:from>
    <xdr:to>
      <xdr:col>16</xdr:col>
      <xdr:colOff>4502496</xdr:colOff>
      <xdr:row>13</xdr:row>
      <xdr:rowOff>177800</xdr:rowOff>
    </xdr:to>
    <xdr:sp macro="" textlink="">
      <xdr:nvSpPr>
        <xdr:cNvPr id="178143" name="Скругленный прямоугольник 178142">
          <a:extLst>
            <a:ext uri="{FF2B5EF4-FFF2-40B4-BE49-F238E27FC236}">
              <a16:creationId xmlns:a16="http://schemas.microsoft.com/office/drawing/2014/main" id="{00000000-0008-0000-0900-0000DFB70200}"/>
            </a:ext>
          </a:extLst>
        </xdr:cNvPr>
        <xdr:cNvSpPr/>
      </xdr:nvSpPr>
      <xdr:spPr>
        <a:xfrm>
          <a:off x="14932819" y="2717800"/>
          <a:ext cx="123780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1480</a:t>
          </a:r>
        </a:p>
      </xdr:txBody>
    </xdr:sp>
    <xdr:clientData/>
  </xdr:twoCellAnchor>
  <xdr:twoCellAnchor>
    <xdr:from>
      <xdr:col>16</xdr:col>
      <xdr:colOff>4527896</xdr:colOff>
      <xdr:row>13</xdr:row>
      <xdr:rowOff>12700</xdr:rowOff>
    </xdr:from>
    <xdr:to>
      <xdr:col>16</xdr:col>
      <xdr:colOff>5765698</xdr:colOff>
      <xdr:row>13</xdr:row>
      <xdr:rowOff>177800</xdr:rowOff>
    </xdr:to>
    <xdr:sp macro="" textlink="">
      <xdr:nvSpPr>
        <xdr:cNvPr id="178144" name="Скругленный прямоугольник 178143">
          <a:extLst>
            <a:ext uri="{FF2B5EF4-FFF2-40B4-BE49-F238E27FC236}">
              <a16:creationId xmlns:a16="http://schemas.microsoft.com/office/drawing/2014/main" id="{00000000-0008-0000-0900-0000E0B70200}"/>
            </a:ext>
          </a:extLst>
        </xdr:cNvPr>
        <xdr:cNvSpPr/>
      </xdr:nvSpPr>
      <xdr:spPr>
        <a:xfrm>
          <a:off x="16196021" y="2717800"/>
          <a:ext cx="123780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1480</a:t>
          </a:r>
        </a:p>
      </xdr:txBody>
    </xdr:sp>
    <xdr:clientData/>
  </xdr:twoCellAnchor>
  <xdr:twoCellAnchor>
    <xdr:from>
      <xdr:col>16</xdr:col>
      <xdr:colOff>0</xdr:colOff>
      <xdr:row>14</xdr:row>
      <xdr:rowOff>12700</xdr:rowOff>
    </xdr:from>
    <xdr:to>
      <xdr:col>16</xdr:col>
      <xdr:colOff>512314</xdr:colOff>
      <xdr:row>14</xdr:row>
      <xdr:rowOff>177800</xdr:rowOff>
    </xdr:to>
    <xdr:sp macro="" textlink="">
      <xdr:nvSpPr>
        <xdr:cNvPr id="178145" name="Скругленный прямоугольник 178144">
          <a:extLst>
            <a:ext uri="{FF2B5EF4-FFF2-40B4-BE49-F238E27FC236}">
              <a16:creationId xmlns:a16="http://schemas.microsoft.com/office/drawing/2014/main" id="{00000000-0008-0000-0900-0000E1B70200}"/>
            </a:ext>
          </a:extLst>
        </xdr:cNvPr>
        <xdr:cNvSpPr/>
      </xdr:nvSpPr>
      <xdr:spPr>
        <a:xfrm>
          <a:off x="11668125" y="2908300"/>
          <a:ext cx="51231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630</a:t>
          </a:r>
        </a:p>
      </xdr:txBody>
    </xdr:sp>
    <xdr:clientData/>
  </xdr:twoCellAnchor>
  <xdr:twoCellAnchor>
    <xdr:from>
      <xdr:col>16</xdr:col>
      <xdr:colOff>537714</xdr:colOff>
      <xdr:row>14</xdr:row>
      <xdr:rowOff>12700</xdr:rowOff>
    </xdr:from>
    <xdr:to>
      <xdr:col>16</xdr:col>
      <xdr:colOff>1306083</xdr:colOff>
      <xdr:row>14</xdr:row>
      <xdr:rowOff>177800</xdr:rowOff>
    </xdr:to>
    <xdr:sp macro="" textlink="">
      <xdr:nvSpPr>
        <xdr:cNvPr id="178146" name="Скругленный прямоугольник 178145">
          <a:extLst>
            <a:ext uri="{FF2B5EF4-FFF2-40B4-BE49-F238E27FC236}">
              <a16:creationId xmlns:a16="http://schemas.microsoft.com/office/drawing/2014/main" id="{00000000-0008-0000-0900-0000E2B70200}"/>
            </a:ext>
          </a:extLst>
        </xdr:cNvPr>
        <xdr:cNvSpPr/>
      </xdr:nvSpPr>
      <xdr:spPr>
        <a:xfrm>
          <a:off x="12205839" y="2908300"/>
          <a:ext cx="76836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930</a:t>
          </a:r>
        </a:p>
      </xdr:txBody>
    </xdr:sp>
    <xdr:clientData/>
  </xdr:twoCellAnchor>
  <xdr:twoCellAnchor>
    <xdr:from>
      <xdr:col>16</xdr:col>
      <xdr:colOff>1331483</xdr:colOff>
      <xdr:row>14</xdr:row>
      <xdr:rowOff>12700</xdr:rowOff>
    </xdr:from>
    <xdr:to>
      <xdr:col>16</xdr:col>
      <xdr:colOff>2419921</xdr:colOff>
      <xdr:row>14</xdr:row>
      <xdr:rowOff>177800</xdr:rowOff>
    </xdr:to>
    <xdr:sp macro="" textlink="">
      <xdr:nvSpPr>
        <xdr:cNvPr id="178147" name="Скругленный прямоугольник 178146">
          <a:extLst>
            <a:ext uri="{FF2B5EF4-FFF2-40B4-BE49-F238E27FC236}">
              <a16:creationId xmlns:a16="http://schemas.microsoft.com/office/drawing/2014/main" id="{00000000-0008-0000-0900-0000E3B70200}"/>
            </a:ext>
          </a:extLst>
        </xdr:cNvPr>
        <xdr:cNvSpPr/>
      </xdr:nvSpPr>
      <xdr:spPr>
        <a:xfrm>
          <a:off x="12999608" y="2908300"/>
          <a:ext cx="108843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1305</a:t>
          </a:r>
        </a:p>
      </xdr:txBody>
    </xdr:sp>
    <xdr:clientData/>
  </xdr:twoCellAnchor>
  <xdr:twoCellAnchor>
    <xdr:from>
      <xdr:col>16</xdr:col>
      <xdr:colOff>2445319</xdr:colOff>
      <xdr:row>14</xdr:row>
      <xdr:rowOff>12700</xdr:rowOff>
    </xdr:from>
    <xdr:to>
      <xdr:col>16</xdr:col>
      <xdr:colOff>3533756</xdr:colOff>
      <xdr:row>14</xdr:row>
      <xdr:rowOff>177800</xdr:rowOff>
    </xdr:to>
    <xdr:sp macro="" textlink="">
      <xdr:nvSpPr>
        <xdr:cNvPr id="178148" name="Скругленный прямоугольник 178147">
          <a:extLst>
            <a:ext uri="{FF2B5EF4-FFF2-40B4-BE49-F238E27FC236}">
              <a16:creationId xmlns:a16="http://schemas.microsoft.com/office/drawing/2014/main" id="{00000000-0008-0000-0900-0000E4B70200}"/>
            </a:ext>
          </a:extLst>
        </xdr:cNvPr>
        <xdr:cNvSpPr/>
      </xdr:nvSpPr>
      <xdr:spPr>
        <a:xfrm>
          <a:off x="14113444" y="2908300"/>
          <a:ext cx="108843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1305</a:t>
          </a:r>
        </a:p>
      </xdr:txBody>
    </xdr:sp>
    <xdr:clientData/>
  </xdr:twoCellAnchor>
  <xdr:twoCellAnchor>
    <xdr:from>
      <xdr:col>16</xdr:col>
      <xdr:colOff>3559156</xdr:colOff>
      <xdr:row>14</xdr:row>
      <xdr:rowOff>12700</xdr:rowOff>
    </xdr:from>
    <xdr:to>
      <xdr:col>16</xdr:col>
      <xdr:colOff>4647592</xdr:colOff>
      <xdr:row>14</xdr:row>
      <xdr:rowOff>177800</xdr:rowOff>
    </xdr:to>
    <xdr:sp macro="" textlink="">
      <xdr:nvSpPr>
        <xdr:cNvPr id="178149" name="Скругленный прямоугольник 178148">
          <a:extLst>
            <a:ext uri="{FF2B5EF4-FFF2-40B4-BE49-F238E27FC236}">
              <a16:creationId xmlns:a16="http://schemas.microsoft.com/office/drawing/2014/main" id="{00000000-0008-0000-0900-0000E5B70200}"/>
            </a:ext>
          </a:extLst>
        </xdr:cNvPr>
        <xdr:cNvSpPr/>
      </xdr:nvSpPr>
      <xdr:spPr>
        <a:xfrm>
          <a:off x="15227281" y="2908300"/>
          <a:ext cx="108843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1305</a:t>
          </a:r>
        </a:p>
      </xdr:txBody>
    </xdr:sp>
    <xdr:clientData/>
  </xdr:twoCellAnchor>
  <xdr:twoCellAnchor>
    <xdr:from>
      <xdr:col>16</xdr:col>
      <xdr:colOff>4672992</xdr:colOff>
      <xdr:row>14</xdr:row>
      <xdr:rowOff>12700</xdr:rowOff>
    </xdr:from>
    <xdr:to>
      <xdr:col>16</xdr:col>
      <xdr:colOff>5761428</xdr:colOff>
      <xdr:row>14</xdr:row>
      <xdr:rowOff>177800</xdr:rowOff>
    </xdr:to>
    <xdr:sp macro="" textlink="">
      <xdr:nvSpPr>
        <xdr:cNvPr id="178150" name="Скругленный прямоугольник 178149">
          <a:extLst>
            <a:ext uri="{FF2B5EF4-FFF2-40B4-BE49-F238E27FC236}">
              <a16:creationId xmlns:a16="http://schemas.microsoft.com/office/drawing/2014/main" id="{00000000-0008-0000-0900-0000E6B70200}"/>
            </a:ext>
          </a:extLst>
        </xdr:cNvPr>
        <xdr:cNvSpPr/>
      </xdr:nvSpPr>
      <xdr:spPr>
        <a:xfrm>
          <a:off x="16341117" y="2908300"/>
          <a:ext cx="108843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1305</a:t>
          </a:r>
        </a:p>
      </xdr:txBody>
    </xdr:sp>
    <xdr:clientData/>
  </xdr:twoCellAnchor>
  <xdr:twoCellAnchor>
    <xdr:from>
      <xdr:col>16</xdr:col>
      <xdr:colOff>0</xdr:colOff>
      <xdr:row>15</xdr:row>
      <xdr:rowOff>12700</xdr:rowOff>
    </xdr:from>
    <xdr:to>
      <xdr:col>16</xdr:col>
      <xdr:colOff>939071</xdr:colOff>
      <xdr:row>15</xdr:row>
      <xdr:rowOff>177800</xdr:rowOff>
    </xdr:to>
    <xdr:sp macro="" textlink="">
      <xdr:nvSpPr>
        <xdr:cNvPr id="178151" name="Скругленный прямоугольник 178150">
          <a:extLst>
            <a:ext uri="{FF2B5EF4-FFF2-40B4-BE49-F238E27FC236}">
              <a16:creationId xmlns:a16="http://schemas.microsoft.com/office/drawing/2014/main" id="{00000000-0008-0000-0900-0000E7B70200}"/>
            </a:ext>
          </a:extLst>
        </xdr:cNvPr>
        <xdr:cNvSpPr/>
      </xdr:nvSpPr>
      <xdr:spPr>
        <a:xfrm>
          <a:off x="11668125" y="3098800"/>
          <a:ext cx="93907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1130</a:t>
          </a:r>
        </a:p>
      </xdr:txBody>
    </xdr:sp>
    <xdr:clientData/>
  </xdr:twoCellAnchor>
  <xdr:twoCellAnchor>
    <xdr:from>
      <xdr:col>16</xdr:col>
      <xdr:colOff>964471</xdr:colOff>
      <xdr:row>15</xdr:row>
      <xdr:rowOff>12700</xdr:rowOff>
    </xdr:from>
    <xdr:to>
      <xdr:col>16</xdr:col>
      <xdr:colOff>1903543</xdr:colOff>
      <xdr:row>15</xdr:row>
      <xdr:rowOff>177800</xdr:rowOff>
    </xdr:to>
    <xdr:sp macro="" textlink="">
      <xdr:nvSpPr>
        <xdr:cNvPr id="178152" name="Скругленный прямоугольник 178151">
          <a:extLst>
            <a:ext uri="{FF2B5EF4-FFF2-40B4-BE49-F238E27FC236}">
              <a16:creationId xmlns:a16="http://schemas.microsoft.com/office/drawing/2014/main" id="{00000000-0008-0000-0900-0000E8B70200}"/>
            </a:ext>
          </a:extLst>
        </xdr:cNvPr>
        <xdr:cNvSpPr/>
      </xdr:nvSpPr>
      <xdr:spPr>
        <a:xfrm>
          <a:off x="12632596" y="3098800"/>
          <a:ext cx="93907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1130</a:t>
          </a:r>
        </a:p>
      </xdr:txBody>
    </xdr:sp>
    <xdr:clientData/>
  </xdr:twoCellAnchor>
  <xdr:twoCellAnchor>
    <xdr:from>
      <xdr:col>16</xdr:col>
      <xdr:colOff>1928943</xdr:colOff>
      <xdr:row>15</xdr:row>
      <xdr:rowOff>12700</xdr:rowOff>
    </xdr:from>
    <xdr:to>
      <xdr:col>16</xdr:col>
      <xdr:colOff>2868014</xdr:colOff>
      <xdr:row>15</xdr:row>
      <xdr:rowOff>177800</xdr:rowOff>
    </xdr:to>
    <xdr:sp macro="" textlink="">
      <xdr:nvSpPr>
        <xdr:cNvPr id="178153" name="Скругленный прямоугольник 178152">
          <a:extLst>
            <a:ext uri="{FF2B5EF4-FFF2-40B4-BE49-F238E27FC236}">
              <a16:creationId xmlns:a16="http://schemas.microsoft.com/office/drawing/2014/main" id="{00000000-0008-0000-0900-0000E9B70200}"/>
            </a:ext>
          </a:extLst>
        </xdr:cNvPr>
        <xdr:cNvSpPr/>
      </xdr:nvSpPr>
      <xdr:spPr>
        <a:xfrm>
          <a:off x="13597068" y="3098800"/>
          <a:ext cx="93907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1130</a:t>
          </a:r>
        </a:p>
      </xdr:txBody>
    </xdr:sp>
    <xdr:clientData/>
  </xdr:twoCellAnchor>
  <xdr:twoCellAnchor>
    <xdr:from>
      <xdr:col>16</xdr:col>
      <xdr:colOff>2893414</xdr:colOff>
      <xdr:row>15</xdr:row>
      <xdr:rowOff>12700</xdr:rowOff>
    </xdr:from>
    <xdr:to>
      <xdr:col>16</xdr:col>
      <xdr:colOff>3832485</xdr:colOff>
      <xdr:row>15</xdr:row>
      <xdr:rowOff>177800</xdr:rowOff>
    </xdr:to>
    <xdr:sp macro="" textlink="">
      <xdr:nvSpPr>
        <xdr:cNvPr id="178154" name="Скругленный прямоугольник 178153">
          <a:extLst>
            <a:ext uri="{FF2B5EF4-FFF2-40B4-BE49-F238E27FC236}">
              <a16:creationId xmlns:a16="http://schemas.microsoft.com/office/drawing/2014/main" id="{00000000-0008-0000-0900-0000EAB70200}"/>
            </a:ext>
          </a:extLst>
        </xdr:cNvPr>
        <xdr:cNvSpPr/>
      </xdr:nvSpPr>
      <xdr:spPr>
        <a:xfrm>
          <a:off x="14561539" y="3098800"/>
          <a:ext cx="93907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1130</a:t>
          </a:r>
        </a:p>
      </xdr:txBody>
    </xdr:sp>
    <xdr:clientData/>
  </xdr:twoCellAnchor>
  <xdr:twoCellAnchor>
    <xdr:from>
      <xdr:col>16</xdr:col>
      <xdr:colOff>3857887</xdr:colOff>
      <xdr:row>15</xdr:row>
      <xdr:rowOff>12700</xdr:rowOff>
    </xdr:from>
    <xdr:to>
      <xdr:col>16</xdr:col>
      <xdr:colOff>4796958</xdr:colOff>
      <xdr:row>15</xdr:row>
      <xdr:rowOff>177800</xdr:rowOff>
    </xdr:to>
    <xdr:sp macro="" textlink="">
      <xdr:nvSpPr>
        <xdr:cNvPr id="178155" name="Скругленный прямоугольник 178154">
          <a:extLst>
            <a:ext uri="{FF2B5EF4-FFF2-40B4-BE49-F238E27FC236}">
              <a16:creationId xmlns:a16="http://schemas.microsoft.com/office/drawing/2014/main" id="{00000000-0008-0000-0900-0000EBB70200}"/>
            </a:ext>
          </a:extLst>
        </xdr:cNvPr>
        <xdr:cNvSpPr/>
      </xdr:nvSpPr>
      <xdr:spPr>
        <a:xfrm>
          <a:off x="15526012" y="3098800"/>
          <a:ext cx="93907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1130</a:t>
          </a:r>
        </a:p>
      </xdr:txBody>
    </xdr:sp>
    <xdr:clientData/>
  </xdr:twoCellAnchor>
  <xdr:twoCellAnchor>
    <xdr:from>
      <xdr:col>16</xdr:col>
      <xdr:colOff>4822358</xdr:colOff>
      <xdr:row>15</xdr:row>
      <xdr:rowOff>12700</xdr:rowOff>
    </xdr:from>
    <xdr:to>
      <xdr:col>16</xdr:col>
      <xdr:colOff>5761430</xdr:colOff>
      <xdr:row>15</xdr:row>
      <xdr:rowOff>177800</xdr:rowOff>
    </xdr:to>
    <xdr:sp macro="" textlink="">
      <xdr:nvSpPr>
        <xdr:cNvPr id="178156" name="Скругленный прямоугольник 178155">
          <a:extLst>
            <a:ext uri="{FF2B5EF4-FFF2-40B4-BE49-F238E27FC236}">
              <a16:creationId xmlns:a16="http://schemas.microsoft.com/office/drawing/2014/main" id="{00000000-0008-0000-0900-0000ECB70200}"/>
            </a:ext>
          </a:extLst>
        </xdr:cNvPr>
        <xdr:cNvSpPr/>
      </xdr:nvSpPr>
      <xdr:spPr>
        <a:xfrm>
          <a:off x="16490483" y="3098800"/>
          <a:ext cx="93907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1130</a:t>
          </a:r>
        </a:p>
      </xdr:txBody>
    </xdr:sp>
    <xdr:clientData/>
  </xdr:twoCellAnchor>
  <xdr:twoCellAnchor>
    <xdr:from>
      <xdr:col>16</xdr:col>
      <xdr:colOff>0</xdr:colOff>
      <xdr:row>16</xdr:row>
      <xdr:rowOff>12700</xdr:rowOff>
    </xdr:from>
    <xdr:to>
      <xdr:col>16</xdr:col>
      <xdr:colOff>512314</xdr:colOff>
      <xdr:row>16</xdr:row>
      <xdr:rowOff>177800</xdr:rowOff>
    </xdr:to>
    <xdr:sp macro="" textlink="">
      <xdr:nvSpPr>
        <xdr:cNvPr id="178157" name="Скругленный прямоугольник 178156">
          <a:extLst>
            <a:ext uri="{FF2B5EF4-FFF2-40B4-BE49-F238E27FC236}">
              <a16:creationId xmlns:a16="http://schemas.microsoft.com/office/drawing/2014/main" id="{00000000-0008-0000-0900-0000EDB70200}"/>
            </a:ext>
          </a:extLst>
        </xdr:cNvPr>
        <xdr:cNvSpPr/>
      </xdr:nvSpPr>
      <xdr:spPr>
        <a:xfrm>
          <a:off x="11668125" y="3289300"/>
          <a:ext cx="51231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630</a:t>
          </a:r>
        </a:p>
      </xdr:txBody>
    </xdr:sp>
    <xdr:clientData/>
  </xdr:twoCellAnchor>
  <xdr:twoCellAnchor>
    <xdr:from>
      <xdr:col>16</xdr:col>
      <xdr:colOff>537714</xdr:colOff>
      <xdr:row>16</xdr:row>
      <xdr:rowOff>12700</xdr:rowOff>
    </xdr:from>
    <xdr:to>
      <xdr:col>16</xdr:col>
      <xdr:colOff>1050029</xdr:colOff>
      <xdr:row>16</xdr:row>
      <xdr:rowOff>177800</xdr:rowOff>
    </xdr:to>
    <xdr:sp macro="" textlink="">
      <xdr:nvSpPr>
        <xdr:cNvPr id="178158" name="Скругленный прямоугольник 178157">
          <a:extLst>
            <a:ext uri="{FF2B5EF4-FFF2-40B4-BE49-F238E27FC236}">
              <a16:creationId xmlns:a16="http://schemas.microsoft.com/office/drawing/2014/main" id="{00000000-0008-0000-0900-0000EEB70200}"/>
            </a:ext>
          </a:extLst>
        </xdr:cNvPr>
        <xdr:cNvSpPr/>
      </xdr:nvSpPr>
      <xdr:spPr>
        <a:xfrm>
          <a:off x="12205839" y="3289300"/>
          <a:ext cx="51231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630</a:t>
          </a:r>
        </a:p>
      </xdr:txBody>
    </xdr:sp>
    <xdr:clientData/>
  </xdr:twoCellAnchor>
  <xdr:twoCellAnchor>
    <xdr:from>
      <xdr:col>16</xdr:col>
      <xdr:colOff>1075428</xdr:colOff>
      <xdr:row>16</xdr:row>
      <xdr:rowOff>12700</xdr:rowOff>
    </xdr:from>
    <xdr:to>
      <xdr:col>16</xdr:col>
      <xdr:colOff>5778500</xdr:colOff>
      <xdr:row>16</xdr:row>
      <xdr:rowOff>177800</xdr:rowOff>
    </xdr:to>
    <xdr:sp macro="" textlink="">
      <xdr:nvSpPr>
        <xdr:cNvPr id="178159" name="Скругленный прямоугольник 178158">
          <a:extLst>
            <a:ext uri="{FF2B5EF4-FFF2-40B4-BE49-F238E27FC236}">
              <a16:creationId xmlns:a16="http://schemas.microsoft.com/office/drawing/2014/main" id="{00000000-0008-0000-0900-0000EFB70200}"/>
            </a:ext>
          </a:extLst>
        </xdr:cNvPr>
        <xdr:cNvSpPr/>
      </xdr:nvSpPr>
      <xdr:spPr>
        <a:xfrm>
          <a:off x="12743553" y="3289300"/>
          <a:ext cx="470307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Остаток: 5540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44825</xdr:colOff>
      <xdr:row>17</xdr:row>
      <xdr:rowOff>150420</xdr:rowOff>
    </xdr:from>
    <xdr:to>
      <xdr:col>3</xdr:col>
      <xdr:colOff>307043</xdr:colOff>
      <xdr:row>19</xdr:row>
      <xdr:rowOff>76200</xdr:rowOff>
    </xdr:to>
    <xdr:sp macro="[0]!Raskroy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25800" y="3617520"/>
          <a:ext cx="1214718" cy="30678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Расчет</a:t>
          </a:r>
          <a:r>
            <a:rPr lang="en-US" sz="1100"/>
            <a:t> DP</a:t>
          </a:r>
          <a:endParaRPr lang="ru-RU" sz="1100"/>
        </a:p>
      </xdr:txBody>
    </xdr:sp>
    <xdr:clientData fPrintsWithSheet="0"/>
  </xdr:twoCellAnchor>
  <xdr:twoCellAnchor>
    <xdr:from>
      <xdr:col>3</xdr:col>
      <xdr:colOff>472817</xdr:colOff>
      <xdr:row>17</xdr:row>
      <xdr:rowOff>150420</xdr:rowOff>
    </xdr:from>
    <xdr:to>
      <xdr:col>4</xdr:col>
      <xdr:colOff>735035</xdr:colOff>
      <xdr:row>19</xdr:row>
      <xdr:rowOff>76200</xdr:rowOff>
    </xdr:to>
    <xdr:sp macro="[0]!ClearData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606292" y="3617520"/>
          <a:ext cx="1214718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Очистить все</a:t>
          </a:r>
        </a:p>
      </xdr:txBody>
    </xdr:sp>
    <xdr:clientData fPrintsWithSheet="0"/>
  </xdr:twoCellAnchor>
  <xdr:twoCellAnchor>
    <xdr:from>
      <xdr:col>4</xdr:col>
      <xdr:colOff>924205</xdr:colOff>
      <xdr:row>17</xdr:row>
      <xdr:rowOff>150420</xdr:rowOff>
    </xdr:from>
    <xdr:to>
      <xdr:col>7</xdr:col>
      <xdr:colOff>21011</xdr:colOff>
      <xdr:row>19</xdr:row>
      <xdr:rowOff>76200</xdr:rowOff>
    </xdr:to>
    <xdr:sp macro="[0]!OutGraph" textlink="">
      <xdr:nvSpPr>
        <xdr:cNvPr id="4" name="Скругленный прямоугольник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010180" y="3617520"/>
          <a:ext cx="1220881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Отобразить</a:t>
          </a:r>
        </a:p>
      </xdr:txBody>
    </xdr:sp>
    <xdr:clientData fPrintsWithSheet="0"/>
  </xdr:twoCellAnchor>
  <xdr:twoCellAnchor>
    <xdr:from>
      <xdr:col>7</xdr:col>
      <xdr:colOff>197224</xdr:colOff>
      <xdr:row>17</xdr:row>
      <xdr:rowOff>150420</xdr:rowOff>
    </xdr:from>
    <xdr:to>
      <xdr:col>8</xdr:col>
      <xdr:colOff>806824</xdr:colOff>
      <xdr:row>19</xdr:row>
      <xdr:rowOff>76200</xdr:rowOff>
    </xdr:to>
    <xdr:sp macro="[0]!Export2PDF" textlink="">
      <xdr:nvSpPr>
        <xdr:cNvPr id="5" name="Скругленный прямоугольник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4407274" y="3617520"/>
          <a:ext cx="1209675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Экспорт в </a:t>
          </a:r>
          <a:r>
            <a:rPr lang="en-US" sz="1100"/>
            <a:t>PDF</a:t>
          </a:r>
          <a:endParaRPr lang="ru-RU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13</xdr:row>
          <xdr:rowOff>180975</xdr:rowOff>
        </xdr:from>
        <xdr:to>
          <xdr:col>9</xdr:col>
          <xdr:colOff>9525</xdr:colOff>
          <xdr:row>15</xdr:row>
          <xdr:rowOff>0</xdr:rowOff>
        </xdr:to>
        <xdr:sp macro="" textlink="">
          <xdr:nvSpPr>
            <xdr:cNvPr id="176129" name="Drop Down 1" hidden="1">
              <a:extLst>
                <a:ext uri="{63B3BB69-23CF-44E3-9099-C40C66FF867C}">
                  <a14:compatExt spid="_x0000_s176129"/>
                </a:ext>
                <a:ext uri="{FF2B5EF4-FFF2-40B4-BE49-F238E27FC236}">
                  <a16:creationId xmlns:a16="http://schemas.microsoft.com/office/drawing/2014/main" id="{00000000-0008-0000-0A00-000001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13</xdr:row>
          <xdr:rowOff>161925</xdr:rowOff>
        </xdr:from>
        <xdr:to>
          <xdr:col>5</xdr:col>
          <xdr:colOff>981075</xdr:colOff>
          <xdr:row>15</xdr:row>
          <xdr:rowOff>0</xdr:rowOff>
        </xdr:to>
        <xdr:sp macro="" textlink="">
          <xdr:nvSpPr>
            <xdr:cNvPr id="176130" name="Check Box 2" hidden="1">
              <a:extLst>
                <a:ext uri="{63B3BB69-23CF-44E3-9099-C40C66FF867C}">
                  <a14:compatExt spid="_x0000_s176130"/>
                </a:ext>
                <a:ext uri="{FF2B5EF4-FFF2-40B4-BE49-F238E27FC236}">
                  <a16:creationId xmlns:a16="http://schemas.microsoft.com/office/drawing/2014/main" id="{00000000-0008-0000-0A00-000002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Группировать решение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14</xdr:row>
          <xdr:rowOff>161925</xdr:rowOff>
        </xdr:from>
        <xdr:to>
          <xdr:col>5</xdr:col>
          <xdr:colOff>981075</xdr:colOff>
          <xdr:row>16</xdr:row>
          <xdr:rowOff>0</xdr:rowOff>
        </xdr:to>
        <xdr:sp macro="" textlink="">
          <xdr:nvSpPr>
            <xdr:cNvPr id="176131" name="Check Box 3" hidden="1">
              <a:extLst>
                <a:ext uri="{63B3BB69-23CF-44E3-9099-C40C66FF867C}">
                  <a14:compatExt spid="_x0000_s176131"/>
                </a:ext>
                <a:ext uri="{FF2B5EF4-FFF2-40B4-BE49-F238E27FC236}">
                  <a16:creationId xmlns:a16="http://schemas.microsoft.com/office/drawing/2014/main" id="{00000000-0008-0000-0A00-000003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Отображать графику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15</xdr:row>
          <xdr:rowOff>0</xdr:rowOff>
        </xdr:from>
        <xdr:to>
          <xdr:col>9</xdr:col>
          <xdr:colOff>9525</xdr:colOff>
          <xdr:row>16</xdr:row>
          <xdr:rowOff>9525</xdr:rowOff>
        </xdr:to>
        <xdr:sp macro="" textlink="">
          <xdr:nvSpPr>
            <xdr:cNvPr id="176132" name="Drop Down 4" hidden="1">
              <a:extLst>
                <a:ext uri="{63B3BB69-23CF-44E3-9099-C40C66FF867C}">
                  <a14:compatExt spid="_x0000_s176132"/>
                </a:ext>
                <a:ext uri="{FF2B5EF4-FFF2-40B4-BE49-F238E27FC236}">
                  <a16:creationId xmlns:a16="http://schemas.microsoft.com/office/drawing/2014/main" id="{00000000-0008-0000-0A00-000004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15</xdr:row>
          <xdr:rowOff>161925</xdr:rowOff>
        </xdr:from>
        <xdr:to>
          <xdr:col>5</xdr:col>
          <xdr:colOff>981075</xdr:colOff>
          <xdr:row>17</xdr:row>
          <xdr:rowOff>0</xdr:rowOff>
        </xdr:to>
        <xdr:sp macro="" textlink="">
          <xdr:nvSpPr>
            <xdr:cNvPr id="176133" name="Check Box 5" hidden="1">
              <a:extLst>
                <a:ext uri="{63B3BB69-23CF-44E3-9099-C40C66FF867C}">
                  <a14:compatExt spid="_x0000_s176133"/>
                </a:ext>
                <a:ext uri="{FF2B5EF4-FFF2-40B4-BE49-F238E27FC236}">
                  <a16:creationId xmlns:a16="http://schemas.microsoft.com/office/drawing/2014/main" id="{00000000-0008-0000-0A00-000005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Рез под 45 градусов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16</xdr:row>
          <xdr:rowOff>0</xdr:rowOff>
        </xdr:from>
        <xdr:to>
          <xdr:col>9</xdr:col>
          <xdr:colOff>0</xdr:colOff>
          <xdr:row>17</xdr:row>
          <xdr:rowOff>28575</xdr:rowOff>
        </xdr:to>
        <xdr:sp macro="" textlink="">
          <xdr:nvSpPr>
            <xdr:cNvPr id="176134" name="Check Box 6" hidden="1">
              <a:extLst>
                <a:ext uri="{63B3BB69-23CF-44E3-9099-C40C66FF867C}">
                  <a14:compatExt spid="_x0000_s176134"/>
                </a:ext>
                <a:ext uri="{FF2B5EF4-FFF2-40B4-BE49-F238E27FC236}">
                  <a16:creationId xmlns:a16="http://schemas.microsoft.com/office/drawing/2014/main" id="{00000000-0008-0000-0A00-000006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Раскрой в два профиля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44825</xdr:colOff>
      <xdr:row>20</xdr:row>
      <xdr:rowOff>0</xdr:rowOff>
    </xdr:from>
    <xdr:to>
      <xdr:col>3</xdr:col>
      <xdr:colOff>307043</xdr:colOff>
      <xdr:row>21</xdr:row>
      <xdr:rowOff>116280</xdr:rowOff>
    </xdr:to>
    <xdr:sp macro="[0]!lpCSP" textlink="">
      <xdr:nvSpPr>
        <xdr:cNvPr id="12" name="Скругленный прямоугольник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225800" y="4038600"/>
          <a:ext cx="1214718" cy="30678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Расчет</a:t>
          </a:r>
          <a:r>
            <a:rPr lang="en-US" sz="1100"/>
            <a:t> LP</a:t>
          </a:r>
          <a:endParaRPr lang="ru-RU" sz="1100"/>
        </a:p>
      </xdr:txBody>
    </xdr:sp>
    <xdr:clientData fPrintsWithSheet="0"/>
  </xdr:twoCellAnchor>
  <xdr:twoCellAnchor>
    <xdr:from>
      <xdr:col>3</xdr:col>
      <xdr:colOff>472817</xdr:colOff>
      <xdr:row>20</xdr:row>
      <xdr:rowOff>0</xdr:rowOff>
    </xdr:from>
    <xdr:to>
      <xdr:col>4</xdr:col>
      <xdr:colOff>735035</xdr:colOff>
      <xdr:row>21</xdr:row>
      <xdr:rowOff>116280</xdr:rowOff>
    </xdr:to>
    <xdr:sp macro="[0]!ClearSolve" textlink="">
      <xdr:nvSpPr>
        <xdr:cNvPr id="13" name="Скругленный прямоугольник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1606292" y="4038600"/>
          <a:ext cx="1214718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Убрать</a:t>
          </a:r>
          <a:r>
            <a:rPr lang="ru-RU" sz="1100" baseline="0"/>
            <a:t> решение</a:t>
          </a:r>
          <a:endParaRPr lang="ru-RU" sz="1100"/>
        </a:p>
      </xdr:txBody>
    </xdr:sp>
    <xdr:clientData fPrintsWithSheet="0"/>
  </xdr:twoCellAnchor>
  <xdr:twoCellAnchor>
    <xdr:from>
      <xdr:col>4</xdr:col>
      <xdr:colOff>924205</xdr:colOff>
      <xdr:row>20</xdr:row>
      <xdr:rowOff>0</xdr:rowOff>
    </xdr:from>
    <xdr:to>
      <xdr:col>7</xdr:col>
      <xdr:colOff>21011</xdr:colOff>
      <xdr:row>21</xdr:row>
      <xdr:rowOff>116280</xdr:rowOff>
    </xdr:to>
    <xdr:sp macro="[0]!OffGraph" textlink="">
      <xdr:nvSpPr>
        <xdr:cNvPr id="14" name="Скругленный 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3010180" y="4038600"/>
          <a:ext cx="1220881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Убрать</a:t>
          </a:r>
          <a:r>
            <a:rPr lang="ru-RU" sz="1100" baseline="0"/>
            <a:t> графику</a:t>
          </a:r>
          <a:endParaRPr lang="ru-RU" sz="1100"/>
        </a:p>
      </xdr:txBody>
    </xdr:sp>
    <xdr:clientData fPrintsWithSheet="0"/>
  </xdr:twoCellAnchor>
  <xdr:twoCellAnchor>
    <xdr:from>
      <xdr:col>7</xdr:col>
      <xdr:colOff>197224</xdr:colOff>
      <xdr:row>20</xdr:row>
      <xdr:rowOff>0</xdr:rowOff>
    </xdr:from>
    <xdr:to>
      <xdr:col>8</xdr:col>
      <xdr:colOff>806824</xdr:colOff>
      <xdr:row>21</xdr:row>
      <xdr:rowOff>116280</xdr:rowOff>
    </xdr:to>
    <xdr:sp macro="" textlink="">
      <xdr:nvSpPr>
        <xdr:cNvPr id="15" name="Скругленный прямоугольник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/>
      </xdr:nvSpPr>
      <xdr:spPr>
        <a:xfrm>
          <a:off x="4407274" y="4038600"/>
          <a:ext cx="1209675" cy="30678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Создать отчет</a:t>
          </a:r>
        </a:p>
      </xdr:txBody>
    </xdr:sp>
    <xdr:clientData fPrintsWithSheet="0"/>
  </xdr:twoCellAnchor>
  <xdr:twoCellAnchor>
    <xdr:from>
      <xdr:col>16</xdr:col>
      <xdr:colOff>0</xdr:colOff>
      <xdr:row>3</xdr:row>
      <xdr:rowOff>12700</xdr:rowOff>
    </xdr:from>
    <xdr:to>
      <xdr:col>16</xdr:col>
      <xdr:colOff>1549944</xdr:colOff>
      <xdr:row>3</xdr:row>
      <xdr:rowOff>177800</xdr:rowOff>
    </xdr:to>
    <xdr:sp macro="" textlink="">
      <xdr:nvSpPr>
        <xdr:cNvPr id="177953" name="Скругленный прямоугольник 177952">
          <a:extLst>
            <a:ext uri="{FF2B5EF4-FFF2-40B4-BE49-F238E27FC236}">
              <a16:creationId xmlns:a16="http://schemas.microsoft.com/office/drawing/2014/main" id="{00000000-0008-0000-0A00-000021B70200}"/>
            </a:ext>
          </a:extLst>
        </xdr:cNvPr>
        <xdr:cNvSpPr/>
      </xdr:nvSpPr>
      <xdr:spPr>
        <a:xfrm>
          <a:off x="10267950" y="812800"/>
          <a:ext cx="154994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1520</a:t>
          </a:r>
        </a:p>
      </xdr:txBody>
    </xdr:sp>
    <xdr:clientData/>
  </xdr:twoCellAnchor>
  <xdr:twoCellAnchor>
    <xdr:from>
      <xdr:col>16</xdr:col>
      <xdr:colOff>1575344</xdr:colOff>
      <xdr:row>3</xdr:row>
      <xdr:rowOff>12700</xdr:rowOff>
    </xdr:from>
    <xdr:to>
      <xdr:col>16</xdr:col>
      <xdr:colOff>3550217</xdr:colOff>
      <xdr:row>3</xdr:row>
      <xdr:rowOff>177800</xdr:rowOff>
    </xdr:to>
    <xdr:sp macro="" textlink="">
      <xdr:nvSpPr>
        <xdr:cNvPr id="177954" name="Скругленный прямоугольник 177953">
          <a:extLst>
            <a:ext uri="{FF2B5EF4-FFF2-40B4-BE49-F238E27FC236}">
              <a16:creationId xmlns:a16="http://schemas.microsoft.com/office/drawing/2014/main" id="{00000000-0008-0000-0A00-000022B70200}"/>
            </a:ext>
          </a:extLst>
        </xdr:cNvPr>
        <xdr:cNvSpPr/>
      </xdr:nvSpPr>
      <xdr:spPr>
        <a:xfrm>
          <a:off x="11843294" y="812800"/>
          <a:ext cx="197487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1930</a:t>
          </a:r>
        </a:p>
      </xdr:txBody>
    </xdr:sp>
    <xdr:clientData/>
  </xdr:twoCellAnchor>
  <xdr:twoCellAnchor>
    <xdr:from>
      <xdr:col>16</xdr:col>
      <xdr:colOff>3575617</xdr:colOff>
      <xdr:row>3</xdr:row>
      <xdr:rowOff>12700</xdr:rowOff>
    </xdr:from>
    <xdr:to>
      <xdr:col>16</xdr:col>
      <xdr:colOff>5778500</xdr:colOff>
      <xdr:row>3</xdr:row>
      <xdr:rowOff>177800</xdr:rowOff>
    </xdr:to>
    <xdr:sp macro="" textlink="">
      <xdr:nvSpPr>
        <xdr:cNvPr id="177955" name="Скругленный прямоугольник 177954">
          <a:extLst>
            <a:ext uri="{FF2B5EF4-FFF2-40B4-BE49-F238E27FC236}">
              <a16:creationId xmlns:a16="http://schemas.microsoft.com/office/drawing/2014/main" id="{00000000-0008-0000-0A00-000023B70200}"/>
            </a:ext>
          </a:extLst>
        </xdr:cNvPr>
        <xdr:cNvSpPr/>
      </xdr:nvSpPr>
      <xdr:spPr>
        <a:xfrm>
          <a:off x="13843567" y="812800"/>
          <a:ext cx="220288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A4" mc:Ignorable="a14" a14:legacySpreadsheetColorIndex="2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D8" mc:Ignorable="a14" a14:legacySpreadsheetColorIndex="2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53" mc:Ignorable="a14" a14:legacySpreadsheetColorIndex="2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2150</a:t>
          </a:r>
        </a:p>
      </xdr:txBody>
    </xdr:sp>
    <xdr:clientData/>
  </xdr:twoCellAnchor>
  <xdr:twoCellAnchor>
    <xdr:from>
      <xdr:col>16</xdr:col>
      <xdr:colOff>0</xdr:colOff>
      <xdr:row>4</xdr:row>
      <xdr:rowOff>12700</xdr:rowOff>
    </xdr:from>
    <xdr:to>
      <xdr:col>16</xdr:col>
      <xdr:colOff>1549944</xdr:colOff>
      <xdr:row>4</xdr:row>
      <xdr:rowOff>177800</xdr:rowOff>
    </xdr:to>
    <xdr:sp macro="" textlink="">
      <xdr:nvSpPr>
        <xdr:cNvPr id="177956" name="Скругленный прямоугольник 177955">
          <a:extLst>
            <a:ext uri="{FF2B5EF4-FFF2-40B4-BE49-F238E27FC236}">
              <a16:creationId xmlns:a16="http://schemas.microsoft.com/office/drawing/2014/main" id="{00000000-0008-0000-0A00-000024B70200}"/>
            </a:ext>
          </a:extLst>
        </xdr:cNvPr>
        <xdr:cNvSpPr/>
      </xdr:nvSpPr>
      <xdr:spPr>
        <a:xfrm>
          <a:off x="10267950" y="1003300"/>
          <a:ext cx="154994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1520</a:t>
          </a:r>
        </a:p>
      </xdr:txBody>
    </xdr:sp>
    <xdr:clientData/>
  </xdr:twoCellAnchor>
  <xdr:twoCellAnchor>
    <xdr:from>
      <xdr:col>16</xdr:col>
      <xdr:colOff>1575344</xdr:colOff>
      <xdr:row>4</xdr:row>
      <xdr:rowOff>12700</xdr:rowOff>
    </xdr:from>
    <xdr:to>
      <xdr:col>16</xdr:col>
      <xdr:colOff>3498396</xdr:colOff>
      <xdr:row>4</xdr:row>
      <xdr:rowOff>177800</xdr:rowOff>
    </xdr:to>
    <xdr:sp macro="" textlink="">
      <xdr:nvSpPr>
        <xdr:cNvPr id="177957" name="Скругленный прямоугольник 177956">
          <a:extLst>
            <a:ext uri="{FF2B5EF4-FFF2-40B4-BE49-F238E27FC236}">
              <a16:creationId xmlns:a16="http://schemas.microsoft.com/office/drawing/2014/main" id="{00000000-0008-0000-0A00-000025B70200}"/>
            </a:ext>
          </a:extLst>
        </xdr:cNvPr>
        <xdr:cNvSpPr/>
      </xdr:nvSpPr>
      <xdr:spPr>
        <a:xfrm>
          <a:off x="11843294" y="1003300"/>
          <a:ext cx="192305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1880</a:t>
          </a:r>
        </a:p>
      </xdr:txBody>
    </xdr:sp>
    <xdr:clientData/>
  </xdr:twoCellAnchor>
  <xdr:twoCellAnchor>
    <xdr:from>
      <xdr:col>16</xdr:col>
      <xdr:colOff>3523796</xdr:colOff>
      <xdr:row>4</xdr:row>
      <xdr:rowOff>12700</xdr:rowOff>
    </xdr:from>
    <xdr:to>
      <xdr:col>16</xdr:col>
      <xdr:colOff>5778500</xdr:colOff>
      <xdr:row>4</xdr:row>
      <xdr:rowOff>177800</xdr:rowOff>
    </xdr:to>
    <xdr:sp macro="" textlink="">
      <xdr:nvSpPr>
        <xdr:cNvPr id="177958" name="Скругленный прямоугольник 177957">
          <a:extLst>
            <a:ext uri="{FF2B5EF4-FFF2-40B4-BE49-F238E27FC236}">
              <a16:creationId xmlns:a16="http://schemas.microsoft.com/office/drawing/2014/main" id="{00000000-0008-0000-0A00-000026B70200}"/>
            </a:ext>
          </a:extLst>
        </xdr:cNvPr>
        <xdr:cNvSpPr/>
      </xdr:nvSpPr>
      <xdr:spPr>
        <a:xfrm>
          <a:off x="13791746" y="1003300"/>
          <a:ext cx="225470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A4" mc:Ignorable="a14" a14:legacySpreadsheetColorIndex="2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D8" mc:Ignorable="a14" a14:legacySpreadsheetColorIndex="2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53" mc:Ignorable="a14" a14:legacySpreadsheetColorIndex="2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2200</a:t>
          </a:r>
        </a:p>
      </xdr:txBody>
    </xdr:sp>
    <xdr:clientData/>
  </xdr:twoCellAnchor>
  <xdr:twoCellAnchor>
    <xdr:from>
      <xdr:col>16</xdr:col>
      <xdr:colOff>0</xdr:colOff>
      <xdr:row>5</xdr:row>
      <xdr:rowOff>12700</xdr:rowOff>
    </xdr:from>
    <xdr:to>
      <xdr:col>16</xdr:col>
      <xdr:colOff>1591401</xdr:colOff>
      <xdr:row>5</xdr:row>
      <xdr:rowOff>177800</xdr:rowOff>
    </xdr:to>
    <xdr:sp macro="" textlink="">
      <xdr:nvSpPr>
        <xdr:cNvPr id="177959" name="Скругленный прямоугольник 177958">
          <a:extLst>
            <a:ext uri="{FF2B5EF4-FFF2-40B4-BE49-F238E27FC236}">
              <a16:creationId xmlns:a16="http://schemas.microsoft.com/office/drawing/2014/main" id="{00000000-0008-0000-0A00-000027B70200}"/>
            </a:ext>
          </a:extLst>
        </xdr:cNvPr>
        <xdr:cNvSpPr/>
      </xdr:nvSpPr>
      <xdr:spPr>
        <a:xfrm>
          <a:off x="10267950" y="1193800"/>
          <a:ext cx="159140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1560</a:t>
          </a:r>
        </a:p>
      </xdr:txBody>
    </xdr:sp>
    <xdr:clientData/>
  </xdr:twoCellAnchor>
  <xdr:twoCellAnchor>
    <xdr:from>
      <xdr:col>16</xdr:col>
      <xdr:colOff>1616801</xdr:colOff>
      <xdr:row>5</xdr:row>
      <xdr:rowOff>12700</xdr:rowOff>
    </xdr:from>
    <xdr:to>
      <xdr:col>16</xdr:col>
      <xdr:colOff>3539852</xdr:colOff>
      <xdr:row>5</xdr:row>
      <xdr:rowOff>177800</xdr:rowOff>
    </xdr:to>
    <xdr:sp macro="" textlink="">
      <xdr:nvSpPr>
        <xdr:cNvPr id="177960" name="Скругленный прямоугольник 177959">
          <a:extLst>
            <a:ext uri="{FF2B5EF4-FFF2-40B4-BE49-F238E27FC236}">
              <a16:creationId xmlns:a16="http://schemas.microsoft.com/office/drawing/2014/main" id="{00000000-0008-0000-0A00-000028B70200}"/>
            </a:ext>
          </a:extLst>
        </xdr:cNvPr>
        <xdr:cNvSpPr/>
      </xdr:nvSpPr>
      <xdr:spPr>
        <a:xfrm>
          <a:off x="11884751" y="1193800"/>
          <a:ext cx="192305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1880</a:t>
          </a:r>
        </a:p>
      </xdr:txBody>
    </xdr:sp>
    <xdr:clientData/>
  </xdr:twoCellAnchor>
  <xdr:twoCellAnchor>
    <xdr:from>
      <xdr:col>16</xdr:col>
      <xdr:colOff>3565252</xdr:colOff>
      <xdr:row>5</xdr:row>
      <xdr:rowOff>12700</xdr:rowOff>
    </xdr:from>
    <xdr:to>
      <xdr:col>16</xdr:col>
      <xdr:colOff>5768135</xdr:colOff>
      <xdr:row>5</xdr:row>
      <xdr:rowOff>177800</xdr:rowOff>
    </xdr:to>
    <xdr:sp macro="" textlink="">
      <xdr:nvSpPr>
        <xdr:cNvPr id="177961" name="Скругленный прямоугольник 177960">
          <a:extLst>
            <a:ext uri="{FF2B5EF4-FFF2-40B4-BE49-F238E27FC236}">
              <a16:creationId xmlns:a16="http://schemas.microsoft.com/office/drawing/2014/main" id="{00000000-0008-0000-0A00-000029B70200}"/>
            </a:ext>
          </a:extLst>
        </xdr:cNvPr>
        <xdr:cNvSpPr/>
      </xdr:nvSpPr>
      <xdr:spPr>
        <a:xfrm>
          <a:off x="13833202" y="1193800"/>
          <a:ext cx="220288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A4" mc:Ignorable="a14" a14:legacySpreadsheetColorIndex="2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D8" mc:Ignorable="a14" a14:legacySpreadsheetColorIndex="2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53" mc:Ignorable="a14" a14:legacySpreadsheetColorIndex="2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2150</a:t>
          </a:r>
        </a:p>
      </xdr:txBody>
    </xdr:sp>
    <xdr:clientData/>
  </xdr:twoCellAnchor>
  <xdr:twoCellAnchor>
    <xdr:from>
      <xdr:col>16</xdr:col>
      <xdr:colOff>0</xdr:colOff>
      <xdr:row>6</xdr:row>
      <xdr:rowOff>12700</xdr:rowOff>
    </xdr:from>
    <xdr:to>
      <xdr:col>16</xdr:col>
      <xdr:colOff>1549944</xdr:colOff>
      <xdr:row>6</xdr:row>
      <xdr:rowOff>177800</xdr:rowOff>
    </xdr:to>
    <xdr:sp macro="" textlink="">
      <xdr:nvSpPr>
        <xdr:cNvPr id="177962" name="Скругленный прямоугольник 177961">
          <a:extLst>
            <a:ext uri="{FF2B5EF4-FFF2-40B4-BE49-F238E27FC236}">
              <a16:creationId xmlns:a16="http://schemas.microsoft.com/office/drawing/2014/main" id="{00000000-0008-0000-0A00-00002AB70200}"/>
            </a:ext>
          </a:extLst>
        </xdr:cNvPr>
        <xdr:cNvSpPr/>
      </xdr:nvSpPr>
      <xdr:spPr>
        <a:xfrm>
          <a:off x="10267950" y="1384300"/>
          <a:ext cx="154994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1520</a:t>
          </a:r>
        </a:p>
      </xdr:txBody>
    </xdr:sp>
    <xdr:clientData/>
  </xdr:twoCellAnchor>
  <xdr:twoCellAnchor>
    <xdr:from>
      <xdr:col>16</xdr:col>
      <xdr:colOff>1575344</xdr:colOff>
      <xdr:row>6</xdr:row>
      <xdr:rowOff>12700</xdr:rowOff>
    </xdr:from>
    <xdr:to>
      <xdr:col>16</xdr:col>
      <xdr:colOff>3550217</xdr:colOff>
      <xdr:row>6</xdr:row>
      <xdr:rowOff>177800</xdr:rowOff>
    </xdr:to>
    <xdr:sp macro="" textlink="">
      <xdr:nvSpPr>
        <xdr:cNvPr id="177963" name="Скругленный прямоугольник 177962">
          <a:extLst>
            <a:ext uri="{FF2B5EF4-FFF2-40B4-BE49-F238E27FC236}">
              <a16:creationId xmlns:a16="http://schemas.microsoft.com/office/drawing/2014/main" id="{00000000-0008-0000-0A00-00002BB70200}"/>
            </a:ext>
          </a:extLst>
        </xdr:cNvPr>
        <xdr:cNvSpPr/>
      </xdr:nvSpPr>
      <xdr:spPr>
        <a:xfrm>
          <a:off x="11843294" y="1384300"/>
          <a:ext cx="197487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1930</a:t>
          </a:r>
        </a:p>
      </xdr:txBody>
    </xdr:sp>
    <xdr:clientData/>
  </xdr:twoCellAnchor>
  <xdr:twoCellAnchor>
    <xdr:from>
      <xdr:col>16</xdr:col>
      <xdr:colOff>3575617</xdr:colOff>
      <xdr:row>6</xdr:row>
      <xdr:rowOff>12700</xdr:rowOff>
    </xdr:from>
    <xdr:to>
      <xdr:col>16</xdr:col>
      <xdr:colOff>5768136</xdr:colOff>
      <xdr:row>6</xdr:row>
      <xdr:rowOff>177800</xdr:rowOff>
    </xdr:to>
    <xdr:sp macro="" textlink="">
      <xdr:nvSpPr>
        <xdr:cNvPr id="177964" name="Скругленный прямоугольник 177963">
          <a:extLst>
            <a:ext uri="{FF2B5EF4-FFF2-40B4-BE49-F238E27FC236}">
              <a16:creationId xmlns:a16="http://schemas.microsoft.com/office/drawing/2014/main" id="{00000000-0008-0000-0A00-00002CB70200}"/>
            </a:ext>
          </a:extLst>
        </xdr:cNvPr>
        <xdr:cNvSpPr/>
      </xdr:nvSpPr>
      <xdr:spPr>
        <a:xfrm>
          <a:off x="13843567" y="1384300"/>
          <a:ext cx="219251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7C" mc:Ignorable="a14" a14:legacySpreadsheetColorIndex="1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CB" mc:Ignorable="a14" a14:legacySpreadsheetColorIndex="1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00" mc:Ignorable="a14" a14:legacySpreadsheetColorIndex="1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2140</a:t>
          </a:r>
        </a:p>
      </xdr:txBody>
    </xdr:sp>
    <xdr:clientData/>
  </xdr:twoCellAnchor>
  <xdr:twoCellAnchor>
    <xdr:from>
      <xdr:col>16</xdr:col>
      <xdr:colOff>0</xdr:colOff>
      <xdr:row>7</xdr:row>
      <xdr:rowOff>12700</xdr:rowOff>
    </xdr:from>
    <xdr:to>
      <xdr:col>16</xdr:col>
      <xdr:colOff>1746862</xdr:colOff>
      <xdr:row>7</xdr:row>
      <xdr:rowOff>177800</xdr:rowOff>
    </xdr:to>
    <xdr:sp macro="" textlink="">
      <xdr:nvSpPr>
        <xdr:cNvPr id="177965" name="Скругленный прямоугольник 177964">
          <a:extLst>
            <a:ext uri="{FF2B5EF4-FFF2-40B4-BE49-F238E27FC236}">
              <a16:creationId xmlns:a16="http://schemas.microsoft.com/office/drawing/2014/main" id="{00000000-0008-0000-0A00-00002DB70200}"/>
            </a:ext>
          </a:extLst>
        </xdr:cNvPr>
        <xdr:cNvSpPr/>
      </xdr:nvSpPr>
      <xdr:spPr>
        <a:xfrm>
          <a:off x="10267950" y="1574800"/>
          <a:ext cx="174686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1710</a:t>
          </a:r>
        </a:p>
      </xdr:txBody>
    </xdr:sp>
    <xdr:clientData/>
  </xdr:twoCellAnchor>
  <xdr:twoCellAnchor>
    <xdr:from>
      <xdr:col>16</xdr:col>
      <xdr:colOff>1772262</xdr:colOff>
      <xdr:row>7</xdr:row>
      <xdr:rowOff>12700</xdr:rowOff>
    </xdr:from>
    <xdr:to>
      <xdr:col>16</xdr:col>
      <xdr:colOff>3633130</xdr:colOff>
      <xdr:row>7</xdr:row>
      <xdr:rowOff>177800</xdr:rowOff>
    </xdr:to>
    <xdr:sp macro="" textlink="">
      <xdr:nvSpPr>
        <xdr:cNvPr id="177966" name="Скругленный прямоугольник 177965">
          <a:extLst>
            <a:ext uri="{FF2B5EF4-FFF2-40B4-BE49-F238E27FC236}">
              <a16:creationId xmlns:a16="http://schemas.microsoft.com/office/drawing/2014/main" id="{00000000-0008-0000-0A00-00002EB70200}"/>
            </a:ext>
          </a:extLst>
        </xdr:cNvPr>
        <xdr:cNvSpPr/>
      </xdr:nvSpPr>
      <xdr:spPr>
        <a:xfrm>
          <a:off x="12040212" y="1574800"/>
          <a:ext cx="186086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1820</a:t>
          </a:r>
        </a:p>
      </xdr:txBody>
    </xdr:sp>
    <xdr:clientData/>
  </xdr:twoCellAnchor>
  <xdr:twoCellAnchor>
    <xdr:from>
      <xdr:col>16</xdr:col>
      <xdr:colOff>3658530</xdr:colOff>
      <xdr:row>7</xdr:row>
      <xdr:rowOff>12700</xdr:rowOff>
    </xdr:from>
    <xdr:to>
      <xdr:col>16</xdr:col>
      <xdr:colOff>5757773</xdr:colOff>
      <xdr:row>7</xdr:row>
      <xdr:rowOff>177800</xdr:rowOff>
    </xdr:to>
    <xdr:sp macro="" textlink="">
      <xdr:nvSpPr>
        <xdr:cNvPr id="177967" name="Скругленный прямоугольник 177966">
          <a:extLst>
            <a:ext uri="{FF2B5EF4-FFF2-40B4-BE49-F238E27FC236}">
              <a16:creationId xmlns:a16="http://schemas.microsoft.com/office/drawing/2014/main" id="{00000000-0008-0000-0A00-00002FB70200}"/>
            </a:ext>
          </a:extLst>
        </xdr:cNvPr>
        <xdr:cNvSpPr/>
      </xdr:nvSpPr>
      <xdr:spPr>
        <a:xfrm>
          <a:off x="13926480" y="1574800"/>
          <a:ext cx="209924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2050</a:t>
          </a:r>
        </a:p>
      </xdr:txBody>
    </xdr:sp>
    <xdr:clientData/>
  </xdr:twoCellAnchor>
  <xdr:twoCellAnchor>
    <xdr:from>
      <xdr:col>16</xdr:col>
      <xdr:colOff>0</xdr:colOff>
      <xdr:row>8</xdr:row>
      <xdr:rowOff>12700</xdr:rowOff>
    </xdr:from>
    <xdr:to>
      <xdr:col>16</xdr:col>
      <xdr:colOff>1591401</xdr:colOff>
      <xdr:row>8</xdr:row>
      <xdr:rowOff>177800</xdr:rowOff>
    </xdr:to>
    <xdr:sp macro="" textlink="">
      <xdr:nvSpPr>
        <xdr:cNvPr id="177968" name="Скругленный прямоугольник 177967">
          <a:extLst>
            <a:ext uri="{FF2B5EF4-FFF2-40B4-BE49-F238E27FC236}">
              <a16:creationId xmlns:a16="http://schemas.microsoft.com/office/drawing/2014/main" id="{00000000-0008-0000-0A00-000030B70200}"/>
            </a:ext>
          </a:extLst>
        </xdr:cNvPr>
        <xdr:cNvSpPr/>
      </xdr:nvSpPr>
      <xdr:spPr>
        <a:xfrm>
          <a:off x="10267950" y="1765300"/>
          <a:ext cx="159140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1560</a:t>
          </a:r>
        </a:p>
      </xdr:txBody>
    </xdr:sp>
    <xdr:clientData/>
  </xdr:twoCellAnchor>
  <xdr:twoCellAnchor>
    <xdr:from>
      <xdr:col>16</xdr:col>
      <xdr:colOff>1616801</xdr:colOff>
      <xdr:row>8</xdr:row>
      <xdr:rowOff>12700</xdr:rowOff>
    </xdr:from>
    <xdr:to>
      <xdr:col>16</xdr:col>
      <xdr:colOff>3477668</xdr:colOff>
      <xdr:row>8</xdr:row>
      <xdr:rowOff>177800</xdr:rowOff>
    </xdr:to>
    <xdr:sp macro="" textlink="">
      <xdr:nvSpPr>
        <xdr:cNvPr id="177969" name="Скругленный прямоугольник 177968">
          <a:extLst>
            <a:ext uri="{FF2B5EF4-FFF2-40B4-BE49-F238E27FC236}">
              <a16:creationId xmlns:a16="http://schemas.microsoft.com/office/drawing/2014/main" id="{00000000-0008-0000-0A00-000031B70200}"/>
            </a:ext>
          </a:extLst>
        </xdr:cNvPr>
        <xdr:cNvSpPr/>
      </xdr:nvSpPr>
      <xdr:spPr>
        <a:xfrm>
          <a:off x="11884751" y="1765300"/>
          <a:ext cx="186086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1820</a:t>
          </a:r>
        </a:p>
      </xdr:txBody>
    </xdr:sp>
    <xdr:clientData/>
  </xdr:twoCellAnchor>
  <xdr:twoCellAnchor>
    <xdr:from>
      <xdr:col>16</xdr:col>
      <xdr:colOff>3503068</xdr:colOff>
      <xdr:row>8</xdr:row>
      <xdr:rowOff>12700</xdr:rowOff>
    </xdr:from>
    <xdr:to>
      <xdr:col>16</xdr:col>
      <xdr:colOff>5757773</xdr:colOff>
      <xdr:row>8</xdr:row>
      <xdr:rowOff>177800</xdr:rowOff>
    </xdr:to>
    <xdr:sp macro="" textlink="">
      <xdr:nvSpPr>
        <xdr:cNvPr id="177970" name="Скругленный прямоугольник 177969">
          <a:extLst>
            <a:ext uri="{FF2B5EF4-FFF2-40B4-BE49-F238E27FC236}">
              <a16:creationId xmlns:a16="http://schemas.microsoft.com/office/drawing/2014/main" id="{00000000-0008-0000-0A00-000032B70200}"/>
            </a:ext>
          </a:extLst>
        </xdr:cNvPr>
        <xdr:cNvSpPr/>
      </xdr:nvSpPr>
      <xdr:spPr>
        <a:xfrm>
          <a:off x="13771018" y="1765300"/>
          <a:ext cx="225470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A4" mc:Ignorable="a14" a14:legacySpreadsheetColorIndex="2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D8" mc:Ignorable="a14" a14:legacySpreadsheetColorIndex="2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53" mc:Ignorable="a14" a14:legacySpreadsheetColorIndex="2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2200</a:t>
          </a:r>
        </a:p>
      </xdr:txBody>
    </xdr:sp>
    <xdr:clientData/>
  </xdr:twoCellAnchor>
  <xdr:twoCellAnchor>
    <xdr:from>
      <xdr:col>16</xdr:col>
      <xdr:colOff>0</xdr:colOff>
      <xdr:row>9</xdr:row>
      <xdr:rowOff>12700</xdr:rowOff>
    </xdr:from>
    <xdr:to>
      <xdr:col>16</xdr:col>
      <xdr:colOff>1404847</xdr:colOff>
      <xdr:row>9</xdr:row>
      <xdr:rowOff>177800</xdr:rowOff>
    </xdr:to>
    <xdr:sp macro="" textlink="">
      <xdr:nvSpPr>
        <xdr:cNvPr id="177971" name="Скругленный прямоугольник 177970">
          <a:extLst>
            <a:ext uri="{FF2B5EF4-FFF2-40B4-BE49-F238E27FC236}">
              <a16:creationId xmlns:a16="http://schemas.microsoft.com/office/drawing/2014/main" id="{00000000-0008-0000-0A00-000033B70200}"/>
            </a:ext>
          </a:extLst>
        </xdr:cNvPr>
        <xdr:cNvSpPr/>
      </xdr:nvSpPr>
      <xdr:spPr>
        <a:xfrm>
          <a:off x="10267950" y="1955800"/>
          <a:ext cx="14048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1380</a:t>
          </a:r>
        </a:p>
      </xdr:txBody>
    </xdr:sp>
    <xdr:clientData/>
  </xdr:twoCellAnchor>
  <xdr:twoCellAnchor>
    <xdr:from>
      <xdr:col>16</xdr:col>
      <xdr:colOff>1430247</xdr:colOff>
      <xdr:row>9</xdr:row>
      <xdr:rowOff>12700</xdr:rowOff>
    </xdr:from>
    <xdr:to>
      <xdr:col>16</xdr:col>
      <xdr:colOff>3581310</xdr:colOff>
      <xdr:row>9</xdr:row>
      <xdr:rowOff>177800</xdr:rowOff>
    </xdr:to>
    <xdr:sp macro="" textlink="">
      <xdr:nvSpPr>
        <xdr:cNvPr id="177972" name="Скругленный прямоугольник 177971">
          <a:extLst>
            <a:ext uri="{FF2B5EF4-FFF2-40B4-BE49-F238E27FC236}">
              <a16:creationId xmlns:a16="http://schemas.microsoft.com/office/drawing/2014/main" id="{00000000-0008-0000-0A00-000034B70200}"/>
            </a:ext>
          </a:extLst>
        </xdr:cNvPr>
        <xdr:cNvSpPr/>
      </xdr:nvSpPr>
      <xdr:spPr>
        <a:xfrm>
          <a:off x="11698197" y="1955800"/>
          <a:ext cx="215106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1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1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1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2100</a:t>
          </a:r>
        </a:p>
      </xdr:txBody>
    </xdr:sp>
    <xdr:clientData/>
  </xdr:twoCellAnchor>
  <xdr:twoCellAnchor>
    <xdr:from>
      <xdr:col>16</xdr:col>
      <xdr:colOff>3606709</xdr:colOff>
      <xdr:row>9</xdr:row>
      <xdr:rowOff>12700</xdr:rowOff>
    </xdr:from>
    <xdr:to>
      <xdr:col>16</xdr:col>
      <xdr:colOff>5757771</xdr:colOff>
      <xdr:row>9</xdr:row>
      <xdr:rowOff>177800</xdr:rowOff>
    </xdr:to>
    <xdr:sp macro="" textlink="">
      <xdr:nvSpPr>
        <xdr:cNvPr id="177973" name="Скругленный прямоугольник 177972">
          <a:extLst>
            <a:ext uri="{FF2B5EF4-FFF2-40B4-BE49-F238E27FC236}">
              <a16:creationId xmlns:a16="http://schemas.microsoft.com/office/drawing/2014/main" id="{00000000-0008-0000-0A00-000035B70200}"/>
            </a:ext>
          </a:extLst>
        </xdr:cNvPr>
        <xdr:cNvSpPr/>
      </xdr:nvSpPr>
      <xdr:spPr>
        <a:xfrm>
          <a:off x="13874659" y="1955800"/>
          <a:ext cx="215106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A4" mc:Ignorable="a14" a14:legacySpreadsheetColorIndex="1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D8" mc:Ignorable="a14" a14:legacySpreadsheetColorIndex="1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53" mc:Ignorable="a14" a14:legacySpreadsheetColorIndex="1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2100</a:t>
          </a:r>
        </a:p>
      </xdr:txBody>
    </xdr:sp>
    <xdr:clientData/>
  </xdr:twoCellAnchor>
  <xdr:twoCellAnchor>
    <xdr:from>
      <xdr:col>16</xdr:col>
      <xdr:colOff>0</xdr:colOff>
      <xdr:row>10</xdr:row>
      <xdr:rowOff>12700</xdr:rowOff>
    </xdr:from>
    <xdr:to>
      <xdr:col>16</xdr:col>
      <xdr:colOff>1404847</xdr:colOff>
      <xdr:row>10</xdr:row>
      <xdr:rowOff>177800</xdr:rowOff>
    </xdr:to>
    <xdr:sp macro="" textlink="">
      <xdr:nvSpPr>
        <xdr:cNvPr id="177974" name="Скругленный прямоугольник 177973">
          <a:extLst>
            <a:ext uri="{FF2B5EF4-FFF2-40B4-BE49-F238E27FC236}">
              <a16:creationId xmlns:a16="http://schemas.microsoft.com/office/drawing/2014/main" id="{00000000-0008-0000-0A00-000036B70200}"/>
            </a:ext>
          </a:extLst>
        </xdr:cNvPr>
        <xdr:cNvSpPr/>
      </xdr:nvSpPr>
      <xdr:spPr>
        <a:xfrm>
          <a:off x="10267950" y="2146300"/>
          <a:ext cx="14048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1380</a:t>
          </a:r>
        </a:p>
      </xdr:txBody>
    </xdr:sp>
    <xdr:clientData/>
  </xdr:twoCellAnchor>
  <xdr:twoCellAnchor>
    <xdr:from>
      <xdr:col>16</xdr:col>
      <xdr:colOff>1430247</xdr:colOff>
      <xdr:row>10</xdr:row>
      <xdr:rowOff>12700</xdr:rowOff>
    </xdr:from>
    <xdr:to>
      <xdr:col>16</xdr:col>
      <xdr:colOff>3529488</xdr:colOff>
      <xdr:row>10</xdr:row>
      <xdr:rowOff>177800</xdr:rowOff>
    </xdr:to>
    <xdr:sp macro="" textlink="">
      <xdr:nvSpPr>
        <xdr:cNvPr id="177975" name="Скругленный прямоугольник 177974">
          <a:extLst>
            <a:ext uri="{FF2B5EF4-FFF2-40B4-BE49-F238E27FC236}">
              <a16:creationId xmlns:a16="http://schemas.microsoft.com/office/drawing/2014/main" id="{00000000-0008-0000-0A00-000037B70200}"/>
            </a:ext>
          </a:extLst>
        </xdr:cNvPr>
        <xdr:cNvSpPr/>
      </xdr:nvSpPr>
      <xdr:spPr>
        <a:xfrm>
          <a:off x="11698197" y="2146300"/>
          <a:ext cx="209924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7C" mc:Ignorable="a14" a14:legacySpreadsheetColorIndex="1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CB" mc:Ignorable="a14" a14:legacySpreadsheetColorIndex="1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00" mc:Ignorable="a14" a14:legacySpreadsheetColorIndex="1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2050</a:t>
          </a:r>
        </a:p>
      </xdr:txBody>
    </xdr:sp>
    <xdr:clientData/>
  </xdr:twoCellAnchor>
  <xdr:twoCellAnchor>
    <xdr:from>
      <xdr:col>16</xdr:col>
      <xdr:colOff>3554888</xdr:colOff>
      <xdr:row>10</xdr:row>
      <xdr:rowOff>12700</xdr:rowOff>
    </xdr:from>
    <xdr:to>
      <xdr:col>16</xdr:col>
      <xdr:colOff>5757771</xdr:colOff>
      <xdr:row>10</xdr:row>
      <xdr:rowOff>177800</xdr:rowOff>
    </xdr:to>
    <xdr:sp macro="" textlink="">
      <xdr:nvSpPr>
        <xdr:cNvPr id="177976" name="Скругленный прямоугольник 177975">
          <a:extLst>
            <a:ext uri="{FF2B5EF4-FFF2-40B4-BE49-F238E27FC236}">
              <a16:creationId xmlns:a16="http://schemas.microsoft.com/office/drawing/2014/main" id="{00000000-0008-0000-0A00-000038B70200}"/>
            </a:ext>
          </a:extLst>
        </xdr:cNvPr>
        <xdr:cNvSpPr/>
      </xdr:nvSpPr>
      <xdr:spPr>
        <a:xfrm>
          <a:off x="13822838" y="2146300"/>
          <a:ext cx="220288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A4" mc:Ignorable="a14" a14:legacySpreadsheetColorIndex="2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D8" mc:Ignorable="a14" a14:legacySpreadsheetColorIndex="2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53" mc:Ignorable="a14" a14:legacySpreadsheetColorIndex="2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2150</a:t>
          </a:r>
        </a:p>
      </xdr:txBody>
    </xdr:sp>
    <xdr:clientData/>
  </xdr:twoCellAnchor>
  <xdr:twoCellAnchor>
    <xdr:from>
      <xdr:col>16</xdr:col>
      <xdr:colOff>0</xdr:colOff>
      <xdr:row>11</xdr:row>
      <xdr:rowOff>12700</xdr:rowOff>
    </xdr:from>
    <xdr:to>
      <xdr:col>16</xdr:col>
      <xdr:colOff>1404847</xdr:colOff>
      <xdr:row>11</xdr:row>
      <xdr:rowOff>177800</xdr:rowOff>
    </xdr:to>
    <xdr:sp macro="" textlink="">
      <xdr:nvSpPr>
        <xdr:cNvPr id="177977" name="Скругленный прямоугольник 177976">
          <a:extLst>
            <a:ext uri="{FF2B5EF4-FFF2-40B4-BE49-F238E27FC236}">
              <a16:creationId xmlns:a16="http://schemas.microsoft.com/office/drawing/2014/main" id="{00000000-0008-0000-0A00-000039B70200}"/>
            </a:ext>
          </a:extLst>
        </xdr:cNvPr>
        <xdr:cNvSpPr/>
      </xdr:nvSpPr>
      <xdr:spPr>
        <a:xfrm>
          <a:off x="10267950" y="2336800"/>
          <a:ext cx="14048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1380</a:t>
          </a:r>
        </a:p>
      </xdr:txBody>
    </xdr:sp>
    <xdr:clientData/>
  </xdr:twoCellAnchor>
  <xdr:twoCellAnchor>
    <xdr:from>
      <xdr:col>16</xdr:col>
      <xdr:colOff>1430247</xdr:colOff>
      <xdr:row>11</xdr:row>
      <xdr:rowOff>12700</xdr:rowOff>
    </xdr:from>
    <xdr:to>
      <xdr:col>16</xdr:col>
      <xdr:colOff>3477668</xdr:colOff>
      <xdr:row>11</xdr:row>
      <xdr:rowOff>177800</xdr:rowOff>
    </xdr:to>
    <xdr:sp macro="" textlink="">
      <xdr:nvSpPr>
        <xdr:cNvPr id="177978" name="Скругленный прямоугольник 177977">
          <a:extLst>
            <a:ext uri="{FF2B5EF4-FFF2-40B4-BE49-F238E27FC236}">
              <a16:creationId xmlns:a16="http://schemas.microsoft.com/office/drawing/2014/main" id="{00000000-0008-0000-0A00-00003AB70200}"/>
            </a:ext>
          </a:extLst>
        </xdr:cNvPr>
        <xdr:cNvSpPr/>
      </xdr:nvSpPr>
      <xdr:spPr>
        <a:xfrm>
          <a:off x="11698197" y="2336800"/>
          <a:ext cx="204742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7C7C" mc:Ignorable="a14" a14:legacySpreadsheetColorIndex="1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CBCB" mc:Ignorable="a14" a14:legacySpreadsheetColorIndex="1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0000" mc:Ignorable="a14" a14:legacySpreadsheetColorIndex="1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2000</a:t>
          </a:r>
        </a:p>
      </xdr:txBody>
    </xdr:sp>
    <xdr:clientData/>
  </xdr:twoCellAnchor>
  <xdr:twoCellAnchor>
    <xdr:from>
      <xdr:col>16</xdr:col>
      <xdr:colOff>3503068</xdr:colOff>
      <xdr:row>11</xdr:row>
      <xdr:rowOff>12700</xdr:rowOff>
    </xdr:from>
    <xdr:to>
      <xdr:col>16</xdr:col>
      <xdr:colOff>5757773</xdr:colOff>
      <xdr:row>11</xdr:row>
      <xdr:rowOff>177800</xdr:rowOff>
    </xdr:to>
    <xdr:sp macro="" textlink="">
      <xdr:nvSpPr>
        <xdr:cNvPr id="177979" name="Скругленный прямоугольник 177978">
          <a:extLst>
            <a:ext uri="{FF2B5EF4-FFF2-40B4-BE49-F238E27FC236}">
              <a16:creationId xmlns:a16="http://schemas.microsoft.com/office/drawing/2014/main" id="{00000000-0008-0000-0A00-00003BB70200}"/>
            </a:ext>
          </a:extLst>
        </xdr:cNvPr>
        <xdr:cNvSpPr/>
      </xdr:nvSpPr>
      <xdr:spPr>
        <a:xfrm>
          <a:off x="13771018" y="2336800"/>
          <a:ext cx="2254705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A4A4" mc:Ignorable="a14" a14:legacySpreadsheetColorIndex="2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D8D8" mc:Ignorable="a14" a14:legacySpreadsheetColorIndex="2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5353" mc:Ignorable="a14" a14:legacySpreadsheetColorIndex="2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2200</a:t>
          </a:r>
        </a:p>
      </xdr:txBody>
    </xdr:sp>
    <xdr:clientData/>
  </xdr:twoCellAnchor>
  <xdr:twoCellAnchor>
    <xdr:from>
      <xdr:col>16</xdr:col>
      <xdr:colOff>0</xdr:colOff>
      <xdr:row>12</xdr:row>
      <xdr:rowOff>12700</xdr:rowOff>
    </xdr:from>
    <xdr:to>
      <xdr:col>16</xdr:col>
      <xdr:colOff>1860868</xdr:colOff>
      <xdr:row>12</xdr:row>
      <xdr:rowOff>177800</xdr:rowOff>
    </xdr:to>
    <xdr:sp macro="" textlink="">
      <xdr:nvSpPr>
        <xdr:cNvPr id="177980" name="Скругленный прямоугольник 177979">
          <a:extLst>
            <a:ext uri="{FF2B5EF4-FFF2-40B4-BE49-F238E27FC236}">
              <a16:creationId xmlns:a16="http://schemas.microsoft.com/office/drawing/2014/main" id="{00000000-0008-0000-0A00-00003CB70200}"/>
            </a:ext>
          </a:extLst>
        </xdr:cNvPr>
        <xdr:cNvSpPr/>
      </xdr:nvSpPr>
      <xdr:spPr>
        <a:xfrm>
          <a:off x="10267950" y="2527300"/>
          <a:ext cx="186086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1820</a:t>
          </a:r>
        </a:p>
      </xdr:txBody>
    </xdr:sp>
    <xdr:clientData/>
  </xdr:twoCellAnchor>
  <xdr:twoCellAnchor>
    <xdr:from>
      <xdr:col>16</xdr:col>
      <xdr:colOff>1886268</xdr:colOff>
      <xdr:row>12</xdr:row>
      <xdr:rowOff>12700</xdr:rowOff>
    </xdr:from>
    <xdr:to>
      <xdr:col>16</xdr:col>
      <xdr:colOff>3747136</xdr:colOff>
      <xdr:row>12</xdr:row>
      <xdr:rowOff>177800</xdr:rowOff>
    </xdr:to>
    <xdr:sp macro="" textlink="">
      <xdr:nvSpPr>
        <xdr:cNvPr id="177981" name="Скругленный прямоугольник 177980">
          <a:extLst>
            <a:ext uri="{FF2B5EF4-FFF2-40B4-BE49-F238E27FC236}">
              <a16:creationId xmlns:a16="http://schemas.microsoft.com/office/drawing/2014/main" id="{00000000-0008-0000-0A00-00003DB70200}"/>
            </a:ext>
          </a:extLst>
        </xdr:cNvPr>
        <xdr:cNvSpPr/>
      </xdr:nvSpPr>
      <xdr:spPr>
        <a:xfrm>
          <a:off x="12154218" y="2527300"/>
          <a:ext cx="186086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1820</a:t>
          </a:r>
        </a:p>
      </xdr:txBody>
    </xdr:sp>
    <xdr:clientData/>
  </xdr:twoCellAnchor>
  <xdr:twoCellAnchor>
    <xdr:from>
      <xdr:col>16</xdr:col>
      <xdr:colOff>3772536</xdr:colOff>
      <xdr:row>12</xdr:row>
      <xdr:rowOff>12700</xdr:rowOff>
    </xdr:from>
    <xdr:to>
      <xdr:col>16</xdr:col>
      <xdr:colOff>5747409</xdr:colOff>
      <xdr:row>12</xdr:row>
      <xdr:rowOff>177800</xdr:rowOff>
    </xdr:to>
    <xdr:sp macro="" textlink="">
      <xdr:nvSpPr>
        <xdr:cNvPr id="177982" name="Скругленный прямоугольник 177981">
          <a:extLst>
            <a:ext uri="{FF2B5EF4-FFF2-40B4-BE49-F238E27FC236}">
              <a16:creationId xmlns:a16="http://schemas.microsoft.com/office/drawing/2014/main" id="{00000000-0008-0000-0A00-00003EB70200}"/>
            </a:ext>
          </a:extLst>
        </xdr:cNvPr>
        <xdr:cNvSpPr/>
      </xdr:nvSpPr>
      <xdr:spPr>
        <a:xfrm>
          <a:off x="14040486" y="2527300"/>
          <a:ext cx="197487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1930</a:t>
          </a:r>
        </a:p>
      </xdr:txBody>
    </xdr:sp>
    <xdr:clientData/>
  </xdr:twoCellAnchor>
  <xdr:twoCellAnchor>
    <xdr:from>
      <xdr:col>16</xdr:col>
      <xdr:colOff>0</xdr:colOff>
      <xdr:row>13</xdr:row>
      <xdr:rowOff>12700</xdr:rowOff>
    </xdr:from>
    <xdr:to>
      <xdr:col>16</xdr:col>
      <xdr:colOff>1746862</xdr:colOff>
      <xdr:row>13</xdr:row>
      <xdr:rowOff>177800</xdr:rowOff>
    </xdr:to>
    <xdr:sp macro="" textlink="">
      <xdr:nvSpPr>
        <xdr:cNvPr id="177983" name="Скругленный прямоугольник 177982">
          <a:extLst>
            <a:ext uri="{FF2B5EF4-FFF2-40B4-BE49-F238E27FC236}">
              <a16:creationId xmlns:a16="http://schemas.microsoft.com/office/drawing/2014/main" id="{00000000-0008-0000-0A00-00003FB70200}"/>
            </a:ext>
          </a:extLst>
        </xdr:cNvPr>
        <xdr:cNvSpPr/>
      </xdr:nvSpPr>
      <xdr:spPr>
        <a:xfrm>
          <a:off x="10267950" y="2717800"/>
          <a:ext cx="174686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1710</a:t>
          </a:r>
        </a:p>
      </xdr:txBody>
    </xdr:sp>
    <xdr:clientData/>
  </xdr:twoCellAnchor>
  <xdr:twoCellAnchor>
    <xdr:from>
      <xdr:col>16</xdr:col>
      <xdr:colOff>1772262</xdr:colOff>
      <xdr:row>13</xdr:row>
      <xdr:rowOff>12700</xdr:rowOff>
    </xdr:from>
    <xdr:to>
      <xdr:col>16</xdr:col>
      <xdr:colOff>3519125</xdr:colOff>
      <xdr:row>13</xdr:row>
      <xdr:rowOff>177800</xdr:rowOff>
    </xdr:to>
    <xdr:sp macro="" textlink="">
      <xdr:nvSpPr>
        <xdr:cNvPr id="177984" name="Скругленный прямоугольник 177983">
          <a:extLst>
            <a:ext uri="{FF2B5EF4-FFF2-40B4-BE49-F238E27FC236}">
              <a16:creationId xmlns:a16="http://schemas.microsoft.com/office/drawing/2014/main" id="{00000000-0008-0000-0A00-000040B70200}"/>
            </a:ext>
          </a:extLst>
        </xdr:cNvPr>
        <xdr:cNvSpPr/>
      </xdr:nvSpPr>
      <xdr:spPr>
        <a:xfrm>
          <a:off x="12040212" y="2717800"/>
          <a:ext cx="174686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1710</a:t>
          </a:r>
        </a:p>
      </xdr:txBody>
    </xdr:sp>
    <xdr:clientData/>
  </xdr:twoCellAnchor>
  <xdr:twoCellAnchor>
    <xdr:from>
      <xdr:col>16</xdr:col>
      <xdr:colOff>3544525</xdr:colOff>
      <xdr:row>13</xdr:row>
      <xdr:rowOff>12700</xdr:rowOff>
    </xdr:from>
    <xdr:to>
      <xdr:col>16</xdr:col>
      <xdr:colOff>5737044</xdr:colOff>
      <xdr:row>13</xdr:row>
      <xdr:rowOff>177800</xdr:rowOff>
    </xdr:to>
    <xdr:sp macro="" textlink="">
      <xdr:nvSpPr>
        <xdr:cNvPr id="177985" name="Скругленный прямоугольник 177984">
          <a:extLst>
            <a:ext uri="{FF2B5EF4-FFF2-40B4-BE49-F238E27FC236}">
              <a16:creationId xmlns:a16="http://schemas.microsoft.com/office/drawing/2014/main" id="{00000000-0008-0000-0A00-000041B70200}"/>
            </a:ext>
          </a:extLst>
        </xdr:cNvPr>
        <xdr:cNvSpPr/>
      </xdr:nvSpPr>
      <xdr:spPr>
        <a:xfrm>
          <a:off x="13812475" y="2717800"/>
          <a:ext cx="219251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A4A47C" mc:Ignorable="a14" a14:legacySpreadsheetColorIndex="1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D8D8CB" mc:Ignorable="a14" a14:legacySpreadsheetColorIndex="1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535300" mc:Ignorable="a14" a14:legacySpreadsheetColorIndex="1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2140</a:t>
          </a:r>
        </a:p>
      </xdr:txBody>
    </xdr:sp>
    <xdr:clientData/>
  </xdr:twoCellAnchor>
  <xdr:twoCellAnchor>
    <xdr:from>
      <xdr:col>16</xdr:col>
      <xdr:colOff>5762444</xdr:colOff>
      <xdr:row>13</xdr:row>
      <xdr:rowOff>12700</xdr:rowOff>
    </xdr:from>
    <xdr:to>
      <xdr:col>16</xdr:col>
      <xdr:colOff>5778500</xdr:colOff>
      <xdr:row>13</xdr:row>
      <xdr:rowOff>177800</xdr:rowOff>
    </xdr:to>
    <xdr:sp macro="" textlink="">
      <xdr:nvSpPr>
        <xdr:cNvPr id="177986" name="Скругленный прямоугольник 177985">
          <a:extLst>
            <a:ext uri="{FF2B5EF4-FFF2-40B4-BE49-F238E27FC236}">
              <a16:creationId xmlns:a16="http://schemas.microsoft.com/office/drawing/2014/main" id="{00000000-0008-0000-0A00-000042B70200}"/>
            </a:ext>
          </a:extLst>
        </xdr:cNvPr>
        <xdr:cNvSpPr/>
      </xdr:nvSpPr>
      <xdr:spPr>
        <a:xfrm>
          <a:off x="16030394" y="2717800"/>
          <a:ext cx="16056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Остаток: 40</a:t>
          </a:r>
        </a:p>
      </xdr:txBody>
    </xdr:sp>
    <xdr:clientData/>
  </xdr:twoCellAnchor>
  <xdr:twoCellAnchor>
    <xdr:from>
      <xdr:col>16</xdr:col>
      <xdr:colOff>0</xdr:colOff>
      <xdr:row>14</xdr:row>
      <xdr:rowOff>12700</xdr:rowOff>
    </xdr:from>
    <xdr:to>
      <xdr:col>16</xdr:col>
      <xdr:colOff>1404847</xdr:colOff>
      <xdr:row>14</xdr:row>
      <xdr:rowOff>177800</xdr:rowOff>
    </xdr:to>
    <xdr:sp macro="" textlink="">
      <xdr:nvSpPr>
        <xdr:cNvPr id="177987" name="Скругленный прямоугольник 177986">
          <a:extLst>
            <a:ext uri="{FF2B5EF4-FFF2-40B4-BE49-F238E27FC236}">
              <a16:creationId xmlns:a16="http://schemas.microsoft.com/office/drawing/2014/main" id="{00000000-0008-0000-0A00-000043B70200}"/>
            </a:ext>
          </a:extLst>
        </xdr:cNvPr>
        <xdr:cNvSpPr/>
      </xdr:nvSpPr>
      <xdr:spPr>
        <a:xfrm>
          <a:off x="10267950" y="2908300"/>
          <a:ext cx="140484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1380</a:t>
          </a:r>
        </a:p>
      </xdr:txBody>
    </xdr:sp>
    <xdr:clientData/>
  </xdr:twoCellAnchor>
  <xdr:twoCellAnchor>
    <xdr:from>
      <xdr:col>16</xdr:col>
      <xdr:colOff>1430247</xdr:colOff>
      <xdr:row>14</xdr:row>
      <xdr:rowOff>12700</xdr:rowOff>
    </xdr:from>
    <xdr:to>
      <xdr:col>16</xdr:col>
      <xdr:colOff>3291114</xdr:colOff>
      <xdr:row>14</xdr:row>
      <xdr:rowOff>177800</xdr:rowOff>
    </xdr:to>
    <xdr:sp macro="" textlink="">
      <xdr:nvSpPr>
        <xdr:cNvPr id="177988" name="Скругленный прямоугольник 177987">
          <a:extLst>
            <a:ext uri="{FF2B5EF4-FFF2-40B4-BE49-F238E27FC236}">
              <a16:creationId xmlns:a16="http://schemas.microsoft.com/office/drawing/2014/main" id="{00000000-0008-0000-0A00-000044B70200}"/>
            </a:ext>
          </a:extLst>
        </xdr:cNvPr>
        <xdr:cNvSpPr/>
      </xdr:nvSpPr>
      <xdr:spPr>
        <a:xfrm>
          <a:off x="11698197" y="2908300"/>
          <a:ext cx="186086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1820</a:t>
          </a:r>
        </a:p>
      </xdr:txBody>
    </xdr:sp>
    <xdr:clientData/>
  </xdr:twoCellAnchor>
  <xdr:twoCellAnchor>
    <xdr:from>
      <xdr:col>16</xdr:col>
      <xdr:colOff>3316514</xdr:colOff>
      <xdr:row>14</xdr:row>
      <xdr:rowOff>12700</xdr:rowOff>
    </xdr:from>
    <xdr:to>
      <xdr:col>16</xdr:col>
      <xdr:colOff>5177382</xdr:colOff>
      <xdr:row>14</xdr:row>
      <xdr:rowOff>177800</xdr:rowOff>
    </xdr:to>
    <xdr:sp macro="" textlink="">
      <xdr:nvSpPr>
        <xdr:cNvPr id="177989" name="Скругленный прямоугольник 177988">
          <a:extLst>
            <a:ext uri="{FF2B5EF4-FFF2-40B4-BE49-F238E27FC236}">
              <a16:creationId xmlns:a16="http://schemas.microsoft.com/office/drawing/2014/main" id="{00000000-0008-0000-0A00-000045B70200}"/>
            </a:ext>
          </a:extLst>
        </xdr:cNvPr>
        <xdr:cNvSpPr/>
      </xdr:nvSpPr>
      <xdr:spPr>
        <a:xfrm>
          <a:off x="13584464" y="2908300"/>
          <a:ext cx="186086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1820</a:t>
          </a:r>
        </a:p>
      </xdr:txBody>
    </xdr:sp>
    <xdr:clientData/>
  </xdr:twoCellAnchor>
  <xdr:twoCellAnchor>
    <xdr:from>
      <xdr:col>16</xdr:col>
      <xdr:colOff>5202782</xdr:colOff>
      <xdr:row>14</xdr:row>
      <xdr:rowOff>12700</xdr:rowOff>
    </xdr:from>
    <xdr:to>
      <xdr:col>16</xdr:col>
      <xdr:colOff>5778500</xdr:colOff>
      <xdr:row>14</xdr:row>
      <xdr:rowOff>177800</xdr:rowOff>
    </xdr:to>
    <xdr:sp macro="" textlink="">
      <xdr:nvSpPr>
        <xdr:cNvPr id="177990" name="Скругленный прямоугольник 177989">
          <a:extLst>
            <a:ext uri="{FF2B5EF4-FFF2-40B4-BE49-F238E27FC236}">
              <a16:creationId xmlns:a16="http://schemas.microsoft.com/office/drawing/2014/main" id="{00000000-0008-0000-0A00-000046B70200}"/>
            </a:ext>
          </a:extLst>
        </xdr:cNvPr>
        <xdr:cNvSpPr/>
      </xdr:nvSpPr>
      <xdr:spPr>
        <a:xfrm>
          <a:off x="15470732" y="2908300"/>
          <a:ext cx="57571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Остаток: 580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3</xdr:col>
      <xdr:colOff>0</xdr:colOff>
      <xdr:row>13</xdr:row>
      <xdr:rowOff>0</xdr:rowOff>
    </xdr:to>
    <xdr:sp macro="[0]!SheetOff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609600" y="1781175"/>
          <a:ext cx="2247900" cy="32385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Скрыть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лист с настройками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3</xdr:row>
          <xdr:rowOff>0</xdr:rowOff>
        </xdr:from>
        <xdr:to>
          <xdr:col>2</xdr:col>
          <xdr:colOff>476250</xdr:colOff>
          <xdr:row>4</xdr:row>
          <xdr:rowOff>0</xdr:rowOff>
        </xdr:to>
        <xdr:sp macro="" textlink="">
          <xdr:nvSpPr>
            <xdr:cNvPr id="162818" name="Check Box 2" hidden="1">
              <a:extLst>
                <a:ext uri="{63B3BB69-23CF-44E3-9099-C40C66FF867C}">
                  <a14:compatExt spid="_x0000_s162818"/>
                </a:ext>
                <a:ext uri="{FF2B5EF4-FFF2-40B4-BE49-F238E27FC236}">
                  <a16:creationId xmlns:a16="http://schemas.microsoft.com/office/drawing/2014/main" id="{00000000-0008-0000-0B00-000002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7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2"/>
  <dimension ref="A1:P1063"/>
  <sheetViews>
    <sheetView showGridLines="0" tabSelected="1" zoomScale="85" zoomScaleNormal="85" workbookViewId="0">
      <selection activeCell="H6" sqref="H6"/>
    </sheetView>
  </sheetViews>
  <sheetFormatPr defaultRowHeight="15" x14ac:dyDescent="0.25"/>
  <cols>
    <col min="1" max="1" width="2.7109375" style="1" customWidth="1"/>
    <col min="2" max="2" width="5.28515625" style="1" customWidth="1"/>
    <col min="3" max="3" width="9" style="1" customWidth="1"/>
    <col min="4" max="5" width="14.28515625" style="1" customWidth="1"/>
    <col min="6" max="6" width="14.85546875" style="1" customWidth="1"/>
    <col min="7" max="7" width="2.7109375" style="1" customWidth="1"/>
    <col min="8" max="8" width="9" style="1" customWidth="1"/>
    <col min="9" max="9" width="12.5703125" style="1" customWidth="1"/>
    <col min="10" max="10" width="2.7109375" style="1" customWidth="1"/>
    <col min="11" max="11" width="9.42578125" style="1" bestFit="1" customWidth="1"/>
    <col min="12" max="12" width="9" style="1" customWidth="1"/>
    <col min="13" max="13" width="14.28515625" style="1" customWidth="1"/>
    <col min="14" max="14" width="57.7109375" style="1" bestFit="1" customWidth="1"/>
    <col min="15" max="15" width="8.28515625" style="1" bestFit="1" customWidth="1"/>
    <col min="16" max="16" width="2.7109375" style="1" customWidth="1"/>
    <col min="17" max="17" width="87.140625" style="1" customWidth="1"/>
    <col min="18" max="16384" width="9.140625" style="1"/>
  </cols>
  <sheetData>
    <row r="1" spans="2:16" x14ac:dyDescent="0.25">
      <c r="B1" s="2" t="s">
        <v>3</v>
      </c>
      <c r="H1" s="38" t="s">
        <v>19</v>
      </c>
      <c r="I1" s="15"/>
      <c r="K1" s="12" t="s">
        <v>4</v>
      </c>
      <c r="L1" s="13"/>
      <c r="M1" s="12"/>
      <c r="N1" s="13"/>
      <c r="O1" s="14">
        <f>O3/(L3+O3)</f>
        <v>1.4718702942608381E-4</v>
      </c>
    </row>
    <row r="2" spans="2:16" ht="33" customHeight="1" x14ac:dyDescent="0.25">
      <c r="B2" s="3" t="str">
        <f>B24</f>
        <v>№</v>
      </c>
      <c r="C2" s="3" t="s">
        <v>1</v>
      </c>
      <c r="D2" s="3" t="s">
        <v>0</v>
      </c>
      <c r="E2" s="3" t="s">
        <v>10</v>
      </c>
      <c r="F2" s="4" t="s">
        <v>12</v>
      </c>
      <c r="H2" s="3" t="s">
        <v>1</v>
      </c>
      <c r="I2" s="3" t="s">
        <v>0</v>
      </c>
      <c r="K2" s="5" t="s">
        <v>1</v>
      </c>
      <c r="L2" s="5" t="s">
        <v>6</v>
      </c>
      <c r="M2" s="6" t="s">
        <v>11</v>
      </c>
      <c r="N2" s="5" t="s">
        <v>7</v>
      </c>
      <c r="O2" s="6" t="str">
        <f>"Отходы
"&amp;IF((L3+O3)&gt;0,TEXT(O3/(L3+O3),"0,00%"),"")</f>
        <v>Отходы
000%</v>
      </c>
    </row>
    <row r="3" spans="2:16" x14ac:dyDescent="0.25">
      <c r="B3" s="27"/>
      <c r="C3" s="27">
        <f>IF(COUNT(C4:C13)=COUNT(D4:D13),SUMPRODUCT(C4:C13,D4:D13),)</f>
        <v>0</v>
      </c>
      <c r="D3" s="23" t="str">
        <f>IF(COUNT(C4:C13)=COUNT(D4:D13),SUM(D4:D13),"много")</f>
        <v>много</v>
      </c>
      <c r="E3" s="23">
        <f>SUM(E4:E13)</f>
        <v>0</v>
      </c>
      <c r="F3" s="23" t="str">
        <f>IF(D3="много","много",D3-E3)</f>
        <v>много</v>
      </c>
      <c r="H3" s="27">
        <f>SUMPRODUCT(H4:H13,I4:I13)</f>
        <v>0</v>
      </c>
      <c r="I3" s="23" t="str">
        <f>IF(COUNT(H4:H13)=COUNT(I4:I13),SUM(I4:I13),"много")</f>
        <v>много</v>
      </c>
      <c r="K3" s="31">
        <f>SUMPRODUCT(K4:K1060,$M4:$M1060)</f>
        <v>90000</v>
      </c>
      <c r="L3" s="31">
        <f>SUMPRODUCT(L4:L1060,$M4:$M1060)</f>
        <v>88310</v>
      </c>
      <c r="M3" s="32">
        <f>SUM(M4:M1060)</f>
        <v>15</v>
      </c>
      <c r="N3" s="33"/>
      <c r="O3" s="31">
        <f t="array" ref="O3">SUM(IF((O4:O1060&lt;D17)+(D17=0),$M4:$M1060*O4:O1060))</f>
        <v>13</v>
      </c>
    </row>
    <row r="4" spans="2:16" x14ac:dyDescent="0.25">
      <c r="B4" s="36">
        <f>IF(N(C4)=0,"",1)</f>
        <v>1</v>
      </c>
      <c r="C4" s="48">
        <v>3000</v>
      </c>
      <c r="D4" s="9"/>
      <c r="E4" s="28">
        <f t="shared" ref="E4:E13" si="0">MIN(SUMIF(K$4:K$1060,C4,M$4:M$1060),D4)</f>
        <v>0</v>
      </c>
      <c r="F4" s="28">
        <f>IF(D4,D4-E4,)</f>
        <v>0</v>
      </c>
      <c r="H4" s="51">
        <v>3000</v>
      </c>
      <c r="I4" s="41"/>
      <c r="K4" s="66">
        <v>6000</v>
      </c>
      <c r="L4" s="65">
        <v>6000</v>
      </c>
      <c r="M4" s="72">
        <v>2</v>
      </c>
      <c r="N4" s="69" t="s">
        <v>30</v>
      </c>
      <c r="O4" s="65">
        <f t="shared" ref="O4:O16" si="1">K4-L4</f>
        <v>0</v>
      </c>
    </row>
    <row r="5" spans="2:16" x14ac:dyDescent="0.25">
      <c r="B5" s="34" t="str">
        <f>IF(N(C5)=0,"",IF(ISNUMBER(MATCH(C5,C$4:C4,)),INDEX(B$4:B4,MATCH(C5,C$4:C4,)),MAX(B$4:B4)+1))</f>
        <v/>
      </c>
      <c r="C5" s="49"/>
      <c r="D5" s="10"/>
      <c r="E5" s="29">
        <f t="shared" si="0"/>
        <v>0</v>
      </c>
      <c r="F5" s="29">
        <f>IF(D5,D5-E5,)</f>
        <v>0</v>
      </c>
      <c r="H5" s="52"/>
      <c r="I5" s="75"/>
      <c r="K5" s="67">
        <v>6000</v>
      </c>
      <c r="L5" s="45">
        <v>6000</v>
      </c>
      <c r="M5" s="73">
        <v>2</v>
      </c>
      <c r="N5" s="70" t="s">
        <v>28</v>
      </c>
      <c r="O5" s="45">
        <f t="shared" si="1"/>
        <v>0</v>
      </c>
    </row>
    <row r="6" spans="2:16" x14ac:dyDescent="0.25">
      <c r="B6" s="34" t="str">
        <f>IF(N(C6)=0,"",IF(ISNUMBER(MATCH(C6,C$4:C5,)),INDEX(B$4:B5,MATCH(C6,C$4:C5,)),MAX(B$4:B5)+1))</f>
        <v/>
      </c>
      <c r="C6" s="49"/>
      <c r="D6" s="10"/>
      <c r="E6" s="29">
        <f t="shared" si="0"/>
        <v>0</v>
      </c>
      <c r="F6" s="29">
        <f t="shared" ref="F6:F11" si="2">IF(D6,D6-E6,)</f>
        <v>0</v>
      </c>
      <c r="H6" s="52"/>
      <c r="I6" s="42"/>
      <c r="K6" s="67">
        <v>6000</v>
      </c>
      <c r="L6" s="45">
        <v>6000</v>
      </c>
      <c r="M6" s="73">
        <v>1</v>
      </c>
      <c r="N6" s="70" t="s">
        <v>31</v>
      </c>
      <c r="O6" s="45">
        <f t="shared" si="1"/>
        <v>0</v>
      </c>
    </row>
    <row r="7" spans="2:16" x14ac:dyDescent="0.25">
      <c r="B7" s="34" t="str">
        <f>IF(N(C7)=0,"",IF(ISNUMBER(MATCH(C7,C$4:C6,)),INDEX(B$4:B6,MATCH(C7,C$4:C6,)),MAX(B$4:B6)+1))</f>
        <v/>
      </c>
      <c r="C7" s="49"/>
      <c r="D7" s="10"/>
      <c r="E7" s="29">
        <f t="shared" si="0"/>
        <v>0</v>
      </c>
      <c r="F7" s="29">
        <f t="shared" si="2"/>
        <v>0</v>
      </c>
      <c r="H7" s="52"/>
      <c r="I7" s="42"/>
      <c r="K7" s="67">
        <v>6000</v>
      </c>
      <c r="L7" s="45">
        <v>6000</v>
      </c>
      <c r="M7" s="73">
        <v>1</v>
      </c>
      <c r="N7" s="70" t="s">
        <v>192</v>
      </c>
      <c r="O7" s="45">
        <f t="shared" si="1"/>
        <v>0</v>
      </c>
    </row>
    <row r="8" spans="2:16" x14ac:dyDescent="0.25">
      <c r="B8" s="34" t="str">
        <f>IF(N(C8)=0,"",IF(ISNUMBER(MATCH(C8,C$4:C7,)),INDEX(B$4:B7,MATCH(C8,C$4:C7,)),MAX(B$4:B7)+1))</f>
        <v/>
      </c>
      <c r="C8" s="49"/>
      <c r="D8" s="10"/>
      <c r="E8" s="29">
        <f t="shared" si="0"/>
        <v>0</v>
      </c>
      <c r="F8" s="29">
        <f t="shared" si="2"/>
        <v>0</v>
      </c>
      <c r="H8" s="52"/>
      <c r="I8" s="42"/>
      <c r="K8" s="67">
        <v>6000</v>
      </c>
      <c r="L8" s="45">
        <v>6000</v>
      </c>
      <c r="M8" s="73">
        <v>1</v>
      </c>
      <c r="N8" s="70" t="s">
        <v>193</v>
      </c>
      <c r="O8" s="45">
        <f t="shared" si="1"/>
        <v>0</v>
      </c>
    </row>
    <row r="9" spans="2:16" x14ac:dyDescent="0.25">
      <c r="B9" s="34" t="str">
        <f>IF(N(C9)=0,"",IF(ISNUMBER(MATCH(C9,C$4:C8,)),INDEX(B$4:B8,MATCH(C9,C$4:C8,)),MAX(B$4:B8)+1))</f>
        <v/>
      </c>
      <c r="C9" s="49"/>
      <c r="D9" s="10"/>
      <c r="E9" s="29">
        <f t="shared" si="0"/>
        <v>0</v>
      </c>
      <c r="F9" s="29">
        <f t="shared" si="2"/>
        <v>0</v>
      </c>
      <c r="H9" s="52"/>
      <c r="I9" s="42"/>
      <c r="K9" s="67">
        <v>6000</v>
      </c>
      <c r="L9" s="45">
        <v>6000</v>
      </c>
      <c r="M9" s="73">
        <v>1</v>
      </c>
      <c r="N9" s="70" t="s">
        <v>197</v>
      </c>
      <c r="O9" s="45">
        <f t="shared" si="1"/>
        <v>0</v>
      </c>
    </row>
    <row r="10" spans="2:16" x14ac:dyDescent="0.25">
      <c r="B10" s="34" t="str">
        <f>IF(N(C10)=0,"",IF(ISNUMBER(MATCH(C10,C$4:C9,)),INDEX(B$4:B9,MATCH(C10,C$4:C9,)),MAX(B$4:B9)+1))</f>
        <v/>
      </c>
      <c r="C10" s="49"/>
      <c r="D10" s="10"/>
      <c r="E10" s="29">
        <f t="shared" si="0"/>
        <v>0</v>
      </c>
      <c r="F10" s="29">
        <f t="shared" si="2"/>
        <v>0</v>
      </c>
      <c r="H10" s="52"/>
      <c r="I10" s="42"/>
      <c r="K10" s="67">
        <v>6000</v>
      </c>
      <c r="L10" s="45">
        <v>6000</v>
      </c>
      <c r="M10" s="73">
        <v>1</v>
      </c>
      <c r="N10" s="70" t="s">
        <v>198</v>
      </c>
      <c r="O10" s="45">
        <f t="shared" si="1"/>
        <v>0</v>
      </c>
    </row>
    <row r="11" spans="2:16" x14ac:dyDescent="0.25">
      <c r="B11" s="34" t="str">
        <f>IF(N(C11)=0,"",IF(ISNUMBER(MATCH(C11,C$4:C10,)),INDEX(B$4:B10,MATCH(C11,C$4:C10,)),MAX(B$4:B10)+1))</f>
        <v/>
      </c>
      <c r="C11" s="49"/>
      <c r="D11" s="10"/>
      <c r="E11" s="29">
        <f t="shared" si="0"/>
        <v>0</v>
      </c>
      <c r="F11" s="29">
        <f t="shared" si="2"/>
        <v>0</v>
      </c>
      <c r="H11" s="52"/>
      <c r="I11" s="42"/>
      <c r="K11" s="67">
        <v>6000</v>
      </c>
      <c r="L11" s="45">
        <v>5999</v>
      </c>
      <c r="M11" s="73">
        <v>1</v>
      </c>
      <c r="N11" s="70" t="s">
        <v>29</v>
      </c>
      <c r="O11" s="45">
        <f t="shared" si="1"/>
        <v>1</v>
      </c>
    </row>
    <row r="12" spans="2:16" x14ac:dyDescent="0.25">
      <c r="B12" s="34" t="str">
        <f>IF(N(C12)=0,"",IF(ISNUMBER(MATCH(C12,C$4:C11,)),INDEX(B$4:B11,MATCH(C12,C$4:C11,)),MAX(B$4:B11)+1))</f>
        <v/>
      </c>
      <c r="C12" s="49"/>
      <c r="D12" s="10"/>
      <c r="E12" s="29">
        <f t="shared" si="0"/>
        <v>0</v>
      </c>
      <c r="F12" s="29">
        <f>IF(D12,D12-E12,)</f>
        <v>0</v>
      </c>
      <c r="H12" s="52"/>
      <c r="I12" s="42"/>
      <c r="K12" s="67">
        <v>6000</v>
      </c>
      <c r="L12" s="45">
        <v>5999</v>
      </c>
      <c r="M12" s="73">
        <v>1</v>
      </c>
      <c r="N12" s="70" t="s">
        <v>194</v>
      </c>
      <c r="O12" s="45">
        <f t="shared" si="1"/>
        <v>1</v>
      </c>
    </row>
    <row r="13" spans="2:16" x14ac:dyDescent="0.25">
      <c r="B13" s="35" t="str">
        <f>IF(N(C13)=0,"",IF(ISNUMBER(MATCH(C13,C$4:C12,)),INDEX(B$4:B12,MATCH(C13,C$4:C12,)),MAX(B$4:B12)+1))</f>
        <v/>
      </c>
      <c r="C13" s="50"/>
      <c r="D13" s="11"/>
      <c r="E13" s="30">
        <f t="shared" si="0"/>
        <v>0</v>
      </c>
      <c r="F13" s="30">
        <f>IF(D13,D13-E13,)</f>
        <v>0</v>
      </c>
      <c r="H13" s="53"/>
      <c r="I13" s="43"/>
      <c r="K13" s="67">
        <v>6000</v>
      </c>
      <c r="L13" s="45">
        <v>5999</v>
      </c>
      <c r="M13" s="73">
        <v>1</v>
      </c>
      <c r="N13" s="70" t="s">
        <v>199</v>
      </c>
      <c r="O13" s="45">
        <f t="shared" si="1"/>
        <v>1</v>
      </c>
    </row>
    <row r="14" spans="2:16" x14ac:dyDescent="0.25">
      <c r="J14" s="15"/>
      <c r="K14" s="67">
        <v>6000</v>
      </c>
      <c r="L14" s="45">
        <v>5997</v>
      </c>
      <c r="M14" s="73">
        <v>1</v>
      </c>
      <c r="N14" s="70" t="s">
        <v>191</v>
      </c>
      <c r="O14" s="45">
        <f t="shared" si="1"/>
        <v>3</v>
      </c>
      <c r="P14" s="15"/>
    </row>
    <row r="15" spans="2:16" x14ac:dyDescent="0.25">
      <c r="B15" s="2" t="s">
        <v>13</v>
      </c>
      <c r="D15" s="37">
        <v>10</v>
      </c>
      <c r="E15" s="21" t="b">
        <v>1</v>
      </c>
      <c r="G15" s="17" t="s">
        <v>40</v>
      </c>
      <c r="H15" s="21">
        <v>5</v>
      </c>
      <c r="I15" s="17"/>
      <c r="J15" s="15"/>
      <c r="K15" s="67">
        <v>6000</v>
      </c>
      <c r="L15" s="45">
        <v>5993</v>
      </c>
      <c r="M15" s="73">
        <v>1</v>
      </c>
      <c r="N15" s="70" t="s">
        <v>195</v>
      </c>
      <c r="O15" s="45">
        <f t="shared" si="1"/>
        <v>7</v>
      </c>
      <c r="P15" s="15"/>
    </row>
    <row r="16" spans="2:16" x14ac:dyDescent="0.25">
      <c r="B16" s="38" t="s">
        <v>17</v>
      </c>
      <c r="C16" s="15"/>
      <c r="D16" s="39">
        <v>10</v>
      </c>
      <c r="E16" s="22" t="b">
        <v>1</v>
      </c>
      <c r="G16" s="17" t="s">
        <v>41</v>
      </c>
      <c r="H16" s="21">
        <v>1</v>
      </c>
      <c r="I16" s="17"/>
      <c r="J16" s="15"/>
      <c r="K16" s="68">
        <v>6000</v>
      </c>
      <c r="L16" s="46">
        <v>4323</v>
      </c>
      <c r="M16" s="74">
        <v>1</v>
      </c>
      <c r="N16" s="71" t="s">
        <v>196</v>
      </c>
      <c r="O16" s="46">
        <f t="shared" si="1"/>
        <v>1677</v>
      </c>
      <c r="P16" s="15"/>
    </row>
    <row r="17" spans="1:16" x14ac:dyDescent="0.25">
      <c r="B17" s="38" t="s">
        <v>18</v>
      </c>
      <c r="C17" s="15"/>
      <c r="D17" s="39">
        <v>1000</v>
      </c>
      <c r="E17" s="22" t="b">
        <v>0</v>
      </c>
      <c r="F17" s="22" t="b">
        <v>0</v>
      </c>
      <c r="G17" s="17" t="s">
        <v>42</v>
      </c>
      <c r="I17" s="17"/>
      <c r="J17" s="15"/>
      <c r="K17"/>
      <c r="L17"/>
      <c r="M17"/>
      <c r="N17"/>
      <c r="O17"/>
      <c r="P17" s="15"/>
    </row>
    <row r="18" spans="1:16" x14ac:dyDescent="0.25">
      <c r="B18" s="38"/>
      <c r="C18" s="15"/>
      <c r="D18" s="40"/>
      <c r="E18" s="22"/>
      <c r="G18" s="17" t="s">
        <v>43</v>
      </c>
      <c r="H18" s="15"/>
      <c r="I18" s="17"/>
      <c r="J18" s="15"/>
      <c r="K18"/>
      <c r="L18"/>
      <c r="M18"/>
      <c r="N18"/>
      <c r="O18"/>
      <c r="P18" s="15"/>
    </row>
    <row r="19" spans="1:16" x14ac:dyDescent="0.25">
      <c r="B19" s="38"/>
      <c r="C19" s="15"/>
      <c r="D19" s="40"/>
      <c r="E19" s="22"/>
      <c r="G19" s="17" t="s">
        <v>44</v>
      </c>
      <c r="H19" s="15"/>
      <c r="I19" s="16"/>
      <c r="J19" s="15"/>
      <c r="K19"/>
      <c r="L19"/>
      <c r="M19"/>
      <c r="N19"/>
      <c r="O19"/>
      <c r="P19" s="15"/>
    </row>
    <row r="20" spans="1:16" x14ac:dyDescent="0.25">
      <c r="B20" s="38"/>
      <c r="C20" s="15"/>
      <c r="D20" s="40"/>
      <c r="E20" s="22"/>
      <c r="H20" s="15"/>
      <c r="I20" s="16"/>
      <c r="J20" s="15"/>
      <c r="K20"/>
      <c r="L20"/>
      <c r="M20"/>
      <c r="N20"/>
      <c r="O20"/>
      <c r="P20" s="15"/>
    </row>
    <row r="21" spans="1:16" x14ac:dyDescent="0.25">
      <c r="B21" s="38"/>
      <c r="C21" s="15"/>
      <c r="D21" s="40"/>
      <c r="E21" s="22"/>
      <c r="H21" s="15"/>
      <c r="I21" s="16"/>
      <c r="J21" s="15"/>
      <c r="K21"/>
      <c r="L21"/>
      <c r="M21"/>
      <c r="N21"/>
      <c r="O21"/>
      <c r="P21" s="15"/>
    </row>
    <row r="22" spans="1:16" x14ac:dyDescent="0.25">
      <c r="B22" s="38"/>
      <c r="C22" s="15"/>
      <c r="D22" s="40"/>
      <c r="E22" s="22"/>
      <c r="H22" s="15"/>
      <c r="I22" s="16"/>
      <c r="J22" s="15"/>
      <c r="K22"/>
      <c r="L22"/>
      <c r="M22"/>
      <c r="N22"/>
      <c r="O22"/>
      <c r="P22" s="15"/>
    </row>
    <row r="23" spans="1:16" x14ac:dyDescent="0.25">
      <c r="B23" s="2" t="s">
        <v>2</v>
      </c>
      <c r="H23" s="2" t="s">
        <v>5</v>
      </c>
      <c r="I23" s="2"/>
      <c r="J23" s="15"/>
      <c r="K23"/>
      <c r="L23"/>
      <c r="M23"/>
      <c r="N23"/>
      <c r="O23"/>
      <c r="P23" s="15"/>
    </row>
    <row r="24" spans="1:16" x14ac:dyDescent="0.25">
      <c r="B24" s="3" t="s">
        <v>14</v>
      </c>
      <c r="C24" s="3" t="s">
        <v>1</v>
      </c>
      <c r="D24" s="3" t="s">
        <v>0</v>
      </c>
      <c r="E24" s="3" t="s">
        <v>8</v>
      </c>
      <c r="F24" s="4" t="s">
        <v>9</v>
      </c>
      <c r="H24" s="3" t="s">
        <v>1</v>
      </c>
      <c r="I24" s="3" t="s">
        <v>0</v>
      </c>
      <c r="J24" s="15"/>
      <c r="K24"/>
      <c r="L24"/>
      <c r="M24"/>
      <c r="N24"/>
      <c r="O24"/>
      <c r="P24" s="15"/>
    </row>
    <row r="25" spans="1:16" x14ac:dyDescent="0.25">
      <c r="B25" s="27"/>
      <c r="C25" s="27">
        <f>IF(D25="много","много",SUMPRODUCT(C26:C115,D26:D115))</f>
        <v>23000</v>
      </c>
      <c r="D25" s="23">
        <f t="array" ref="D25">IF(OR((D26:D115="")+(C26:C115="")=1),"много",SUM(D26:D115))</f>
        <v>50</v>
      </c>
      <c r="E25" s="23">
        <f>SUM(E26:E115)</f>
        <v>50</v>
      </c>
      <c r="F25" s="23">
        <f>IF(D25="много","много",SUM(F26:F115))</f>
        <v>0</v>
      </c>
      <c r="H25" s="27">
        <f>SUMPRODUCT(H26:H115,I26:I115)</f>
        <v>0</v>
      </c>
      <c r="I25" s="23">
        <f>SUM(I26:I115)</f>
        <v>0</v>
      </c>
      <c r="J25" s="15"/>
      <c r="K25"/>
      <c r="L25"/>
      <c r="M25"/>
      <c r="N25"/>
      <c r="O25"/>
      <c r="P25" s="15"/>
    </row>
    <row r="26" spans="1:16" x14ac:dyDescent="0.25">
      <c r="A26" s="17">
        <v>2</v>
      </c>
      <c r="B26" s="36">
        <f>IF(N(C26)=0,"",1)</f>
        <v>1</v>
      </c>
      <c r="C26" s="54">
        <v>700</v>
      </c>
      <c r="D26" s="44">
        <v>10</v>
      </c>
      <c r="E26" s="24">
        <f t="shared" ref="E26:E57" si="3">IF($K$3=0,0,IF(ISNA(VLOOKUP(C26,H$26:I$115,2,))*C26,D26,IF(C26="","",IF(D26="",TRUNC($C$3/C26)-VLOOKUP(C26,H$26:I$115,2,),D26-VLOOKUP(C26,H$26:I$115,2,)))))</f>
        <v>10</v>
      </c>
      <c r="F26" s="24">
        <f t="shared" ref="F26:F57" si="4">IF($K$3=0,"",IF(AND(C26&lt;&gt;"",D26&lt;&gt;""),D26-E26,IF(D26="","",TRUNC($C$3/C26)-VLOOKUP(C26,H$26:I$115,2,))))</f>
        <v>0</v>
      </c>
      <c r="G26" s="47">
        <f>--(C26+H26+K26&gt;0)</f>
        <v>1</v>
      </c>
      <c r="H26" s="51"/>
      <c r="I26" s="18"/>
      <c r="J26" s="15"/>
      <c r="K26"/>
      <c r="L26"/>
      <c r="M26"/>
      <c r="N26"/>
      <c r="O26"/>
      <c r="P26" s="15"/>
    </row>
    <row r="27" spans="1:16" x14ac:dyDescent="0.25">
      <c r="A27" s="17">
        <v>3</v>
      </c>
      <c r="B27" s="34">
        <f>IF(N(C27)=0,"",IF(ISNUMBER(MATCH(C27,C$26:C26,)),INDEX(B$26:B26,MATCH(C27,C$26:C26,)),MAX(B$26:B26)+1))</f>
        <v>2</v>
      </c>
      <c r="C27" s="55">
        <v>400</v>
      </c>
      <c r="D27" s="7">
        <v>40</v>
      </c>
      <c r="E27" s="25">
        <f t="shared" si="3"/>
        <v>40</v>
      </c>
      <c r="F27" s="25">
        <f t="shared" si="4"/>
        <v>0</v>
      </c>
      <c r="G27" s="47">
        <f t="shared" ref="G27:G90" si="5">--(C27+H27+K27&gt;0)</f>
        <v>1</v>
      </c>
      <c r="H27" s="52"/>
      <c r="I27" s="19"/>
      <c r="J27" s="15"/>
      <c r="K27"/>
      <c r="L27"/>
      <c r="M27"/>
      <c r="N27"/>
      <c r="O27"/>
      <c r="P27" s="15"/>
    </row>
    <row r="28" spans="1:16" x14ac:dyDescent="0.25">
      <c r="A28" s="17">
        <v>4</v>
      </c>
      <c r="B28" s="34" t="str">
        <f>IF(N(C28)=0,"",IF(ISNUMBER(MATCH(C28,C$26:C27,)),INDEX(B$26:B27,MATCH(C28,C$26:C27,)),MAX(B$26:B27)+1))</f>
        <v/>
      </c>
      <c r="C28" s="55"/>
      <c r="D28" s="7"/>
      <c r="E28" s="25" t="str">
        <f t="shared" si="3"/>
        <v/>
      </c>
      <c r="F28" s="25" t="str">
        <f t="shared" si="4"/>
        <v/>
      </c>
      <c r="G28" s="47">
        <f t="shared" si="5"/>
        <v>0</v>
      </c>
      <c r="H28" s="52"/>
      <c r="I28" s="19"/>
      <c r="J28" s="15"/>
      <c r="K28"/>
      <c r="L28"/>
      <c r="M28"/>
      <c r="N28"/>
      <c r="O28"/>
      <c r="P28" s="15"/>
    </row>
    <row r="29" spans="1:16" x14ac:dyDescent="0.25">
      <c r="A29" s="17">
        <v>5</v>
      </c>
      <c r="B29" s="34" t="str">
        <f>IF(N(C29)=0,"",IF(ISNUMBER(MATCH(C29,C$26:C28,)),INDEX(B$26:B28,MATCH(C29,C$26:C28,)),MAX(B$26:B28)+1))</f>
        <v/>
      </c>
      <c r="C29" s="55"/>
      <c r="D29" s="7"/>
      <c r="E29" s="25" t="str">
        <f t="shared" si="3"/>
        <v/>
      </c>
      <c r="F29" s="25" t="str">
        <f t="shared" si="4"/>
        <v/>
      </c>
      <c r="G29" s="47">
        <f t="shared" si="5"/>
        <v>0</v>
      </c>
      <c r="H29" s="52"/>
      <c r="I29" s="19"/>
      <c r="J29" s="15"/>
      <c r="K29"/>
      <c r="L29"/>
      <c r="M29"/>
      <c r="N29"/>
      <c r="O29"/>
      <c r="P29" s="15"/>
    </row>
    <row r="30" spans="1:16" x14ac:dyDescent="0.25">
      <c r="A30" s="17">
        <v>6</v>
      </c>
      <c r="B30" s="34" t="str">
        <f>IF(N(C30)=0,"",IF(ISNUMBER(MATCH(C30,C$26:C29,)),INDEX(B$26:B29,MATCH(C30,C$26:C29,)),MAX(B$26:B29)+1))</f>
        <v/>
      </c>
      <c r="C30" s="55"/>
      <c r="D30" s="7"/>
      <c r="E30" s="25" t="str">
        <f t="shared" si="3"/>
        <v/>
      </c>
      <c r="F30" s="25" t="str">
        <f t="shared" si="4"/>
        <v/>
      </c>
      <c r="G30" s="47">
        <f t="shared" si="5"/>
        <v>0</v>
      </c>
      <c r="H30" s="52"/>
      <c r="I30" s="19"/>
      <c r="J30" s="15"/>
      <c r="K30"/>
      <c r="L30"/>
      <c r="M30"/>
      <c r="N30"/>
      <c r="O30"/>
      <c r="P30" s="15"/>
    </row>
    <row r="31" spans="1:16" x14ac:dyDescent="0.25">
      <c r="A31" s="17">
        <v>7</v>
      </c>
      <c r="B31" s="34" t="str">
        <f>IF(N(C31)=0,"",IF(ISNUMBER(MATCH(C31,C$26:C30,)),INDEX(B$26:B30,MATCH(C31,C$26:C30,)),MAX(B$26:B30)+1))</f>
        <v/>
      </c>
      <c r="C31" s="55"/>
      <c r="D31" s="7"/>
      <c r="E31" s="25" t="str">
        <f t="shared" si="3"/>
        <v/>
      </c>
      <c r="F31" s="25" t="str">
        <f t="shared" si="4"/>
        <v/>
      </c>
      <c r="G31" s="47">
        <f t="shared" si="5"/>
        <v>0</v>
      </c>
      <c r="H31" s="52"/>
      <c r="I31" s="19"/>
      <c r="J31" s="15"/>
      <c r="K31"/>
      <c r="L31"/>
      <c r="M31"/>
      <c r="N31"/>
      <c r="O31"/>
      <c r="P31" s="15"/>
    </row>
    <row r="32" spans="1:16" x14ac:dyDescent="0.25">
      <c r="A32" s="17">
        <v>8</v>
      </c>
      <c r="B32" s="34" t="str">
        <f>IF(N(C32)=0,"",IF(ISNUMBER(MATCH(C32,C$26:C31,)),INDEX(B$26:B31,MATCH(C32,C$26:C31,)),MAX(B$26:B31)+1))</f>
        <v/>
      </c>
      <c r="C32" s="55"/>
      <c r="D32" s="7"/>
      <c r="E32" s="25" t="str">
        <f t="shared" si="3"/>
        <v/>
      </c>
      <c r="F32" s="25" t="str">
        <f t="shared" si="4"/>
        <v/>
      </c>
      <c r="G32" s="47">
        <f t="shared" si="5"/>
        <v>0</v>
      </c>
      <c r="H32" s="52"/>
      <c r="I32" s="19"/>
      <c r="J32" s="15"/>
      <c r="K32"/>
      <c r="L32"/>
      <c r="M32"/>
      <c r="N32"/>
      <c r="O32"/>
      <c r="P32" s="15"/>
    </row>
    <row r="33" spans="1:16" x14ac:dyDescent="0.25">
      <c r="A33" s="17">
        <v>16</v>
      </c>
      <c r="B33" s="34" t="str">
        <f>IF(N(C33)=0,"",IF(ISNUMBER(MATCH(C33,C$26:C32,)),INDEX(B$26:B32,MATCH(C33,C$26:C32,)),MAX(B$26:B32)+1))</f>
        <v/>
      </c>
      <c r="C33" s="55"/>
      <c r="D33" s="7"/>
      <c r="E33" s="25" t="str">
        <f t="shared" si="3"/>
        <v/>
      </c>
      <c r="F33" s="25" t="str">
        <f t="shared" si="4"/>
        <v/>
      </c>
      <c r="G33" s="47">
        <f t="shared" si="5"/>
        <v>0</v>
      </c>
      <c r="H33" s="52"/>
      <c r="I33" s="19"/>
      <c r="J33" s="15"/>
      <c r="K33"/>
      <c r="L33"/>
      <c r="M33"/>
      <c r="N33"/>
      <c r="O33"/>
      <c r="P33" s="15"/>
    </row>
    <row r="34" spans="1:16" x14ac:dyDescent="0.25">
      <c r="A34" s="17">
        <v>17</v>
      </c>
      <c r="B34" s="34" t="str">
        <f>IF(N(C34)=0,"",IF(ISNUMBER(MATCH(C34,C$26:C33,)),INDEX(B$26:B33,MATCH(C34,C$26:C33,)),MAX(B$26:B33)+1))</f>
        <v/>
      </c>
      <c r="C34" s="55"/>
      <c r="D34" s="7"/>
      <c r="E34" s="25" t="str">
        <f t="shared" si="3"/>
        <v/>
      </c>
      <c r="F34" s="25" t="str">
        <f t="shared" si="4"/>
        <v/>
      </c>
      <c r="G34" s="47">
        <f t="shared" si="5"/>
        <v>0</v>
      </c>
      <c r="H34" s="52"/>
      <c r="I34" s="19"/>
      <c r="J34" s="15"/>
      <c r="K34"/>
      <c r="L34"/>
      <c r="M34"/>
      <c r="N34"/>
      <c r="O34"/>
      <c r="P34" s="15"/>
    </row>
    <row r="35" spans="1:16" x14ac:dyDescent="0.25">
      <c r="A35" s="17">
        <v>18</v>
      </c>
      <c r="B35" s="34" t="str">
        <f>IF(N(C35)=0,"",IF(ISNUMBER(MATCH(C35,C$26:C34,)),INDEX(B$26:B34,MATCH(C35,C$26:C34,)),MAX(B$26:B34)+1))</f>
        <v/>
      </c>
      <c r="C35" s="55"/>
      <c r="D35" s="7"/>
      <c r="E35" s="25" t="str">
        <f t="shared" si="3"/>
        <v/>
      </c>
      <c r="F35" s="25" t="str">
        <f t="shared" si="4"/>
        <v/>
      </c>
      <c r="G35" s="47">
        <f t="shared" si="5"/>
        <v>0</v>
      </c>
      <c r="H35" s="52"/>
      <c r="I35" s="19"/>
      <c r="J35" s="15"/>
      <c r="K35"/>
      <c r="L35"/>
      <c r="M35"/>
      <c r="N35"/>
      <c r="O35"/>
      <c r="P35" s="15"/>
    </row>
    <row r="36" spans="1:16" x14ac:dyDescent="0.25">
      <c r="A36" s="17">
        <v>19</v>
      </c>
      <c r="B36" s="34" t="str">
        <f>IF(N(C36)=0,"",IF(ISNUMBER(MATCH(C36,C$26:C35,)),INDEX(B$26:B35,MATCH(C36,C$26:C35,)),MAX(B$26:B35)+1))</f>
        <v/>
      </c>
      <c r="C36" s="55"/>
      <c r="D36" s="7"/>
      <c r="E36" s="25" t="str">
        <f t="shared" si="3"/>
        <v/>
      </c>
      <c r="F36" s="25" t="str">
        <f t="shared" si="4"/>
        <v/>
      </c>
      <c r="G36" s="47">
        <f t="shared" si="5"/>
        <v>0</v>
      </c>
      <c r="H36" s="52"/>
      <c r="I36" s="19"/>
      <c r="J36" s="15"/>
      <c r="K36"/>
      <c r="L36"/>
      <c r="M36"/>
      <c r="N36"/>
      <c r="O36"/>
      <c r="P36" s="15"/>
    </row>
    <row r="37" spans="1:16" x14ac:dyDescent="0.25">
      <c r="A37" s="17">
        <v>20</v>
      </c>
      <c r="B37" s="34" t="str">
        <f>IF(N(C37)=0,"",IF(ISNUMBER(MATCH(C37,C$26:C36,)),INDEX(B$26:B36,MATCH(C37,C$26:C36,)),MAX(B$26:B36)+1))</f>
        <v/>
      </c>
      <c r="C37" s="55"/>
      <c r="D37" s="7"/>
      <c r="E37" s="25" t="str">
        <f t="shared" si="3"/>
        <v/>
      </c>
      <c r="F37" s="25" t="str">
        <f t="shared" si="4"/>
        <v/>
      </c>
      <c r="G37" s="47">
        <f t="shared" si="5"/>
        <v>0</v>
      </c>
      <c r="H37" s="52"/>
      <c r="I37" s="19"/>
      <c r="J37" s="15"/>
      <c r="K37"/>
      <c r="L37"/>
      <c r="M37"/>
      <c r="N37"/>
      <c r="O37"/>
      <c r="P37" s="15"/>
    </row>
    <row r="38" spans="1:16" x14ac:dyDescent="0.25">
      <c r="A38" s="17">
        <v>21</v>
      </c>
      <c r="B38" s="34" t="str">
        <f>IF(N(C38)=0,"",IF(ISNUMBER(MATCH(C38,C$26:C37,)),INDEX(B$26:B37,MATCH(C38,C$26:C37,)),MAX(B$26:B37)+1))</f>
        <v/>
      </c>
      <c r="C38" s="55"/>
      <c r="D38" s="7"/>
      <c r="E38" s="25" t="str">
        <f t="shared" si="3"/>
        <v/>
      </c>
      <c r="F38" s="25" t="str">
        <f t="shared" si="4"/>
        <v/>
      </c>
      <c r="G38" s="47">
        <f t="shared" si="5"/>
        <v>0</v>
      </c>
      <c r="H38" s="52"/>
      <c r="I38" s="19"/>
      <c r="J38" s="15"/>
      <c r="K38"/>
      <c r="L38"/>
      <c r="M38"/>
      <c r="N38"/>
      <c r="O38"/>
      <c r="P38" s="15"/>
    </row>
    <row r="39" spans="1:16" x14ac:dyDescent="0.25">
      <c r="A39" s="17">
        <v>22</v>
      </c>
      <c r="B39" s="34" t="str">
        <f>IF(N(C39)=0,"",IF(ISNUMBER(MATCH(C39,C$26:C38,)),INDEX(B$26:B38,MATCH(C39,C$26:C38,)),MAX(B$26:B38)+1))</f>
        <v/>
      </c>
      <c r="C39" s="55"/>
      <c r="D39" s="7"/>
      <c r="E39" s="25" t="str">
        <f t="shared" si="3"/>
        <v/>
      </c>
      <c r="F39" s="25" t="str">
        <f t="shared" si="4"/>
        <v/>
      </c>
      <c r="G39" s="47">
        <f t="shared" si="5"/>
        <v>0</v>
      </c>
      <c r="H39" s="52"/>
      <c r="I39" s="19"/>
      <c r="J39" s="15"/>
      <c r="K39"/>
      <c r="L39"/>
      <c r="M39"/>
      <c r="N39"/>
      <c r="O39"/>
      <c r="P39" s="15"/>
    </row>
    <row r="40" spans="1:16" x14ac:dyDescent="0.25">
      <c r="A40" s="17">
        <v>23</v>
      </c>
      <c r="B40" s="34" t="str">
        <f>IF(N(C40)=0,"",IF(ISNUMBER(MATCH(C40,C$26:C39,)),INDEX(B$26:B39,MATCH(C40,C$26:C39,)),MAX(B$26:B39)+1))</f>
        <v/>
      </c>
      <c r="C40" s="55"/>
      <c r="D40" s="7"/>
      <c r="E40" s="25" t="str">
        <f t="shared" si="3"/>
        <v/>
      </c>
      <c r="F40" s="25" t="str">
        <f t="shared" si="4"/>
        <v/>
      </c>
      <c r="G40" s="47">
        <f t="shared" si="5"/>
        <v>0</v>
      </c>
      <c r="H40" s="52"/>
      <c r="I40" s="19"/>
      <c r="J40" s="15"/>
      <c r="K40"/>
      <c r="L40"/>
      <c r="M40"/>
      <c r="N40"/>
      <c r="O40"/>
      <c r="P40" s="15"/>
    </row>
    <row r="41" spans="1:16" x14ac:dyDescent="0.25">
      <c r="A41" s="17">
        <v>24</v>
      </c>
      <c r="B41" s="34" t="str">
        <f>IF(N(C41)=0,"",IF(ISNUMBER(MATCH(C41,C$26:C40,)),INDEX(B$26:B40,MATCH(C41,C$26:C40,)),MAX(B$26:B40)+1))</f>
        <v/>
      </c>
      <c r="C41" s="55"/>
      <c r="D41" s="7"/>
      <c r="E41" s="25" t="str">
        <f t="shared" si="3"/>
        <v/>
      </c>
      <c r="F41" s="25" t="str">
        <f t="shared" si="4"/>
        <v/>
      </c>
      <c r="G41" s="47">
        <f t="shared" si="5"/>
        <v>0</v>
      </c>
      <c r="H41" s="52"/>
      <c r="I41" s="19"/>
      <c r="J41" s="15"/>
      <c r="K41"/>
      <c r="L41"/>
      <c r="M41"/>
      <c r="N41"/>
      <c r="O41"/>
      <c r="P41" s="15"/>
    </row>
    <row r="42" spans="1:16" x14ac:dyDescent="0.25">
      <c r="A42" s="17">
        <v>25</v>
      </c>
      <c r="B42" s="34" t="str">
        <f>IF(N(C42)=0,"",IF(ISNUMBER(MATCH(C42,C$26:C41,)),INDEX(B$26:B41,MATCH(C42,C$26:C41,)),MAX(B$26:B41)+1))</f>
        <v/>
      </c>
      <c r="C42" s="55"/>
      <c r="D42" s="7"/>
      <c r="E42" s="25" t="str">
        <f t="shared" si="3"/>
        <v/>
      </c>
      <c r="F42" s="25" t="str">
        <f t="shared" si="4"/>
        <v/>
      </c>
      <c r="G42" s="47">
        <f t="shared" si="5"/>
        <v>0</v>
      </c>
      <c r="H42" s="52"/>
      <c r="I42" s="19"/>
      <c r="J42" s="15"/>
      <c r="K42"/>
      <c r="L42"/>
      <c r="M42"/>
      <c r="N42"/>
      <c r="O42"/>
      <c r="P42" s="15"/>
    </row>
    <row r="43" spans="1:16" x14ac:dyDescent="0.25">
      <c r="A43" s="17">
        <v>26</v>
      </c>
      <c r="B43" s="34" t="str">
        <f>IF(N(C43)=0,"",IF(ISNUMBER(MATCH(C43,C$26:C42,)),INDEX(B$26:B42,MATCH(C43,C$26:C42,)),MAX(B$26:B42)+1))</f>
        <v/>
      </c>
      <c r="C43" s="55"/>
      <c r="D43" s="7"/>
      <c r="E43" s="25" t="str">
        <f t="shared" si="3"/>
        <v/>
      </c>
      <c r="F43" s="25" t="str">
        <f t="shared" si="4"/>
        <v/>
      </c>
      <c r="G43" s="47">
        <f t="shared" si="5"/>
        <v>0</v>
      </c>
      <c r="H43" s="52"/>
      <c r="I43" s="19"/>
      <c r="J43" s="15"/>
      <c r="K43"/>
      <c r="L43"/>
      <c r="M43"/>
      <c r="N43"/>
      <c r="O43"/>
      <c r="P43" s="15"/>
    </row>
    <row r="44" spans="1:16" x14ac:dyDescent="0.25">
      <c r="A44" s="17">
        <v>27</v>
      </c>
      <c r="B44" s="34" t="str">
        <f>IF(N(C44)=0,"",IF(ISNUMBER(MATCH(C44,C$26:C43,)),INDEX(B$26:B43,MATCH(C44,C$26:C43,)),MAX(B$26:B43)+1))</f>
        <v/>
      </c>
      <c r="C44" s="55"/>
      <c r="D44" s="7"/>
      <c r="E44" s="25" t="str">
        <f t="shared" si="3"/>
        <v/>
      </c>
      <c r="F44" s="25" t="str">
        <f t="shared" si="4"/>
        <v/>
      </c>
      <c r="G44" s="47">
        <f t="shared" si="5"/>
        <v>0</v>
      </c>
      <c r="H44" s="52"/>
      <c r="I44" s="19"/>
      <c r="J44" s="15"/>
      <c r="K44"/>
      <c r="L44"/>
      <c r="M44"/>
      <c r="N44"/>
      <c r="O44"/>
      <c r="P44" s="15"/>
    </row>
    <row r="45" spans="1:16" x14ac:dyDescent="0.25">
      <c r="A45" s="17">
        <v>28</v>
      </c>
      <c r="B45" s="34" t="str">
        <f>IF(N(C45)=0,"",IF(ISNUMBER(MATCH(C45,C$26:C44,)),INDEX(B$26:B44,MATCH(C45,C$26:C44,)),MAX(B$26:B44)+1))</f>
        <v/>
      </c>
      <c r="C45" s="55"/>
      <c r="D45" s="7"/>
      <c r="E45" s="25" t="str">
        <f t="shared" si="3"/>
        <v/>
      </c>
      <c r="F45" s="25" t="str">
        <f t="shared" si="4"/>
        <v/>
      </c>
      <c r="G45" s="47">
        <f t="shared" si="5"/>
        <v>0</v>
      </c>
      <c r="H45" s="52"/>
      <c r="I45" s="19"/>
      <c r="J45" s="15"/>
      <c r="K45"/>
      <c r="L45"/>
      <c r="M45"/>
      <c r="N45"/>
      <c r="O45"/>
      <c r="P45" s="15"/>
    </row>
    <row r="46" spans="1:16" x14ac:dyDescent="0.25">
      <c r="A46" s="17">
        <v>29</v>
      </c>
      <c r="B46" s="34" t="str">
        <f>IF(N(C46)=0,"",IF(ISNUMBER(MATCH(C46,C$26:C45,)),INDEX(B$26:B45,MATCH(C46,C$26:C45,)),MAX(B$26:B45)+1))</f>
        <v/>
      </c>
      <c r="C46" s="55"/>
      <c r="D46" s="7"/>
      <c r="E46" s="25" t="str">
        <f t="shared" si="3"/>
        <v/>
      </c>
      <c r="F46" s="25" t="str">
        <f t="shared" si="4"/>
        <v/>
      </c>
      <c r="G46" s="47">
        <f t="shared" si="5"/>
        <v>0</v>
      </c>
      <c r="H46" s="52"/>
      <c r="I46" s="19"/>
      <c r="J46" s="15"/>
      <c r="K46"/>
      <c r="L46"/>
      <c r="M46"/>
      <c r="N46"/>
      <c r="O46"/>
      <c r="P46" s="15"/>
    </row>
    <row r="47" spans="1:16" x14ac:dyDescent="0.25">
      <c r="A47" s="17">
        <v>30</v>
      </c>
      <c r="B47" s="34" t="str">
        <f>IF(N(C47)=0,"",IF(ISNUMBER(MATCH(C47,C$26:C46,)),INDEX(B$26:B46,MATCH(C47,C$26:C46,)),MAX(B$26:B46)+1))</f>
        <v/>
      </c>
      <c r="C47" s="55"/>
      <c r="D47" s="7"/>
      <c r="E47" s="25" t="str">
        <f t="shared" si="3"/>
        <v/>
      </c>
      <c r="F47" s="25" t="str">
        <f t="shared" si="4"/>
        <v/>
      </c>
      <c r="G47" s="47">
        <f t="shared" si="5"/>
        <v>0</v>
      </c>
      <c r="H47" s="52"/>
      <c r="I47" s="19"/>
      <c r="J47" s="15"/>
      <c r="K47"/>
      <c r="L47"/>
      <c r="M47"/>
      <c r="N47"/>
      <c r="O47"/>
      <c r="P47" s="15"/>
    </row>
    <row r="48" spans="1:16" x14ac:dyDescent="0.25">
      <c r="A48" s="17">
        <v>31</v>
      </c>
      <c r="B48" s="34" t="str">
        <f>IF(N(C48)=0,"",IF(ISNUMBER(MATCH(C48,C$26:C47,)),INDEX(B$26:B47,MATCH(C48,C$26:C47,)),MAX(B$26:B47)+1))</f>
        <v/>
      </c>
      <c r="C48" s="55"/>
      <c r="D48" s="7"/>
      <c r="E48" s="25" t="str">
        <f t="shared" si="3"/>
        <v/>
      </c>
      <c r="F48" s="25" t="str">
        <f t="shared" si="4"/>
        <v/>
      </c>
      <c r="G48" s="47">
        <f t="shared" si="5"/>
        <v>0</v>
      </c>
      <c r="H48" s="52"/>
      <c r="I48" s="19"/>
      <c r="J48" s="15"/>
      <c r="K48"/>
      <c r="L48"/>
      <c r="M48"/>
      <c r="N48"/>
      <c r="O48"/>
      <c r="P48" s="15"/>
    </row>
    <row r="49" spans="1:16" x14ac:dyDescent="0.25">
      <c r="A49" s="17">
        <v>32</v>
      </c>
      <c r="B49" s="34" t="str">
        <f>IF(N(C49)=0,"",IF(ISNUMBER(MATCH(C49,C$26:C48,)),INDEX(B$26:B48,MATCH(C49,C$26:C48,)),MAX(B$26:B48)+1))</f>
        <v/>
      </c>
      <c r="C49" s="55"/>
      <c r="D49" s="7"/>
      <c r="E49" s="25" t="str">
        <f t="shared" si="3"/>
        <v/>
      </c>
      <c r="F49" s="25" t="str">
        <f t="shared" si="4"/>
        <v/>
      </c>
      <c r="G49" s="47">
        <f t="shared" si="5"/>
        <v>0</v>
      </c>
      <c r="H49" s="52"/>
      <c r="I49" s="19"/>
      <c r="J49" s="15"/>
      <c r="K49"/>
      <c r="L49"/>
      <c r="M49"/>
      <c r="N49"/>
      <c r="O49"/>
      <c r="P49" s="15"/>
    </row>
    <row r="50" spans="1:16" x14ac:dyDescent="0.25">
      <c r="A50" s="17">
        <v>33</v>
      </c>
      <c r="B50" s="34" t="str">
        <f>IF(N(C50)=0,"",IF(ISNUMBER(MATCH(C50,C$26:C49,)),INDEX(B$26:B49,MATCH(C50,C$26:C49,)),MAX(B$26:B49)+1))</f>
        <v/>
      </c>
      <c r="C50" s="55"/>
      <c r="D50" s="7"/>
      <c r="E50" s="25" t="str">
        <f t="shared" si="3"/>
        <v/>
      </c>
      <c r="F50" s="25" t="str">
        <f t="shared" si="4"/>
        <v/>
      </c>
      <c r="G50" s="47">
        <f t="shared" si="5"/>
        <v>0</v>
      </c>
      <c r="H50" s="52"/>
      <c r="I50" s="19"/>
      <c r="J50" s="15"/>
      <c r="K50"/>
      <c r="L50"/>
      <c r="M50"/>
      <c r="N50"/>
      <c r="O50"/>
      <c r="P50" s="15"/>
    </row>
    <row r="51" spans="1:16" x14ac:dyDescent="0.25">
      <c r="A51" s="17">
        <v>34</v>
      </c>
      <c r="B51" s="34" t="str">
        <f>IF(N(C51)=0,"",IF(ISNUMBER(MATCH(C51,C$26:C50,)),INDEX(B$26:B50,MATCH(C51,C$26:C50,)),MAX(B$26:B50)+1))</f>
        <v/>
      </c>
      <c r="C51" s="55"/>
      <c r="D51" s="7"/>
      <c r="E51" s="25" t="str">
        <f t="shared" si="3"/>
        <v/>
      </c>
      <c r="F51" s="25" t="str">
        <f t="shared" si="4"/>
        <v/>
      </c>
      <c r="G51" s="47">
        <f t="shared" si="5"/>
        <v>0</v>
      </c>
      <c r="H51" s="52"/>
      <c r="I51" s="19"/>
      <c r="J51" s="15"/>
      <c r="K51"/>
      <c r="L51"/>
      <c r="M51"/>
      <c r="N51"/>
      <c r="O51"/>
      <c r="P51" s="15"/>
    </row>
    <row r="52" spans="1:16" x14ac:dyDescent="0.25">
      <c r="A52" s="17">
        <v>35</v>
      </c>
      <c r="B52" s="34" t="str">
        <f>IF(N(C52)=0,"",IF(ISNUMBER(MATCH(C52,C$26:C51,)),INDEX(B$26:B51,MATCH(C52,C$26:C51,)),MAX(B$26:B51)+1))</f>
        <v/>
      </c>
      <c r="C52" s="55"/>
      <c r="D52" s="7"/>
      <c r="E52" s="25" t="str">
        <f t="shared" si="3"/>
        <v/>
      </c>
      <c r="F52" s="25" t="str">
        <f t="shared" si="4"/>
        <v/>
      </c>
      <c r="G52" s="47">
        <f t="shared" si="5"/>
        <v>0</v>
      </c>
      <c r="H52" s="52"/>
      <c r="I52" s="19"/>
      <c r="J52" s="15"/>
      <c r="K52"/>
      <c r="L52"/>
      <c r="M52"/>
      <c r="N52"/>
      <c r="O52"/>
      <c r="P52" s="15"/>
    </row>
    <row r="53" spans="1:16" x14ac:dyDescent="0.25">
      <c r="A53" s="17">
        <v>36</v>
      </c>
      <c r="B53" s="34" t="str">
        <f>IF(N(C53)=0,"",IF(ISNUMBER(MATCH(C53,C$26:C52,)),INDEX(B$26:B52,MATCH(C53,C$26:C52,)),MAX(B$26:B52)+1))</f>
        <v/>
      </c>
      <c r="C53" s="55"/>
      <c r="D53" s="7"/>
      <c r="E53" s="25" t="str">
        <f t="shared" si="3"/>
        <v/>
      </c>
      <c r="F53" s="25" t="str">
        <f t="shared" si="4"/>
        <v/>
      </c>
      <c r="G53" s="47">
        <f t="shared" si="5"/>
        <v>0</v>
      </c>
      <c r="H53" s="52"/>
      <c r="I53" s="19"/>
      <c r="J53" s="15"/>
      <c r="K53"/>
      <c r="L53"/>
      <c r="M53"/>
      <c r="N53"/>
      <c r="O53"/>
      <c r="P53" s="15"/>
    </row>
    <row r="54" spans="1:16" x14ac:dyDescent="0.25">
      <c r="A54" s="17">
        <v>37</v>
      </c>
      <c r="B54" s="34" t="str">
        <f>IF(N(C54)=0,"",IF(ISNUMBER(MATCH(C54,C$26:C53,)),INDEX(B$26:B53,MATCH(C54,C$26:C53,)),MAX(B$26:B53)+1))</f>
        <v/>
      </c>
      <c r="C54" s="55"/>
      <c r="D54" s="7"/>
      <c r="E54" s="25" t="str">
        <f t="shared" si="3"/>
        <v/>
      </c>
      <c r="F54" s="25" t="str">
        <f t="shared" si="4"/>
        <v/>
      </c>
      <c r="G54" s="47">
        <f t="shared" si="5"/>
        <v>0</v>
      </c>
      <c r="H54" s="52"/>
      <c r="I54" s="19"/>
      <c r="J54" s="15"/>
      <c r="K54"/>
      <c r="L54"/>
      <c r="M54"/>
      <c r="N54"/>
      <c r="O54"/>
      <c r="P54" s="15"/>
    </row>
    <row r="55" spans="1:16" x14ac:dyDescent="0.25">
      <c r="A55" s="17">
        <v>38</v>
      </c>
      <c r="B55" s="34" t="str">
        <f>IF(N(C55)=0,"",IF(ISNUMBER(MATCH(C55,C$26:C54,)),INDEX(B$26:B54,MATCH(C55,C$26:C54,)),MAX(B$26:B54)+1))</f>
        <v/>
      </c>
      <c r="C55" s="55"/>
      <c r="D55" s="7"/>
      <c r="E55" s="25" t="str">
        <f t="shared" si="3"/>
        <v/>
      </c>
      <c r="F55" s="25" t="str">
        <f t="shared" si="4"/>
        <v/>
      </c>
      <c r="G55" s="47">
        <f t="shared" si="5"/>
        <v>0</v>
      </c>
      <c r="H55" s="52"/>
      <c r="I55" s="19"/>
      <c r="J55" s="15"/>
      <c r="K55"/>
      <c r="L55"/>
      <c r="M55"/>
      <c r="N55"/>
      <c r="O55"/>
      <c r="P55" s="15"/>
    </row>
    <row r="56" spans="1:16" x14ac:dyDescent="0.25">
      <c r="A56" s="17">
        <v>39</v>
      </c>
      <c r="B56" s="34" t="str">
        <f>IF(N(C56)=0,"",IF(ISNUMBER(MATCH(C56,C$26:C55,)),INDEX(B$26:B55,MATCH(C56,C$26:C55,)),MAX(B$26:B55)+1))</f>
        <v/>
      </c>
      <c r="C56" s="55"/>
      <c r="D56" s="7"/>
      <c r="E56" s="25" t="str">
        <f t="shared" si="3"/>
        <v/>
      </c>
      <c r="F56" s="25" t="str">
        <f t="shared" si="4"/>
        <v/>
      </c>
      <c r="G56" s="47">
        <f t="shared" si="5"/>
        <v>0</v>
      </c>
      <c r="H56" s="52"/>
      <c r="I56" s="19"/>
      <c r="J56" s="15"/>
      <c r="K56"/>
      <c r="L56"/>
      <c r="M56"/>
      <c r="N56"/>
      <c r="O56"/>
      <c r="P56" s="15"/>
    </row>
    <row r="57" spans="1:16" x14ac:dyDescent="0.25">
      <c r="A57" s="17">
        <v>40</v>
      </c>
      <c r="B57" s="34" t="str">
        <f>IF(N(C57)=0,"",IF(ISNUMBER(MATCH(C57,C$26:C56,)),INDEX(B$26:B56,MATCH(C57,C$26:C56,)),MAX(B$26:B56)+1))</f>
        <v/>
      </c>
      <c r="C57" s="55"/>
      <c r="D57" s="7"/>
      <c r="E57" s="25" t="str">
        <f t="shared" si="3"/>
        <v/>
      </c>
      <c r="F57" s="25" t="str">
        <f t="shared" si="4"/>
        <v/>
      </c>
      <c r="G57" s="47">
        <f t="shared" si="5"/>
        <v>0</v>
      </c>
      <c r="H57" s="52"/>
      <c r="I57" s="19"/>
      <c r="J57" s="15"/>
      <c r="K57"/>
      <c r="L57"/>
      <c r="M57"/>
      <c r="N57"/>
      <c r="O57"/>
      <c r="P57" s="15"/>
    </row>
    <row r="58" spans="1:16" x14ac:dyDescent="0.25">
      <c r="A58" s="17">
        <v>41</v>
      </c>
      <c r="B58" s="34" t="str">
        <f>IF(N(C58)=0,"",IF(ISNUMBER(MATCH(C58,C$26:C57,)),INDEX(B$26:B57,MATCH(C58,C$26:C57,)),MAX(B$26:B57)+1))</f>
        <v/>
      </c>
      <c r="C58" s="55"/>
      <c r="D58" s="7"/>
      <c r="E58" s="25" t="str">
        <f t="shared" ref="E58:E89" si="6">IF($K$3=0,0,IF(ISNA(VLOOKUP(C58,H$26:I$115,2,))*C58,D58,IF(C58="","",IF(D58="",TRUNC($C$3/C58)-VLOOKUP(C58,H$26:I$115,2,),D58-VLOOKUP(C58,H$26:I$115,2,)))))</f>
        <v/>
      </c>
      <c r="F58" s="25" t="str">
        <f t="shared" ref="F58:F89" si="7">IF($K$3=0,"",IF(AND(C58&lt;&gt;"",D58&lt;&gt;""),D58-E58,IF(D58="","",TRUNC($C$3/C58)-VLOOKUP(C58,H$26:I$115,2,))))</f>
        <v/>
      </c>
      <c r="G58" s="47">
        <f t="shared" si="5"/>
        <v>0</v>
      </c>
      <c r="H58" s="52"/>
      <c r="I58" s="19"/>
      <c r="J58" s="15"/>
      <c r="K58"/>
      <c r="L58"/>
      <c r="M58"/>
      <c r="N58"/>
      <c r="O58"/>
      <c r="P58" s="15"/>
    </row>
    <row r="59" spans="1:16" x14ac:dyDescent="0.25">
      <c r="A59" s="17">
        <v>42</v>
      </c>
      <c r="B59" s="34" t="str">
        <f>IF(N(C59)=0,"",IF(ISNUMBER(MATCH(C59,C$26:C58,)),INDEX(B$26:B58,MATCH(C59,C$26:C58,)),MAX(B$26:B58)+1))</f>
        <v/>
      </c>
      <c r="C59" s="55"/>
      <c r="D59" s="7"/>
      <c r="E59" s="25" t="str">
        <f t="shared" si="6"/>
        <v/>
      </c>
      <c r="F59" s="25" t="str">
        <f t="shared" si="7"/>
        <v/>
      </c>
      <c r="G59" s="47">
        <f t="shared" si="5"/>
        <v>0</v>
      </c>
      <c r="H59" s="52"/>
      <c r="I59" s="19"/>
      <c r="J59" s="15"/>
      <c r="K59"/>
      <c r="L59"/>
      <c r="M59"/>
      <c r="N59"/>
      <c r="O59"/>
      <c r="P59" s="15"/>
    </row>
    <row r="60" spans="1:16" x14ac:dyDescent="0.25">
      <c r="A60" s="17">
        <v>43</v>
      </c>
      <c r="B60" s="34" t="str">
        <f>IF(N(C60)=0,"",IF(ISNUMBER(MATCH(C60,C$26:C59,)),INDEX(B$26:B59,MATCH(C60,C$26:C59,)),MAX(B$26:B59)+1))</f>
        <v/>
      </c>
      <c r="C60" s="55"/>
      <c r="D60" s="7"/>
      <c r="E60" s="25" t="str">
        <f t="shared" si="6"/>
        <v/>
      </c>
      <c r="F60" s="25" t="str">
        <f t="shared" si="7"/>
        <v/>
      </c>
      <c r="G60" s="47">
        <f t="shared" si="5"/>
        <v>0</v>
      </c>
      <c r="H60" s="52"/>
      <c r="I60" s="19"/>
      <c r="J60" s="15"/>
      <c r="K60"/>
      <c r="L60"/>
      <c r="M60"/>
      <c r="N60"/>
      <c r="O60"/>
      <c r="P60" s="15"/>
    </row>
    <row r="61" spans="1:16" x14ac:dyDescent="0.25">
      <c r="A61" s="17">
        <v>44</v>
      </c>
      <c r="B61" s="34" t="str">
        <f>IF(N(C61)=0,"",IF(ISNUMBER(MATCH(C61,C$26:C60,)),INDEX(B$26:B60,MATCH(C61,C$26:C60,)),MAX(B$26:B60)+1))</f>
        <v/>
      </c>
      <c r="C61" s="55"/>
      <c r="D61" s="7"/>
      <c r="E61" s="25" t="str">
        <f t="shared" si="6"/>
        <v/>
      </c>
      <c r="F61" s="25" t="str">
        <f t="shared" si="7"/>
        <v/>
      </c>
      <c r="G61" s="47">
        <f t="shared" si="5"/>
        <v>0</v>
      </c>
      <c r="H61" s="52"/>
      <c r="I61" s="19"/>
      <c r="J61" s="15"/>
      <c r="K61"/>
      <c r="L61"/>
      <c r="M61"/>
      <c r="N61"/>
      <c r="O61"/>
      <c r="P61" s="15"/>
    </row>
    <row r="62" spans="1:16" x14ac:dyDescent="0.25">
      <c r="A62" s="17">
        <v>45</v>
      </c>
      <c r="B62" s="34" t="str">
        <f>IF(N(C62)=0,"",IF(ISNUMBER(MATCH(C62,C$26:C61,)),INDEX(B$26:B61,MATCH(C62,C$26:C61,)),MAX(B$26:B61)+1))</f>
        <v/>
      </c>
      <c r="C62" s="55"/>
      <c r="D62" s="7"/>
      <c r="E62" s="25" t="str">
        <f t="shared" si="6"/>
        <v/>
      </c>
      <c r="F62" s="25" t="str">
        <f t="shared" si="7"/>
        <v/>
      </c>
      <c r="G62" s="47">
        <f t="shared" si="5"/>
        <v>0</v>
      </c>
      <c r="H62" s="52"/>
      <c r="I62" s="19"/>
      <c r="J62" s="15"/>
      <c r="K62"/>
      <c r="L62"/>
      <c r="M62"/>
      <c r="N62"/>
      <c r="O62"/>
      <c r="P62" s="15"/>
    </row>
    <row r="63" spans="1:16" x14ac:dyDescent="0.25">
      <c r="A63" s="17">
        <v>46</v>
      </c>
      <c r="B63" s="34" t="str">
        <f>IF(N(C63)=0,"",IF(ISNUMBER(MATCH(C63,C$26:C62,)),INDEX(B$26:B62,MATCH(C63,C$26:C62,)),MAX(B$26:B62)+1))</f>
        <v/>
      </c>
      <c r="C63" s="55"/>
      <c r="D63" s="7"/>
      <c r="E63" s="25" t="str">
        <f t="shared" si="6"/>
        <v/>
      </c>
      <c r="F63" s="25" t="str">
        <f t="shared" si="7"/>
        <v/>
      </c>
      <c r="G63" s="47">
        <f t="shared" si="5"/>
        <v>0</v>
      </c>
      <c r="H63" s="52"/>
      <c r="I63" s="19"/>
      <c r="J63" s="15"/>
      <c r="K63"/>
      <c r="L63"/>
      <c r="M63"/>
      <c r="N63"/>
      <c r="O63"/>
      <c r="P63" s="15"/>
    </row>
    <row r="64" spans="1:16" x14ac:dyDescent="0.25">
      <c r="A64" s="17">
        <v>47</v>
      </c>
      <c r="B64" s="34" t="str">
        <f>IF(N(C64)=0,"",IF(ISNUMBER(MATCH(C64,C$26:C63,)),INDEX(B$26:B63,MATCH(C64,C$26:C63,)),MAX(B$26:B63)+1))</f>
        <v/>
      </c>
      <c r="C64" s="55"/>
      <c r="D64" s="7"/>
      <c r="E64" s="25" t="str">
        <f t="shared" si="6"/>
        <v/>
      </c>
      <c r="F64" s="25" t="str">
        <f t="shared" si="7"/>
        <v/>
      </c>
      <c r="G64" s="47">
        <f t="shared" si="5"/>
        <v>0</v>
      </c>
      <c r="H64" s="52"/>
      <c r="I64" s="19"/>
      <c r="J64" s="15"/>
      <c r="K64"/>
      <c r="L64"/>
      <c r="M64"/>
      <c r="N64"/>
      <c r="O64"/>
      <c r="P64" s="15"/>
    </row>
    <row r="65" spans="1:16" x14ac:dyDescent="0.25">
      <c r="A65" s="17">
        <v>48</v>
      </c>
      <c r="B65" s="34" t="str">
        <f>IF(N(C65)=0,"",IF(ISNUMBER(MATCH(C65,C$26:C64,)),INDEX(B$26:B64,MATCH(C65,C$26:C64,)),MAX(B$26:B64)+1))</f>
        <v/>
      </c>
      <c r="C65" s="55"/>
      <c r="D65" s="7"/>
      <c r="E65" s="25" t="str">
        <f t="shared" si="6"/>
        <v/>
      </c>
      <c r="F65" s="25" t="str">
        <f t="shared" si="7"/>
        <v/>
      </c>
      <c r="G65" s="47">
        <f t="shared" si="5"/>
        <v>0</v>
      </c>
      <c r="H65" s="52"/>
      <c r="I65" s="19"/>
      <c r="J65" s="15"/>
      <c r="K65"/>
      <c r="L65"/>
      <c r="M65"/>
      <c r="N65"/>
      <c r="O65"/>
      <c r="P65" s="15"/>
    </row>
    <row r="66" spans="1:16" x14ac:dyDescent="0.25">
      <c r="A66" s="17">
        <v>49</v>
      </c>
      <c r="B66" s="34" t="str">
        <f>IF(N(C66)=0,"",IF(ISNUMBER(MATCH(C66,C$26:C65,)),INDEX(B$26:B65,MATCH(C66,C$26:C65,)),MAX(B$26:B65)+1))</f>
        <v/>
      </c>
      <c r="C66" s="55"/>
      <c r="D66" s="7"/>
      <c r="E66" s="25" t="str">
        <f t="shared" si="6"/>
        <v/>
      </c>
      <c r="F66" s="25" t="str">
        <f t="shared" si="7"/>
        <v/>
      </c>
      <c r="G66" s="47">
        <f t="shared" si="5"/>
        <v>0</v>
      </c>
      <c r="H66" s="52"/>
      <c r="I66" s="19"/>
      <c r="J66" s="15"/>
      <c r="K66"/>
      <c r="L66"/>
      <c r="M66"/>
      <c r="N66"/>
      <c r="O66"/>
      <c r="P66" s="15"/>
    </row>
    <row r="67" spans="1:16" x14ac:dyDescent="0.25">
      <c r="A67" s="17">
        <v>50</v>
      </c>
      <c r="B67" s="34" t="str">
        <f>IF(N(C67)=0,"",IF(ISNUMBER(MATCH(C67,C$26:C66,)),INDEX(B$26:B66,MATCH(C67,C$26:C66,)),MAX(B$26:B66)+1))</f>
        <v/>
      </c>
      <c r="C67" s="55"/>
      <c r="D67" s="7"/>
      <c r="E67" s="25" t="str">
        <f t="shared" si="6"/>
        <v/>
      </c>
      <c r="F67" s="25" t="str">
        <f t="shared" si="7"/>
        <v/>
      </c>
      <c r="G67" s="47">
        <f t="shared" si="5"/>
        <v>0</v>
      </c>
      <c r="H67" s="52"/>
      <c r="I67" s="19"/>
      <c r="J67" s="15"/>
      <c r="K67"/>
      <c r="L67"/>
      <c r="M67"/>
      <c r="N67"/>
      <c r="O67"/>
      <c r="P67" s="15"/>
    </row>
    <row r="68" spans="1:16" x14ac:dyDescent="0.25">
      <c r="A68" s="17">
        <v>51</v>
      </c>
      <c r="B68" s="34" t="str">
        <f>IF(N(C68)=0,"",IF(ISNUMBER(MATCH(C68,C$26:C67,)),INDEX(B$26:B67,MATCH(C68,C$26:C67,)),MAX(B$26:B67)+1))</f>
        <v/>
      </c>
      <c r="C68" s="55"/>
      <c r="D68" s="7"/>
      <c r="E68" s="25" t="str">
        <f t="shared" si="6"/>
        <v/>
      </c>
      <c r="F68" s="25" t="str">
        <f t="shared" si="7"/>
        <v/>
      </c>
      <c r="G68" s="47">
        <f t="shared" si="5"/>
        <v>0</v>
      </c>
      <c r="H68" s="52"/>
      <c r="I68" s="19"/>
      <c r="J68" s="15"/>
      <c r="K68"/>
      <c r="L68"/>
      <c r="M68"/>
      <c r="N68"/>
      <c r="O68"/>
      <c r="P68" s="15"/>
    </row>
    <row r="69" spans="1:16" x14ac:dyDescent="0.25">
      <c r="A69" s="17">
        <v>52</v>
      </c>
      <c r="B69" s="34" t="str">
        <f>IF(N(C69)=0,"",IF(ISNUMBER(MATCH(C69,C$26:C68,)),INDEX(B$26:B68,MATCH(C69,C$26:C68,)),MAX(B$26:B68)+1))</f>
        <v/>
      </c>
      <c r="C69" s="55"/>
      <c r="D69" s="7"/>
      <c r="E69" s="25" t="str">
        <f t="shared" si="6"/>
        <v/>
      </c>
      <c r="F69" s="25" t="str">
        <f t="shared" si="7"/>
        <v/>
      </c>
      <c r="G69" s="47">
        <f t="shared" si="5"/>
        <v>0</v>
      </c>
      <c r="H69" s="52"/>
      <c r="I69" s="19"/>
      <c r="J69" s="15"/>
      <c r="K69"/>
      <c r="L69"/>
      <c r="M69"/>
      <c r="N69"/>
      <c r="O69"/>
      <c r="P69" s="15"/>
    </row>
    <row r="70" spans="1:16" x14ac:dyDescent="0.25">
      <c r="A70" s="17">
        <v>53</v>
      </c>
      <c r="B70" s="34" t="str">
        <f>IF(N(C70)=0,"",IF(ISNUMBER(MATCH(C70,C$26:C69,)),INDEX(B$26:B69,MATCH(C70,C$26:C69,)),MAX(B$26:B69)+1))</f>
        <v/>
      </c>
      <c r="C70" s="55"/>
      <c r="D70" s="7"/>
      <c r="E70" s="25" t="str">
        <f t="shared" si="6"/>
        <v/>
      </c>
      <c r="F70" s="25" t="str">
        <f t="shared" si="7"/>
        <v/>
      </c>
      <c r="G70" s="47">
        <f t="shared" si="5"/>
        <v>0</v>
      </c>
      <c r="H70" s="52"/>
      <c r="I70" s="19"/>
      <c r="J70" s="15"/>
      <c r="K70"/>
      <c r="L70"/>
      <c r="M70"/>
      <c r="N70"/>
      <c r="O70"/>
      <c r="P70" s="15"/>
    </row>
    <row r="71" spans="1:16" x14ac:dyDescent="0.25">
      <c r="A71" s="17">
        <v>54</v>
      </c>
      <c r="B71" s="34" t="str">
        <f>IF(N(C71)=0,"",IF(ISNUMBER(MATCH(C71,C$26:C70,)),INDEX(B$26:B70,MATCH(C71,C$26:C70,)),MAX(B$26:B70)+1))</f>
        <v/>
      </c>
      <c r="C71" s="55"/>
      <c r="D71" s="7"/>
      <c r="E71" s="25" t="str">
        <f t="shared" si="6"/>
        <v/>
      </c>
      <c r="F71" s="25" t="str">
        <f t="shared" si="7"/>
        <v/>
      </c>
      <c r="G71" s="47">
        <f t="shared" si="5"/>
        <v>0</v>
      </c>
      <c r="H71" s="52"/>
      <c r="I71" s="19"/>
      <c r="J71" s="15"/>
      <c r="K71"/>
      <c r="L71"/>
      <c r="M71"/>
      <c r="N71"/>
      <c r="O71"/>
      <c r="P71" s="15"/>
    </row>
    <row r="72" spans="1:16" x14ac:dyDescent="0.25">
      <c r="A72" s="17">
        <v>55</v>
      </c>
      <c r="B72" s="34" t="str">
        <f>IF(N(C72)=0,"",IF(ISNUMBER(MATCH(C72,C$26:C71,)),INDEX(B$26:B71,MATCH(C72,C$26:C71,)),MAX(B$26:B71)+1))</f>
        <v/>
      </c>
      <c r="C72" s="55"/>
      <c r="D72" s="7"/>
      <c r="E72" s="25" t="str">
        <f t="shared" si="6"/>
        <v/>
      </c>
      <c r="F72" s="25" t="str">
        <f t="shared" si="7"/>
        <v/>
      </c>
      <c r="G72" s="47">
        <f t="shared" si="5"/>
        <v>0</v>
      </c>
      <c r="H72" s="52"/>
      <c r="I72" s="19"/>
      <c r="J72" s="15"/>
      <c r="K72"/>
      <c r="L72"/>
      <c r="M72"/>
      <c r="N72"/>
      <c r="O72"/>
      <c r="P72" s="15"/>
    </row>
    <row r="73" spans="1:16" x14ac:dyDescent="0.25">
      <c r="A73" s="17">
        <v>56</v>
      </c>
      <c r="B73" s="34" t="str">
        <f>IF(N(C73)=0,"",IF(ISNUMBER(MATCH(C73,C$26:C72,)),INDEX(B$26:B72,MATCH(C73,C$26:C72,)),MAX(B$26:B72)+1))</f>
        <v/>
      </c>
      <c r="C73" s="55"/>
      <c r="D73" s="7"/>
      <c r="E73" s="25" t="str">
        <f t="shared" si="6"/>
        <v/>
      </c>
      <c r="F73" s="25" t="str">
        <f t="shared" si="7"/>
        <v/>
      </c>
      <c r="G73" s="47">
        <f t="shared" si="5"/>
        <v>0</v>
      </c>
      <c r="H73" s="52"/>
      <c r="I73" s="19"/>
      <c r="J73" s="15"/>
      <c r="K73"/>
      <c r="L73"/>
      <c r="M73"/>
      <c r="N73"/>
      <c r="O73"/>
      <c r="P73" s="15"/>
    </row>
    <row r="74" spans="1:16" x14ac:dyDescent="0.25">
      <c r="A74" s="17">
        <v>57</v>
      </c>
      <c r="B74" s="34" t="str">
        <f>IF(N(C74)=0,"",IF(ISNUMBER(MATCH(C74,C$26:C73,)),INDEX(B$26:B73,MATCH(C74,C$26:C73,)),MAX(B$26:B73)+1))</f>
        <v/>
      </c>
      <c r="C74" s="55"/>
      <c r="D74" s="7"/>
      <c r="E74" s="25" t="str">
        <f t="shared" si="6"/>
        <v/>
      </c>
      <c r="F74" s="25" t="str">
        <f t="shared" si="7"/>
        <v/>
      </c>
      <c r="G74" s="47">
        <f t="shared" si="5"/>
        <v>0</v>
      </c>
      <c r="H74" s="52"/>
      <c r="I74" s="19"/>
      <c r="J74" s="15"/>
      <c r="K74"/>
      <c r="L74"/>
      <c r="M74"/>
      <c r="N74"/>
      <c r="O74"/>
      <c r="P74" s="15"/>
    </row>
    <row r="75" spans="1:16" x14ac:dyDescent="0.25">
      <c r="A75" s="17">
        <v>58</v>
      </c>
      <c r="B75" s="34" t="str">
        <f>IF(N(C75)=0,"",IF(ISNUMBER(MATCH(C75,C$26:C74,)),INDEX(B$26:B74,MATCH(C75,C$26:C74,)),MAX(B$26:B74)+1))</f>
        <v/>
      </c>
      <c r="C75" s="55"/>
      <c r="D75" s="7"/>
      <c r="E75" s="25" t="str">
        <f t="shared" si="6"/>
        <v/>
      </c>
      <c r="F75" s="25" t="str">
        <f t="shared" si="7"/>
        <v/>
      </c>
      <c r="G75" s="47">
        <f t="shared" si="5"/>
        <v>0</v>
      </c>
      <c r="H75" s="52"/>
      <c r="I75" s="19"/>
      <c r="J75" s="15"/>
      <c r="K75"/>
      <c r="L75"/>
      <c r="M75"/>
      <c r="N75"/>
      <c r="O75"/>
      <c r="P75" s="15"/>
    </row>
    <row r="76" spans="1:16" x14ac:dyDescent="0.25">
      <c r="A76" s="17">
        <v>59</v>
      </c>
      <c r="B76" s="34" t="str">
        <f>IF(N(C76)=0,"",IF(ISNUMBER(MATCH(C76,C$26:C75,)),INDEX(B$26:B75,MATCH(C76,C$26:C75,)),MAX(B$26:B75)+1))</f>
        <v/>
      </c>
      <c r="C76" s="55"/>
      <c r="D76" s="7"/>
      <c r="E76" s="25" t="str">
        <f t="shared" si="6"/>
        <v/>
      </c>
      <c r="F76" s="25" t="str">
        <f t="shared" si="7"/>
        <v/>
      </c>
      <c r="G76" s="47">
        <f t="shared" si="5"/>
        <v>0</v>
      </c>
      <c r="H76" s="52"/>
      <c r="I76" s="19"/>
      <c r="J76" s="15"/>
      <c r="K76"/>
      <c r="L76"/>
      <c r="M76"/>
      <c r="N76"/>
      <c r="O76"/>
      <c r="P76" s="15"/>
    </row>
    <row r="77" spans="1:16" x14ac:dyDescent="0.25">
      <c r="A77" s="17">
        <v>60</v>
      </c>
      <c r="B77" s="34" t="str">
        <f>IF(N(C77)=0,"",IF(ISNUMBER(MATCH(C77,C$26:C76,)),INDEX(B$26:B76,MATCH(C77,C$26:C76,)),MAX(B$26:B76)+1))</f>
        <v/>
      </c>
      <c r="C77" s="55"/>
      <c r="D77" s="7"/>
      <c r="E77" s="25" t="str">
        <f t="shared" si="6"/>
        <v/>
      </c>
      <c r="F77" s="25" t="str">
        <f t="shared" si="7"/>
        <v/>
      </c>
      <c r="G77" s="47">
        <f t="shared" si="5"/>
        <v>0</v>
      </c>
      <c r="H77" s="52"/>
      <c r="I77" s="19"/>
      <c r="J77" s="15"/>
      <c r="K77"/>
      <c r="L77"/>
      <c r="M77"/>
      <c r="N77"/>
      <c r="O77"/>
      <c r="P77" s="15"/>
    </row>
    <row r="78" spans="1:16" x14ac:dyDescent="0.25">
      <c r="A78" s="17">
        <v>61</v>
      </c>
      <c r="B78" s="34" t="str">
        <f>IF(N(C78)=0,"",IF(ISNUMBER(MATCH(C78,C$26:C77,)),INDEX(B$26:B77,MATCH(C78,C$26:C77,)),MAX(B$26:B77)+1))</f>
        <v/>
      </c>
      <c r="C78" s="55"/>
      <c r="D78" s="7"/>
      <c r="E78" s="25" t="str">
        <f t="shared" si="6"/>
        <v/>
      </c>
      <c r="F78" s="25" t="str">
        <f t="shared" si="7"/>
        <v/>
      </c>
      <c r="G78" s="47">
        <f t="shared" si="5"/>
        <v>0</v>
      </c>
      <c r="H78" s="52"/>
      <c r="I78" s="19"/>
      <c r="J78" s="15"/>
      <c r="K78"/>
      <c r="L78"/>
      <c r="M78"/>
      <c r="N78"/>
      <c r="O78"/>
      <c r="P78" s="15"/>
    </row>
    <row r="79" spans="1:16" x14ac:dyDescent="0.25">
      <c r="A79" s="17">
        <v>62</v>
      </c>
      <c r="B79" s="34" t="str">
        <f>IF(N(C79)=0,"",IF(ISNUMBER(MATCH(C79,C$26:C78,)),INDEX(B$26:B78,MATCH(C79,C$26:C78,)),MAX(B$26:B78)+1))</f>
        <v/>
      </c>
      <c r="C79" s="55"/>
      <c r="D79" s="7"/>
      <c r="E79" s="25" t="str">
        <f t="shared" si="6"/>
        <v/>
      </c>
      <c r="F79" s="25" t="str">
        <f t="shared" si="7"/>
        <v/>
      </c>
      <c r="G79" s="47">
        <f t="shared" si="5"/>
        <v>0</v>
      </c>
      <c r="H79" s="52"/>
      <c r="I79" s="19"/>
      <c r="J79" s="15"/>
      <c r="K79"/>
      <c r="L79"/>
      <c r="M79"/>
      <c r="N79"/>
      <c r="O79"/>
      <c r="P79" s="15"/>
    </row>
    <row r="80" spans="1:16" x14ac:dyDescent="0.25">
      <c r="A80" s="17">
        <v>63</v>
      </c>
      <c r="B80" s="34" t="str">
        <f>IF(N(C80)=0,"",IF(ISNUMBER(MATCH(C80,C$26:C79,)),INDEX(B$26:B79,MATCH(C80,C$26:C79,)),MAX(B$26:B79)+1))</f>
        <v/>
      </c>
      <c r="C80" s="55"/>
      <c r="D80" s="7"/>
      <c r="E80" s="25" t="str">
        <f t="shared" si="6"/>
        <v/>
      </c>
      <c r="F80" s="25" t="str">
        <f t="shared" si="7"/>
        <v/>
      </c>
      <c r="G80" s="47">
        <f t="shared" si="5"/>
        <v>0</v>
      </c>
      <c r="H80" s="52"/>
      <c r="I80" s="19"/>
      <c r="J80" s="15"/>
      <c r="K80"/>
      <c r="L80"/>
      <c r="M80"/>
      <c r="N80"/>
      <c r="O80"/>
      <c r="P80" s="15"/>
    </row>
    <row r="81" spans="1:16" x14ac:dyDescent="0.25">
      <c r="A81" s="17">
        <v>64</v>
      </c>
      <c r="B81" s="34" t="str">
        <f>IF(N(C81)=0,"",IF(ISNUMBER(MATCH(C81,C$26:C80,)),INDEX(B$26:B80,MATCH(C81,C$26:C80,)),MAX(B$26:B80)+1))</f>
        <v/>
      </c>
      <c r="C81" s="55"/>
      <c r="D81" s="7"/>
      <c r="E81" s="25" t="str">
        <f t="shared" si="6"/>
        <v/>
      </c>
      <c r="F81" s="25" t="str">
        <f t="shared" si="7"/>
        <v/>
      </c>
      <c r="G81" s="47">
        <f t="shared" si="5"/>
        <v>0</v>
      </c>
      <c r="H81" s="52"/>
      <c r="I81" s="19"/>
      <c r="J81" s="15"/>
      <c r="K81"/>
      <c r="L81"/>
      <c r="M81"/>
      <c r="N81"/>
      <c r="O81"/>
      <c r="P81" s="15"/>
    </row>
    <row r="82" spans="1:16" x14ac:dyDescent="0.25">
      <c r="A82" s="17">
        <v>65</v>
      </c>
      <c r="B82" s="34" t="str">
        <f>IF(N(C82)=0,"",IF(ISNUMBER(MATCH(C82,C$26:C81,)),INDEX(B$26:B81,MATCH(C82,C$26:C81,)),MAX(B$26:B81)+1))</f>
        <v/>
      </c>
      <c r="C82" s="55"/>
      <c r="D82" s="7"/>
      <c r="E82" s="25" t="str">
        <f t="shared" si="6"/>
        <v/>
      </c>
      <c r="F82" s="25" t="str">
        <f t="shared" si="7"/>
        <v/>
      </c>
      <c r="G82" s="47">
        <f t="shared" si="5"/>
        <v>0</v>
      </c>
      <c r="H82" s="52"/>
      <c r="I82" s="19"/>
      <c r="J82" s="15"/>
      <c r="K82"/>
      <c r="L82"/>
      <c r="M82"/>
      <c r="N82"/>
      <c r="O82"/>
      <c r="P82" s="15"/>
    </row>
    <row r="83" spans="1:16" x14ac:dyDescent="0.25">
      <c r="A83" s="17">
        <v>66</v>
      </c>
      <c r="B83" s="34" t="str">
        <f>IF(N(C83)=0,"",IF(ISNUMBER(MATCH(C83,C$26:C82,)),INDEX(B$26:B82,MATCH(C83,C$26:C82,)),MAX(B$26:B82)+1))</f>
        <v/>
      </c>
      <c r="C83" s="55"/>
      <c r="D83" s="7"/>
      <c r="E83" s="25" t="str">
        <f t="shared" si="6"/>
        <v/>
      </c>
      <c r="F83" s="25" t="str">
        <f t="shared" si="7"/>
        <v/>
      </c>
      <c r="G83" s="47">
        <f t="shared" si="5"/>
        <v>0</v>
      </c>
      <c r="H83" s="52"/>
      <c r="I83" s="19"/>
      <c r="J83" s="15"/>
      <c r="K83"/>
      <c r="L83"/>
      <c r="M83"/>
      <c r="N83"/>
      <c r="O83"/>
      <c r="P83" s="15"/>
    </row>
    <row r="84" spans="1:16" x14ac:dyDescent="0.25">
      <c r="A84" s="17">
        <v>67</v>
      </c>
      <c r="B84" s="34" t="str">
        <f>IF(N(C84)=0,"",IF(ISNUMBER(MATCH(C84,C$26:C83,)),INDEX(B$26:B83,MATCH(C84,C$26:C83,)),MAX(B$26:B83)+1))</f>
        <v/>
      </c>
      <c r="C84" s="55"/>
      <c r="D84" s="7"/>
      <c r="E84" s="25" t="str">
        <f t="shared" si="6"/>
        <v/>
      </c>
      <c r="F84" s="25" t="str">
        <f t="shared" si="7"/>
        <v/>
      </c>
      <c r="G84" s="47">
        <f t="shared" si="5"/>
        <v>0</v>
      </c>
      <c r="H84" s="52"/>
      <c r="I84" s="19"/>
      <c r="J84" s="15"/>
      <c r="K84"/>
      <c r="L84"/>
      <c r="M84"/>
      <c r="N84"/>
      <c r="O84"/>
      <c r="P84" s="15"/>
    </row>
    <row r="85" spans="1:16" x14ac:dyDescent="0.25">
      <c r="A85" s="17">
        <v>68</v>
      </c>
      <c r="B85" s="34" t="str">
        <f>IF(N(C85)=0,"",IF(ISNUMBER(MATCH(C85,C$26:C84,)),INDEX(B$26:B84,MATCH(C85,C$26:C84,)),MAX(B$26:B84)+1))</f>
        <v/>
      </c>
      <c r="C85" s="55"/>
      <c r="D85" s="7"/>
      <c r="E85" s="25" t="str">
        <f t="shared" si="6"/>
        <v/>
      </c>
      <c r="F85" s="25" t="str">
        <f t="shared" si="7"/>
        <v/>
      </c>
      <c r="G85" s="47">
        <f t="shared" si="5"/>
        <v>0</v>
      </c>
      <c r="H85" s="52"/>
      <c r="I85" s="19"/>
      <c r="J85" s="15"/>
      <c r="K85"/>
      <c r="L85"/>
      <c r="M85"/>
      <c r="N85"/>
      <c r="O85"/>
    </row>
    <row r="86" spans="1:16" x14ac:dyDescent="0.25">
      <c r="A86" s="17">
        <v>69</v>
      </c>
      <c r="B86" s="34" t="str">
        <f>IF(N(C86)=0,"",IF(ISNUMBER(MATCH(C86,C$26:C85,)),INDEX(B$26:B85,MATCH(C86,C$26:C85,)),MAX(B$26:B85)+1))</f>
        <v/>
      </c>
      <c r="C86" s="55"/>
      <c r="D86" s="7"/>
      <c r="E86" s="25" t="str">
        <f t="shared" si="6"/>
        <v/>
      </c>
      <c r="F86" s="25" t="str">
        <f t="shared" si="7"/>
        <v/>
      </c>
      <c r="G86" s="47">
        <f t="shared" si="5"/>
        <v>0</v>
      </c>
      <c r="H86" s="52"/>
      <c r="I86" s="19"/>
      <c r="J86" s="15"/>
      <c r="K86"/>
      <c r="L86"/>
      <c r="M86"/>
      <c r="N86"/>
      <c r="O86"/>
    </row>
    <row r="87" spans="1:16" x14ac:dyDescent="0.25">
      <c r="A87" s="17">
        <v>70</v>
      </c>
      <c r="B87" s="34" t="str">
        <f>IF(N(C87)=0,"",IF(ISNUMBER(MATCH(C87,C$26:C86,)),INDEX(B$26:B86,MATCH(C87,C$26:C86,)),MAX(B$26:B86)+1))</f>
        <v/>
      </c>
      <c r="C87" s="55"/>
      <c r="D87" s="7"/>
      <c r="E87" s="25" t="str">
        <f t="shared" si="6"/>
        <v/>
      </c>
      <c r="F87" s="25" t="str">
        <f t="shared" si="7"/>
        <v/>
      </c>
      <c r="G87" s="47">
        <f t="shared" si="5"/>
        <v>0</v>
      </c>
      <c r="H87" s="52"/>
      <c r="I87" s="19"/>
      <c r="J87" s="15"/>
      <c r="K87"/>
      <c r="L87"/>
      <c r="M87"/>
      <c r="N87"/>
      <c r="O87"/>
    </row>
    <row r="88" spans="1:16" x14ac:dyDescent="0.25">
      <c r="A88" s="17">
        <v>71</v>
      </c>
      <c r="B88" s="34" t="str">
        <f>IF(N(C88)=0,"",IF(ISNUMBER(MATCH(C88,C$26:C87,)),INDEX(B$26:B87,MATCH(C88,C$26:C87,)),MAX(B$26:B87)+1))</f>
        <v/>
      </c>
      <c r="C88" s="55"/>
      <c r="D88" s="7"/>
      <c r="E88" s="25" t="str">
        <f t="shared" si="6"/>
        <v/>
      </c>
      <c r="F88" s="25" t="str">
        <f t="shared" si="7"/>
        <v/>
      </c>
      <c r="G88" s="47">
        <f t="shared" si="5"/>
        <v>0</v>
      </c>
      <c r="H88" s="52"/>
      <c r="I88" s="19"/>
      <c r="J88" s="15"/>
      <c r="K88"/>
      <c r="L88"/>
      <c r="M88"/>
      <c r="N88"/>
      <c r="O88"/>
    </row>
    <row r="89" spans="1:16" x14ac:dyDescent="0.25">
      <c r="A89" s="17">
        <v>72</v>
      </c>
      <c r="B89" s="34" t="str">
        <f>IF(N(C89)=0,"",IF(ISNUMBER(MATCH(C89,C$26:C88,)),INDEX(B$26:B88,MATCH(C89,C$26:C88,)),MAX(B$26:B88)+1))</f>
        <v/>
      </c>
      <c r="C89" s="55"/>
      <c r="D89" s="7"/>
      <c r="E89" s="25" t="str">
        <f t="shared" si="6"/>
        <v/>
      </c>
      <c r="F89" s="25" t="str">
        <f t="shared" si="7"/>
        <v/>
      </c>
      <c r="G89" s="47">
        <f t="shared" si="5"/>
        <v>0</v>
      </c>
      <c r="H89" s="52"/>
      <c r="I89" s="19"/>
      <c r="J89" s="15"/>
      <c r="K89"/>
      <c r="L89"/>
      <c r="M89"/>
      <c r="N89"/>
      <c r="O89"/>
    </row>
    <row r="90" spans="1:16" x14ac:dyDescent="0.25">
      <c r="A90" s="17">
        <v>73</v>
      </c>
      <c r="B90" s="34" t="str">
        <f>IF(N(C90)=0,"",IF(ISNUMBER(MATCH(C90,C$26:C89,)),INDEX(B$26:B89,MATCH(C90,C$26:C89,)),MAX(B$26:B89)+1))</f>
        <v/>
      </c>
      <c r="C90" s="55"/>
      <c r="D90" s="7"/>
      <c r="E90" s="25" t="str">
        <f t="shared" ref="E90:E115" si="8">IF($K$3=0,0,IF(ISNA(VLOOKUP(C90,H$26:I$115,2,))*C90,D90,IF(C90="","",IF(D90="",TRUNC($C$3/C90)-VLOOKUP(C90,H$26:I$115,2,),D90-VLOOKUP(C90,H$26:I$115,2,)))))</f>
        <v/>
      </c>
      <c r="F90" s="25" t="str">
        <f t="shared" ref="F90:F115" si="9">IF($K$3=0,"",IF(AND(C90&lt;&gt;"",D90&lt;&gt;""),D90-E90,IF(D90="","",TRUNC($C$3/C90)-VLOOKUP(C90,H$26:I$115,2,))))</f>
        <v/>
      </c>
      <c r="G90" s="47">
        <f t="shared" si="5"/>
        <v>0</v>
      </c>
      <c r="H90" s="52"/>
      <c r="I90" s="19"/>
      <c r="J90" s="15"/>
      <c r="K90"/>
      <c r="L90"/>
      <c r="M90"/>
      <c r="N90"/>
      <c r="O90"/>
    </row>
    <row r="91" spans="1:16" x14ac:dyDescent="0.25">
      <c r="A91" s="17">
        <v>74</v>
      </c>
      <c r="B91" s="34" t="str">
        <f>IF(N(C91)=0,"",IF(ISNUMBER(MATCH(C91,C$26:C90,)),INDEX(B$26:B90,MATCH(C91,C$26:C90,)),MAX(B$26:B90)+1))</f>
        <v/>
      </c>
      <c r="C91" s="55"/>
      <c r="D91" s="7"/>
      <c r="E91" s="25" t="str">
        <f t="shared" si="8"/>
        <v/>
      </c>
      <c r="F91" s="25" t="str">
        <f t="shared" si="9"/>
        <v/>
      </c>
      <c r="G91" s="47">
        <f t="shared" ref="G91:G114" si="10">--(C91+H91+K91&gt;0)</f>
        <v>0</v>
      </c>
      <c r="H91" s="52"/>
      <c r="I91" s="19"/>
      <c r="J91" s="15"/>
      <c r="K91"/>
      <c r="L91"/>
      <c r="M91"/>
      <c r="N91"/>
      <c r="O91"/>
    </row>
    <row r="92" spans="1:16" x14ac:dyDescent="0.25">
      <c r="A92" s="17">
        <v>75</v>
      </c>
      <c r="B92" s="34" t="str">
        <f>IF(N(C92)=0,"",IF(ISNUMBER(MATCH(C92,C$26:C91,)),INDEX(B$26:B91,MATCH(C92,C$26:C91,)),MAX(B$26:B91)+1))</f>
        <v/>
      </c>
      <c r="C92" s="55"/>
      <c r="D92" s="7"/>
      <c r="E92" s="25" t="str">
        <f t="shared" si="8"/>
        <v/>
      </c>
      <c r="F92" s="25" t="str">
        <f t="shared" si="9"/>
        <v/>
      </c>
      <c r="G92" s="47">
        <f t="shared" si="10"/>
        <v>0</v>
      </c>
      <c r="H92" s="52"/>
      <c r="I92" s="19"/>
      <c r="J92" s="15"/>
      <c r="K92"/>
      <c r="L92"/>
      <c r="M92"/>
      <c r="N92"/>
      <c r="O92"/>
    </row>
    <row r="93" spans="1:16" x14ac:dyDescent="0.25">
      <c r="A93" s="17">
        <v>76</v>
      </c>
      <c r="B93" s="34" t="str">
        <f>IF(N(C93)=0,"",IF(ISNUMBER(MATCH(C93,C$26:C92,)),INDEX(B$26:B92,MATCH(C93,C$26:C92,)),MAX(B$26:B92)+1))</f>
        <v/>
      </c>
      <c r="C93" s="55"/>
      <c r="D93" s="7"/>
      <c r="E93" s="25" t="str">
        <f t="shared" si="8"/>
        <v/>
      </c>
      <c r="F93" s="25" t="str">
        <f t="shared" si="9"/>
        <v/>
      </c>
      <c r="G93" s="47">
        <f t="shared" si="10"/>
        <v>0</v>
      </c>
      <c r="H93" s="52"/>
      <c r="I93" s="19"/>
      <c r="J93" s="15"/>
      <c r="K93"/>
      <c r="L93"/>
      <c r="M93"/>
      <c r="N93"/>
      <c r="O93"/>
    </row>
    <row r="94" spans="1:16" x14ac:dyDescent="0.25">
      <c r="A94" s="17">
        <v>77</v>
      </c>
      <c r="B94" s="34" t="str">
        <f>IF(N(C94)=0,"",IF(ISNUMBER(MATCH(C94,C$26:C93,)),INDEX(B$26:B93,MATCH(C94,C$26:C93,)),MAX(B$26:B93)+1))</f>
        <v/>
      </c>
      <c r="C94" s="55"/>
      <c r="D94" s="7"/>
      <c r="E94" s="25" t="str">
        <f t="shared" si="8"/>
        <v/>
      </c>
      <c r="F94" s="25" t="str">
        <f t="shared" si="9"/>
        <v/>
      </c>
      <c r="G94" s="47">
        <f t="shared" si="10"/>
        <v>0</v>
      </c>
      <c r="H94" s="52"/>
      <c r="I94" s="19"/>
      <c r="J94" s="15"/>
      <c r="K94"/>
      <c r="L94"/>
      <c r="M94"/>
      <c r="N94"/>
      <c r="O94"/>
    </row>
    <row r="95" spans="1:16" x14ac:dyDescent="0.25">
      <c r="A95" s="17">
        <v>78</v>
      </c>
      <c r="B95" s="34" t="str">
        <f>IF(N(C95)=0,"",IF(ISNUMBER(MATCH(C95,C$26:C94,)),INDEX(B$26:B94,MATCH(C95,C$26:C94,)),MAX(B$26:B94)+1))</f>
        <v/>
      </c>
      <c r="C95" s="55"/>
      <c r="D95" s="7"/>
      <c r="E95" s="25" t="str">
        <f t="shared" si="8"/>
        <v/>
      </c>
      <c r="F95" s="25" t="str">
        <f t="shared" si="9"/>
        <v/>
      </c>
      <c r="G95" s="47">
        <f t="shared" si="10"/>
        <v>0</v>
      </c>
      <c r="H95" s="52"/>
      <c r="I95" s="19"/>
      <c r="J95" s="15"/>
      <c r="K95"/>
      <c r="L95"/>
      <c r="M95"/>
      <c r="N95"/>
      <c r="O95"/>
    </row>
    <row r="96" spans="1:16" x14ac:dyDescent="0.25">
      <c r="A96" s="17">
        <v>79</v>
      </c>
      <c r="B96" s="34" t="str">
        <f>IF(N(C96)=0,"",IF(ISNUMBER(MATCH(C96,C$26:C95,)),INDEX(B$26:B95,MATCH(C96,C$26:C95,)),MAX(B$26:B95)+1))</f>
        <v/>
      </c>
      <c r="C96" s="55"/>
      <c r="D96" s="7"/>
      <c r="E96" s="25" t="str">
        <f t="shared" si="8"/>
        <v/>
      </c>
      <c r="F96" s="25" t="str">
        <f t="shared" si="9"/>
        <v/>
      </c>
      <c r="G96" s="47">
        <f t="shared" si="10"/>
        <v>0</v>
      </c>
      <c r="H96" s="52"/>
      <c r="I96" s="19"/>
      <c r="J96" s="15"/>
      <c r="K96"/>
      <c r="L96"/>
      <c r="M96"/>
      <c r="N96"/>
      <c r="O96"/>
    </row>
    <row r="97" spans="1:15" x14ac:dyDescent="0.25">
      <c r="A97" s="17">
        <v>80</v>
      </c>
      <c r="B97" s="34" t="str">
        <f>IF(N(C97)=0,"",IF(ISNUMBER(MATCH(C97,C$26:C96,)),INDEX(B$26:B96,MATCH(C97,C$26:C96,)),MAX(B$26:B96)+1))</f>
        <v/>
      </c>
      <c r="C97" s="55"/>
      <c r="D97" s="7"/>
      <c r="E97" s="25" t="str">
        <f t="shared" si="8"/>
        <v/>
      </c>
      <c r="F97" s="25" t="str">
        <f t="shared" si="9"/>
        <v/>
      </c>
      <c r="G97" s="47">
        <f t="shared" si="10"/>
        <v>0</v>
      </c>
      <c r="H97" s="52"/>
      <c r="I97" s="19"/>
      <c r="J97" s="17" t="s">
        <v>15</v>
      </c>
      <c r="K97"/>
      <c r="L97"/>
      <c r="M97"/>
      <c r="N97"/>
      <c r="O97"/>
    </row>
    <row r="98" spans="1:15" x14ac:dyDescent="0.25">
      <c r="A98" s="17">
        <v>81</v>
      </c>
      <c r="B98" s="34" t="str">
        <f>IF(N(C98)=0,"",IF(ISNUMBER(MATCH(C98,C$26:C97,)),INDEX(B$26:B97,MATCH(C98,C$26:C97,)),MAX(B$26:B97)+1))</f>
        <v/>
      </c>
      <c r="C98" s="55"/>
      <c r="D98" s="7"/>
      <c r="E98" s="25" t="str">
        <f t="shared" si="8"/>
        <v/>
      </c>
      <c r="F98" s="25" t="str">
        <f t="shared" si="9"/>
        <v/>
      </c>
      <c r="G98" s="47">
        <f t="shared" si="10"/>
        <v>0</v>
      </c>
      <c r="H98" s="52"/>
      <c r="I98" s="19"/>
      <c r="J98" s="17" t="s">
        <v>16</v>
      </c>
      <c r="K98"/>
      <c r="L98"/>
      <c r="M98"/>
      <c r="N98"/>
      <c r="O98"/>
    </row>
    <row r="99" spans="1:15" x14ac:dyDescent="0.25">
      <c r="A99" s="17">
        <v>82</v>
      </c>
      <c r="B99" s="34" t="str">
        <f>IF(N(C99)=0,"",IF(ISNUMBER(MATCH(C99,C$26:C98,)),INDEX(B$26:B98,MATCH(C99,C$26:C98,)),MAX(B$26:B98)+1))</f>
        <v/>
      </c>
      <c r="C99" s="55"/>
      <c r="D99" s="7"/>
      <c r="E99" s="25" t="str">
        <f t="shared" si="8"/>
        <v/>
      </c>
      <c r="F99" s="25" t="str">
        <f t="shared" si="9"/>
        <v/>
      </c>
      <c r="G99" s="47">
        <f t="shared" si="10"/>
        <v>0</v>
      </c>
      <c r="H99" s="52"/>
      <c r="I99" s="19"/>
      <c r="J99" s="15"/>
      <c r="K99"/>
      <c r="L99"/>
      <c r="M99"/>
      <c r="N99"/>
      <c r="O99"/>
    </row>
    <row r="100" spans="1:15" x14ac:dyDescent="0.25">
      <c r="A100" s="17">
        <v>83</v>
      </c>
      <c r="B100" s="34" t="str">
        <f>IF(N(C100)=0,"",IF(ISNUMBER(MATCH(C100,C$26:C99,)),INDEX(B$26:B99,MATCH(C100,C$26:C99,)),MAX(B$26:B99)+1))</f>
        <v/>
      </c>
      <c r="C100" s="55"/>
      <c r="D100" s="7"/>
      <c r="E100" s="25" t="str">
        <f t="shared" si="8"/>
        <v/>
      </c>
      <c r="F100" s="25" t="str">
        <f t="shared" si="9"/>
        <v/>
      </c>
      <c r="G100" s="47">
        <f t="shared" si="10"/>
        <v>0</v>
      </c>
      <c r="H100" s="52"/>
      <c r="I100" s="19"/>
      <c r="J100" s="15"/>
      <c r="K100"/>
      <c r="L100"/>
      <c r="M100"/>
      <c r="N100"/>
      <c r="O100"/>
    </row>
    <row r="101" spans="1:15" x14ac:dyDescent="0.25">
      <c r="A101" s="17">
        <v>84</v>
      </c>
      <c r="B101" s="34" t="str">
        <f>IF(N(C101)=0,"",IF(ISNUMBER(MATCH(C101,C$26:C100,)),INDEX(B$26:B100,MATCH(C101,C$26:C100,)),MAX(B$26:B100)+1))</f>
        <v/>
      </c>
      <c r="C101" s="55"/>
      <c r="D101" s="7"/>
      <c r="E101" s="25" t="str">
        <f t="shared" si="8"/>
        <v/>
      </c>
      <c r="F101" s="25" t="str">
        <f t="shared" si="9"/>
        <v/>
      </c>
      <c r="G101" s="47">
        <f t="shared" si="10"/>
        <v>0</v>
      </c>
      <c r="H101" s="52"/>
      <c r="I101" s="19"/>
      <c r="J101" s="15"/>
      <c r="K101"/>
      <c r="L101"/>
      <c r="M101"/>
      <c r="N101"/>
      <c r="O101"/>
    </row>
    <row r="102" spans="1:15" x14ac:dyDescent="0.25">
      <c r="A102" s="17">
        <v>85</v>
      </c>
      <c r="B102" s="34" t="str">
        <f>IF(N(C102)=0,"",IF(ISNUMBER(MATCH(C102,C$26:C101,)),INDEX(B$26:B101,MATCH(C102,C$26:C101,)),MAX(B$26:B101)+1))</f>
        <v/>
      </c>
      <c r="C102" s="55"/>
      <c r="D102" s="7"/>
      <c r="E102" s="25" t="str">
        <f t="shared" si="8"/>
        <v/>
      </c>
      <c r="F102" s="25" t="str">
        <f t="shared" si="9"/>
        <v/>
      </c>
      <c r="G102" s="47">
        <f t="shared" si="10"/>
        <v>0</v>
      </c>
      <c r="H102" s="52"/>
      <c r="I102" s="19"/>
      <c r="J102" s="15"/>
      <c r="K102"/>
      <c r="L102"/>
      <c r="M102"/>
      <c r="N102"/>
      <c r="O102"/>
    </row>
    <row r="103" spans="1:15" x14ac:dyDescent="0.25">
      <c r="A103" s="17">
        <v>86</v>
      </c>
      <c r="B103" s="34" t="str">
        <f>IF(N(C103)=0,"",IF(ISNUMBER(MATCH(C103,C$26:C102,)),INDEX(B$26:B102,MATCH(C103,C$26:C102,)),MAX(B$26:B102)+1))</f>
        <v/>
      </c>
      <c r="C103" s="55"/>
      <c r="D103" s="7"/>
      <c r="E103" s="25" t="str">
        <f t="shared" si="8"/>
        <v/>
      </c>
      <c r="F103" s="25" t="str">
        <f t="shared" si="9"/>
        <v/>
      </c>
      <c r="G103" s="47">
        <f t="shared" si="10"/>
        <v>0</v>
      </c>
      <c r="H103" s="52"/>
      <c r="I103" s="19"/>
      <c r="J103" s="15"/>
      <c r="K103"/>
      <c r="L103"/>
      <c r="M103"/>
      <c r="N103"/>
      <c r="O103"/>
    </row>
    <row r="104" spans="1:15" x14ac:dyDescent="0.25">
      <c r="A104" s="17">
        <v>87</v>
      </c>
      <c r="B104" s="34" t="str">
        <f>IF(N(C104)=0,"",IF(ISNUMBER(MATCH(C104,C$26:C103,)),INDEX(B$26:B103,MATCH(C104,C$26:C103,)),MAX(B$26:B103)+1))</f>
        <v/>
      </c>
      <c r="C104" s="55"/>
      <c r="D104" s="7"/>
      <c r="E104" s="25" t="str">
        <f t="shared" si="8"/>
        <v/>
      </c>
      <c r="F104" s="25" t="str">
        <f t="shared" si="9"/>
        <v/>
      </c>
      <c r="G104" s="47">
        <f t="shared" si="10"/>
        <v>0</v>
      </c>
      <c r="H104" s="52"/>
      <c r="I104" s="19"/>
      <c r="K104"/>
      <c r="L104"/>
      <c r="M104"/>
      <c r="N104"/>
      <c r="O104"/>
    </row>
    <row r="105" spans="1:15" x14ac:dyDescent="0.25">
      <c r="A105" s="17">
        <v>88</v>
      </c>
      <c r="B105" s="34" t="str">
        <f>IF(N(C105)=0,"",IF(ISNUMBER(MATCH(C105,C$26:C104,)),INDEX(B$26:B104,MATCH(C105,C$26:C104,)),MAX(B$26:B104)+1))</f>
        <v/>
      </c>
      <c r="C105" s="55"/>
      <c r="D105" s="7"/>
      <c r="E105" s="25" t="str">
        <f t="shared" si="8"/>
        <v/>
      </c>
      <c r="F105" s="25" t="str">
        <f t="shared" si="9"/>
        <v/>
      </c>
      <c r="G105" s="47">
        <f t="shared" si="10"/>
        <v>0</v>
      </c>
      <c r="H105" s="52"/>
      <c r="I105" s="19"/>
      <c r="K105"/>
      <c r="L105"/>
      <c r="M105"/>
      <c r="N105"/>
      <c r="O105"/>
    </row>
    <row r="106" spans="1:15" x14ac:dyDescent="0.25">
      <c r="A106" s="17">
        <v>89</v>
      </c>
      <c r="B106" s="34" t="str">
        <f>IF(N(C106)=0,"",IF(ISNUMBER(MATCH(C106,C$26:C105,)),INDEX(B$26:B105,MATCH(C106,C$26:C105,)),MAX(B$26:B105)+1))</f>
        <v/>
      </c>
      <c r="C106" s="55"/>
      <c r="D106" s="7"/>
      <c r="E106" s="25" t="str">
        <f t="shared" si="8"/>
        <v/>
      </c>
      <c r="F106" s="25" t="str">
        <f t="shared" si="9"/>
        <v/>
      </c>
      <c r="G106" s="47">
        <f t="shared" si="10"/>
        <v>0</v>
      </c>
      <c r="H106" s="52"/>
      <c r="I106" s="19"/>
      <c r="K106"/>
      <c r="L106"/>
      <c r="M106"/>
      <c r="N106"/>
      <c r="O106"/>
    </row>
    <row r="107" spans="1:15" x14ac:dyDescent="0.25">
      <c r="A107" s="17">
        <v>90</v>
      </c>
      <c r="B107" s="34" t="str">
        <f>IF(N(C107)=0,"",IF(ISNUMBER(MATCH(C107,C$26:C106,)),INDEX(B$26:B106,MATCH(C107,C$26:C106,)),MAX(B$26:B106)+1))</f>
        <v/>
      </c>
      <c r="C107" s="55"/>
      <c r="D107" s="7"/>
      <c r="E107" s="25" t="str">
        <f t="shared" si="8"/>
        <v/>
      </c>
      <c r="F107" s="25" t="str">
        <f t="shared" si="9"/>
        <v/>
      </c>
      <c r="G107" s="47">
        <f t="shared" si="10"/>
        <v>0</v>
      </c>
      <c r="H107" s="52"/>
      <c r="I107" s="19"/>
      <c r="K107"/>
      <c r="L107"/>
      <c r="M107"/>
      <c r="N107"/>
      <c r="O107"/>
    </row>
    <row r="108" spans="1:15" x14ac:dyDescent="0.25">
      <c r="A108" s="17">
        <v>91</v>
      </c>
      <c r="B108" s="34" t="str">
        <f>IF(N(C108)=0,"",IF(ISNUMBER(MATCH(C108,C$26:C107,)),INDEX(B$26:B107,MATCH(C108,C$26:C107,)),MAX(B$26:B107)+1))</f>
        <v/>
      </c>
      <c r="C108" s="55"/>
      <c r="D108" s="7"/>
      <c r="E108" s="25" t="str">
        <f t="shared" si="8"/>
        <v/>
      </c>
      <c r="F108" s="25" t="str">
        <f t="shared" si="9"/>
        <v/>
      </c>
      <c r="G108" s="47">
        <f t="shared" si="10"/>
        <v>0</v>
      </c>
      <c r="H108" s="52"/>
      <c r="I108" s="19"/>
      <c r="K108"/>
      <c r="L108"/>
      <c r="M108"/>
      <c r="N108"/>
      <c r="O108"/>
    </row>
    <row r="109" spans="1:15" x14ac:dyDescent="0.25">
      <c r="A109" s="17">
        <v>92</v>
      </c>
      <c r="B109" s="34" t="str">
        <f>IF(N(C109)=0,"",IF(ISNUMBER(MATCH(C109,C$26:C108,)),INDEX(B$26:B108,MATCH(C109,C$26:C108,)),MAX(B$26:B108)+1))</f>
        <v/>
      </c>
      <c r="C109" s="55"/>
      <c r="D109" s="7"/>
      <c r="E109" s="25" t="str">
        <f t="shared" si="8"/>
        <v/>
      </c>
      <c r="F109" s="25" t="str">
        <f t="shared" si="9"/>
        <v/>
      </c>
      <c r="G109" s="47">
        <f t="shared" si="10"/>
        <v>0</v>
      </c>
      <c r="H109" s="52"/>
      <c r="I109" s="19"/>
      <c r="K109"/>
      <c r="L109"/>
      <c r="M109"/>
      <c r="N109"/>
      <c r="O109"/>
    </row>
    <row r="110" spans="1:15" x14ac:dyDescent="0.25">
      <c r="A110" s="17">
        <v>93</v>
      </c>
      <c r="B110" s="34" t="str">
        <f>IF(N(C110)=0,"",IF(ISNUMBER(MATCH(C110,C$26:C109,)),INDEX(B$26:B109,MATCH(C110,C$26:C109,)),MAX(B$26:B109)+1))</f>
        <v/>
      </c>
      <c r="C110" s="55"/>
      <c r="D110" s="7"/>
      <c r="E110" s="25" t="str">
        <f t="shared" si="8"/>
        <v/>
      </c>
      <c r="F110" s="25" t="str">
        <f t="shared" si="9"/>
        <v/>
      </c>
      <c r="G110" s="47">
        <f t="shared" si="10"/>
        <v>0</v>
      </c>
      <c r="H110" s="52"/>
      <c r="I110" s="19"/>
      <c r="K110"/>
      <c r="L110"/>
      <c r="M110"/>
      <c r="N110"/>
      <c r="O110"/>
    </row>
    <row r="111" spans="1:15" x14ac:dyDescent="0.25">
      <c r="A111" s="17">
        <v>94</v>
      </c>
      <c r="B111" s="34" t="str">
        <f>IF(N(C111)=0,"",IF(ISNUMBER(MATCH(C111,C$26:C110,)),INDEX(B$26:B110,MATCH(C111,C$26:C110,)),MAX(B$26:B110)+1))</f>
        <v/>
      </c>
      <c r="C111" s="55"/>
      <c r="D111" s="7"/>
      <c r="E111" s="25" t="str">
        <f t="shared" si="8"/>
        <v/>
      </c>
      <c r="F111" s="25" t="str">
        <f t="shared" si="9"/>
        <v/>
      </c>
      <c r="G111" s="47">
        <f t="shared" si="10"/>
        <v>0</v>
      </c>
      <c r="H111" s="52"/>
      <c r="I111" s="19"/>
      <c r="K111"/>
      <c r="L111"/>
      <c r="M111"/>
      <c r="N111"/>
      <c r="O111"/>
    </row>
    <row r="112" spans="1:15" x14ac:dyDescent="0.25">
      <c r="A112" s="17">
        <v>95</v>
      </c>
      <c r="B112" s="34" t="str">
        <f>IF(N(C112)=0,"",IF(ISNUMBER(MATCH(C112,C$26:C111,)),INDEX(B$26:B111,MATCH(C112,C$26:C111,)),MAX(B$26:B111)+1))</f>
        <v/>
      </c>
      <c r="C112" s="55"/>
      <c r="D112" s="7"/>
      <c r="E112" s="25" t="str">
        <f t="shared" si="8"/>
        <v/>
      </c>
      <c r="F112" s="25" t="str">
        <f t="shared" si="9"/>
        <v/>
      </c>
      <c r="G112" s="47">
        <f t="shared" si="10"/>
        <v>0</v>
      </c>
      <c r="H112" s="52"/>
      <c r="I112" s="19"/>
      <c r="K112"/>
      <c r="L112"/>
      <c r="M112"/>
      <c r="N112"/>
      <c r="O112"/>
    </row>
    <row r="113" spans="1:15" x14ac:dyDescent="0.25">
      <c r="A113" s="17">
        <v>96</v>
      </c>
      <c r="B113" s="34" t="str">
        <f>IF(N(C113)=0,"",IF(ISNUMBER(MATCH(C113,C$26:C112,)),INDEX(B$26:B112,MATCH(C113,C$26:C112,)),MAX(B$26:B112)+1))</f>
        <v/>
      </c>
      <c r="C113" s="55"/>
      <c r="D113" s="7"/>
      <c r="E113" s="25" t="str">
        <f t="shared" si="8"/>
        <v/>
      </c>
      <c r="F113" s="25" t="str">
        <f t="shared" si="9"/>
        <v/>
      </c>
      <c r="G113" s="47">
        <f t="shared" si="10"/>
        <v>0</v>
      </c>
      <c r="H113" s="52"/>
      <c r="I113" s="19"/>
      <c r="K113"/>
      <c r="L113"/>
      <c r="M113"/>
      <c r="N113"/>
      <c r="O113"/>
    </row>
    <row r="114" spans="1:15" x14ac:dyDescent="0.25">
      <c r="A114" s="17">
        <v>97</v>
      </c>
      <c r="B114" s="34" t="str">
        <f>IF(N(C114)=0,"",IF(ISNUMBER(MATCH(C114,C$26:C113,)),INDEX(B$26:B113,MATCH(C114,C$26:C113,)),MAX(B$26:B113)+1))</f>
        <v/>
      </c>
      <c r="C114" s="55"/>
      <c r="D114" s="7"/>
      <c r="E114" s="25" t="str">
        <f t="shared" si="8"/>
        <v/>
      </c>
      <c r="F114" s="25" t="str">
        <f t="shared" si="9"/>
        <v/>
      </c>
      <c r="G114" s="47">
        <f t="shared" si="10"/>
        <v>0</v>
      </c>
      <c r="H114" s="52"/>
      <c r="I114" s="19"/>
      <c r="K114"/>
      <c r="L114"/>
      <c r="M114"/>
      <c r="N114"/>
      <c r="O114"/>
    </row>
    <row r="115" spans="1:15" x14ac:dyDescent="0.25">
      <c r="A115" s="17">
        <v>98</v>
      </c>
      <c r="B115" s="35" t="str">
        <f>IF(N(C115)=0,"",IF(ISNUMBER(MATCH(C115,C$26:C114,)),INDEX(B$26:B114,MATCH(C115,C$26:C114,)),MAX(B$26:B114)+1))</f>
        <v/>
      </c>
      <c r="C115" s="56"/>
      <c r="D115" s="8"/>
      <c r="E115" s="26" t="str">
        <f t="shared" si="8"/>
        <v/>
      </c>
      <c r="F115" s="26" t="str">
        <f t="shared" si="9"/>
        <v/>
      </c>
      <c r="G115" s="47">
        <v>1</v>
      </c>
      <c r="H115" s="53"/>
      <c r="I115" s="20"/>
      <c r="K115"/>
      <c r="L115"/>
      <c r="M115"/>
      <c r="N115"/>
      <c r="O115"/>
    </row>
    <row r="116" spans="1:15" x14ac:dyDescent="0.25">
      <c r="K116"/>
      <c r="L116"/>
      <c r="M116"/>
      <c r="N116"/>
      <c r="O116"/>
    </row>
    <row r="117" spans="1:15" x14ac:dyDescent="0.25">
      <c r="K117"/>
      <c r="L117"/>
      <c r="M117"/>
      <c r="N117"/>
      <c r="O117"/>
    </row>
    <row r="118" spans="1:15" x14ac:dyDescent="0.25">
      <c r="K118"/>
      <c r="L118"/>
      <c r="M118"/>
      <c r="N118"/>
      <c r="O118"/>
    </row>
    <row r="119" spans="1:15" x14ac:dyDescent="0.25">
      <c r="K119"/>
      <c r="L119"/>
      <c r="M119"/>
      <c r="N119"/>
      <c r="O119"/>
    </row>
    <row r="120" spans="1:15" x14ac:dyDescent="0.25">
      <c r="K120"/>
      <c r="L120"/>
      <c r="M120"/>
      <c r="N120"/>
      <c r="O120"/>
    </row>
    <row r="121" spans="1:15" x14ac:dyDescent="0.25">
      <c r="K121"/>
      <c r="L121"/>
      <c r="M121"/>
      <c r="N121"/>
      <c r="O121"/>
    </row>
    <row r="122" spans="1:15" x14ac:dyDescent="0.25">
      <c r="K122"/>
      <c r="L122"/>
      <c r="M122"/>
      <c r="N122"/>
      <c r="O122"/>
    </row>
    <row r="123" spans="1:15" x14ac:dyDescent="0.25">
      <c r="K123"/>
      <c r="L123"/>
      <c r="M123"/>
      <c r="N123"/>
      <c r="O123"/>
    </row>
    <row r="124" spans="1:15" x14ac:dyDescent="0.25">
      <c r="K124"/>
      <c r="L124"/>
      <c r="M124"/>
      <c r="N124"/>
      <c r="O124"/>
    </row>
    <row r="125" spans="1:15" x14ac:dyDescent="0.25">
      <c r="K125"/>
      <c r="L125"/>
      <c r="M125"/>
      <c r="N125"/>
      <c r="O125"/>
    </row>
    <row r="126" spans="1:15" x14ac:dyDescent="0.25">
      <c r="K126"/>
      <c r="L126"/>
      <c r="M126"/>
      <c r="N126"/>
      <c r="O126"/>
    </row>
    <row r="127" spans="1:15" x14ac:dyDescent="0.25">
      <c r="K127"/>
      <c r="L127"/>
      <c r="M127"/>
      <c r="N127"/>
      <c r="O127"/>
    </row>
    <row r="128" spans="1:15" x14ac:dyDescent="0.25">
      <c r="K128"/>
      <c r="L128"/>
      <c r="M128"/>
      <c r="N128"/>
      <c r="O128"/>
    </row>
    <row r="129" spans="11:15" x14ac:dyDescent="0.25">
      <c r="K129"/>
      <c r="L129"/>
      <c r="M129"/>
      <c r="N129"/>
      <c r="O129"/>
    </row>
    <row r="130" spans="11:15" x14ac:dyDescent="0.25">
      <c r="K130"/>
      <c r="L130"/>
      <c r="M130"/>
      <c r="N130"/>
      <c r="O130"/>
    </row>
    <row r="131" spans="11:15" x14ac:dyDescent="0.25">
      <c r="K131"/>
      <c r="L131"/>
      <c r="M131"/>
      <c r="N131"/>
      <c r="O131"/>
    </row>
    <row r="132" spans="11:15" x14ac:dyDescent="0.25">
      <c r="K132"/>
      <c r="L132"/>
      <c r="M132"/>
      <c r="N132"/>
      <c r="O132"/>
    </row>
    <row r="133" spans="11:15" x14ac:dyDescent="0.25">
      <c r="K133"/>
      <c r="L133"/>
      <c r="M133"/>
      <c r="N133"/>
      <c r="O133"/>
    </row>
    <row r="134" spans="11:15" x14ac:dyDescent="0.25">
      <c r="K134"/>
      <c r="L134"/>
      <c r="M134"/>
      <c r="N134"/>
      <c r="O134"/>
    </row>
    <row r="135" spans="11:15" x14ac:dyDescent="0.25">
      <c r="K135"/>
      <c r="L135"/>
      <c r="M135"/>
      <c r="N135"/>
      <c r="O135"/>
    </row>
    <row r="136" spans="11:15" x14ac:dyDescent="0.25">
      <c r="K136"/>
      <c r="L136"/>
      <c r="M136"/>
      <c r="N136"/>
      <c r="O136"/>
    </row>
    <row r="137" spans="11:15" x14ac:dyDescent="0.25">
      <c r="K137"/>
      <c r="L137"/>
      <c r="M137"/>
      <c r="N137"/>
      <c r="O137"/>
    </row>
    <row r="138" spans="11:15" x14ac:dyDescent="0.25">
      <c r="K138"/>
      <c r="L138"/>
      <c r="M138"/>
      <c r="N138"/>
      <c r="O138"/>
    </row>
    <row r="139" spans="11:15" x14ac:dyDescent="0.25">
      <c r="K139"/>
      <c r="L139"/>
      <c r="M139"/>
      <c r="N139"/>
      <c r="O139"/>
    </row>
    <row r="140" spans="11:15" x14ac:dyDescent="0.25">
      <c r="K140"/>
      <c r="L140"/>
      <c r="M140"/>
      <c r="N140"/>
      <c r="O140"/>
    </row>
    <row r="141" spans="11:15" x14ac:dyDescent="0.25">
      <c r="K141"/>
      <c r="L141"/>
      <c r="M141"/>
      <c r="N141"/>
      <c r="O141"/>
    </row>
    <row r="142" spans="11:15" x14ac:dyDescent="0.25">
      <c r="K142"/>
      <c r="L142"/>
      <c r="M142"/>
      <c r="N142"/>
      <c r="O142"/>
    </row>
    <row r="143" spans="11:15" x14ac:dyDescent="0.25">
      <c r="K143"/>
      <c r="L143"/>
      <c r="M143"/>
      <c r="N143"/>
      <c r="O143"/>
    </row>
    <row r="144" spans="11:15" x14ac:dyDescent="0.25">
      <c r="K144"/>
      <c r="L144"/>
      <c r="M144"/>
      <c r="N144"/>
      <c r="O144"/>
    </row>
    <row r="145" spans="11:15" x14ac:dyDescent="0.25">
      <c r="K145"/>
      <c r="L145"/>
      <c r="M145"/>
      <c r="N145"/>
      <c r="O145"/>
    </row>
    <row r="146" spans="11:15" x14ac:dyDescent="0.25">
      <c r="K146"/>
      <c r="L146"/>
      <c r="M146"/>
      <c r="N146"/>
      <c r="O146"/>
    </row>
    <row r="147" spans="11:15" x14ac:dyDescent="0.25">
      <c r="K147"/>
      <c r="L147"/>
      <c r="M147"/>
      <c r="N147"/>
      <c r="O147"/>
    </row>
    <row r="148" spans="11:15" x14ac:dyDescent="0.25">
      <c r="K148"/>
      <c r="L148"/>
      <c r="M148"/>
      <c r="N148"/>
      <c r="O148"/>
    </row>
    <row r="149" spans="11:15" x14ac:dyDescent="0.25">
      <c r="K149"/>
      <c r="L149"/>
      <c r="M149"/>
      <c r="N149"/>
      <c r="O149"/>
    </row>
    <row r="150" spans="11:15" x14ac:dyDescent="0.25">
      <c r="K150"/>
      <c r="L150"/>
      <c r="M150"/>
      <c r="N150"/>
      <c r="O150"/>
    </row>
    <row r="151" spans="11:15" x14ac:dyDescent="0.25">
      <c r="K151"/>
      <c r="L151"/>
      <c r="M151"/>
      <c r="N151"/>
      <c r="O151"/>
    </row>
    <row r="152" spans="11:15" x14ac:dyDescent="0.25">
      <c r="K152"/>
      <c r="L152"/>
      <c r="M152"/>
      <c r="N152"/>
      <c r="O152"/>
    </row>
    <row r="153" spans="11:15" x14ac:dyDescent="0.25">
      <c r="K153"/>
      <c r="L153"/>
      <c r="M153"/>
      <c r="N153"/>
      <c r="O153"/>
    </row>
    <row r="154" spans="11:15" x14ac:dyDescent="0.25">
      <c r="K154"/>
      <c r="L154"/>
      <c r="M154"/>
      <c r="N154"/>
      <c r="O154"/>
    </row>
    <row r="155" spans="11:15" x14ac:dyDescent="0.25">
      <c r="K155"/>
      <c r="L155"/>
      <c r="M155"/>
      <c r="N155"/>
      <c r="O155"/>
    </row>
    <row r="156" spans="11:15" x14ac:dyDescent="0.25">
      <c r="K156"/>
      <c r="L156"/>
      <c r="M156"/>
      <c r="N156"/>
      <c r="O156"/>
    </row>
    <row r="157" spans="11:15" x14ac:dyDescent="0.25">
      <c r="K157"/>
      <c r="L157"/>
      <c r="M157"/>
      <c r="N157"/>
      <c r="O157"/>
    </row>
    <row r="158" spans="11:15" x14ac:dyDescent="0.25">
      <c r="K158"/>
      <c r="L158"/>
      <c r="M158"/>
      <c r="N158"/>
      <c r="O158"/>
    </row>
    <row r="159" spans="11:15" x14ac:dyDescent="0.25">
      <c r="K159"/>
      <c r="L159"/>
      <c r="M159"/>
      <c r="N159"/>
      <c r="O159"/>
    </row>
    <row r="160" spans="11:15" x14ac:dyDescent="0.25">
      <c r="K160"/>
      <c r="L160"/>
      <c r="M160"/>
      <c r="N160"/>
      <c r="O160"/>
    </row>
    <row r="161" spans="11:15" x14ac:dyDescent="0.25">
      <c r="K161"/>
      <c r="L161"/>
      <c r="M161"/>
      <c r="N161"/>
      <c r="O161"/>
    </row>
    <row r="162" spans="11:15" x14ac:dyDescent="0.25">
      <c r="K162"/>
      <c r="L162"/>
      <c r="M162"/>
      <c r="N162"/>
      <c r="O162"/>
    </row>
    <row r="163" spans="11:15" x14ac:dyDescent="0.25">
      <c r="K163"/>
      <c r="L163"/>
      <c r="M163"/>
      <c r="N163"/>
      <c r="O163"/>
    </row>
    <row r="164" spans="11:15" x14ac:dyDescent="0.25">
      <c r="K164"/>
      <c r="L164"/>
      <c r="M164"/>
      <c r="N164"/>
      <c r="O164"/>
    </row>
    <row r="165" spans="11:15" x14ac:dyDescent="0.25">
      <c r="K165"/>
      <c r="L165"/>
      <c r="M165"/>
      <c r="N165"/>
      <c r="O165"/>
    </row>
    <row r="166" spans="11:15" x14ac:dyDescent="0.25">
      <c r="K166"/>
      <c r="L166"/>
      <c r="M166"/>
      <c r="N166"/>
      <c r="O166"/>
    </row>
    <row r="167" spans="11:15" x14ac:dyDescent="0.25">
      <c r="K167"/>
      <c r="L167"/>
      <c r="M167"/>
      <c r="N167"/>
      <c r="O167"/>
    </row>
    <row r="168" spans="11:15" x14ac:dyDescent="0.25">
      <c r="K168"/>
      <c r="L168"/>
      <c r="M168"/>
      <c r="N168"/>
      <c r="O168"/>
    </row>
    <row r="169" spans="11:15" x14ac:dyDescent="0.25">
      <c r="K169"/>
      <c r="L169"/>
      <c r="M169"/>
      <c r="N169"/>
      <c r="O169"/>
    </row>
    <row r="170" spans="11:15" x14ac:dyDescent="0.25">
      <c r="K170"/>
      <c r="L170"/>
      <c r="M170"/>
      <c r="N170"/>
      <c r="O170"/>
    </row>
    <row r="171" spans="11:15" x14ac:dyDescent="0.25">
      <c r="K171"/>
      <c r="L171"/>
      <c r="M171"/>
      <c r="N171"/>
      <c r="O171"/>
    </row>
    <row r="172" spans="11:15" x14ac:dyDescent="0.25">
      <c r="K172"/>
      <c r="L172"/>
      <c r="M172"/>
      <c r="N172"/>
      <c r="O172"/>
    </row>
    <row r="173" spans="11:15" x14ac:dyDescent="0.25">
      <c r="K173"/>
      <c r="L173"/>
      <c r="M173"/>
      <c r="N173"/>
      <c r="O173"/>
    </row>
    <row r="174" spans="11:15" x14ac:dyDescent="0.25">
      <c r="K174"/>
      <c r="L174"/>
      <c r="M174"/>
      <c r="N174"/>
      <c r="O174"/>
    </row>
    <row r="175" spans="11:15" x14ac:dyDescent="0.25">
      <c r="K175"/>
      <c r="L175"/>
      <c r="M175"/>
      <c r="N175"/>
      <c r="O175"/>
    </row>
    <row r="176" spans="11:15" x14ac:dyDescent="0.25">
      <c r="K176"/>
      <c r="L176"/>
      <c r="M176"/>
      <c r="N176"/>
      <c r="O176"/>
    </row>
    <row r="177" spans="11:15" x14ac:dyDescent="0.25">
      <c r="K177"/>
      <c r="L177"/>
      <c r="M177"/>
      <c r="N177"/>
      <c r="O177"/>
    </row>
    <row r="178" spans="11:15" x14ac:dyDescent="0.25">
      <c r="K178"/>
      <c r="L178"/>
      <c r="M178"/>
      <c r="N178"/>
      <c r="O178"/>
    </row>
    <row r="179" spans="11:15" x14ac:dyDescent="0.25">
      <c r="K179"/>
      <c r="L179"/>
      <c r="M179"/>
      <c r="N179"/>
      <c r="O179"/>
    </row>
    <row r="180" spans="11:15" x14ac:dyDescent="0.25">
      <c r="K180"/>
      <c r="L180"/>
      <c r="M180"/>
      <c r="N180"/>
      <c r="O180"/>
    </row>
    <row r="181" spans="11:15" x14ac:dyDescent="0.25">
      <c r="K181"/>
      <c r="L181"/>
      <c r="M181"/>
      <c r="N181"/>
      <c r="O181"/>
    </row>
    <row r="182" spans="11:15" x14ac:dyDescent="0.25">
      <c r="K182"/>
      <c r="L182"/>
      <c r="M182"/>
      <c r="N182"/>
      <c r="O182"/>
    </row>
    <row r="183" spans="11:15" x14ac:dyDescent="0.25">
      <c r="K183"/>
      <c r="L183"/>
      <c r="M183"/>
      <c r="N183"/>
      <c r="O183"/>
    </row>
    <row r="184" spans="11:15" x14ac:dyDescent="0.25">
      <c r="K184"/>
      <c r="L184"/>
      <c r="M184"/>
      <c r="N184"/>
      <c r="O184"/>
    </row>
    <row r="185" spans="11:15" x14ac:dyDescent="0.25">
      <c r="K185"/>
      <c r="L185"/>
      <c r="M185"/>
      <c r="N185"/>
      <c r="O185"/>
    </row>
    <row r="186" spans="11:15" x14ac:dyDescent="0.25">
      <c r="K186"/>
      <c r="L186"/>
      <c r="M186"/>
      <c r="N186"/>
      <c r="O186"/>
    </row>
    <row r="187" spans="11:15" x14ac:dyDescent="0.25">
      <c r="K187"/>
      <c r="L187"/>
      <c r="M187"/>
      <c r="N187"/>
      <c r="O187"/>
    </row>
    <row r="188" spans="11:15" x14ac:dyDescent="0.25">
      <c r="K188"/>
      <c r="L188"/>
      <c r="M188"/>
      <c r="N188"/>
      <c r="O188"/>
    </row>
    <row r="189" spans="11:15" x14ac:dyDescent="0.25">
      <c r="K189"/>
      <c r="L189"/>
      <c r="M189"/>
      <c r="N189"/>
      <c r="O189"/>
    </row>
    <row r="190" spans="11:15" x14ac:dyDescent="0.25">
      <c r="K190"/>
      <c r="L190"/>
      <c r="M190"/>
      <c r="N190"/>
      <c r="O190"/>
    </row>
    <row r="191" spans="11:15" x14ac:dyDescent="0.25">
      <c r="K191"/>
      <c r="L191"/>
      <c r="M191"/>
      <c r="N191"/>
      <c r="O191"/>
    </row>
    <row r="192" spans="11:15" x14ac:dyDescent="0.25">
      <c r="K192"/>
      <c r="L192"/>
      <c r="M192"/>
      <c r="N192"/>
      <c r="O192"/>
    </row>
    <row r="193" spans="11:15" x14ac:dyDescent="0.25">
      <c r="K193"/>
      <c r="L193"/>
      <c r="M193"/>
      <c r="N193"/>
      <c r="O193"/>
    </row>
    <row r="194" spans="11:15" x14ac:dyDescent="0.25">
      <c r="K194"/>
      <c r="L194"/>
      <c r="M194"/>
      <c r="N194"/>
      <c r="O194"/>
    </row>
    <row r="195" spans="11:15" x14ac:dyDescent="0.25">
      <c r="K195"/>
      <c r="L195"/>
      <c r="M195"/>
      <c r="N195"/>
      <c r="O195"/>
    </row>
    <row r="196" spans="11:15" x14ac:dyDescent="0.25">
      <c r="K196"/>
      <c r="L196"/>
      <c r="M196"/>
      <c r="N196"/>
      <c r="O196"/>
    </row>
    <row r="197" spans="11:15" x14ac:dyDescent="0.25">
      <c r="K197"/>
      <c r="L197"/>
      <c r="M197"/>
      <c r="N197"/>
      <c r="O197"/>
    </row>
    <row r="198" spans="11:15" x14ac:dyDescent="0.25">
      <c r="K198"/>
      <c r="L198"/>
      <c r="M198"/>
      <c r="N198"/>
      <c r="O198"/>
    </row>
    <row r="199" spans="11:15" x14ac:dyDescent="0.25">
      <c r="K199"/>
      <c r="L199"/>
      <c r="M199"/>
      <c r="N199"/>
      <c r="O199"/>
    </row>
    <row r="200" spans="11:15" x14ac:dyDescent="0.25">
      <c r="K200"/>
      <c r="L200"/>
      <c r="M200"/>
      <c r="N200"/>
      <c r="O200"/>
    </row>
    <row r="201" spans="11:15" x14ac:dyDescent="0.25">
      <c r="K201"/>
      <c r="L201"/>
      <c r="M201"/>
      <c r="N201"/>
      <c r="O201"/>
    </row>
    <row r="202" spans="11:15" x14ac:dyDescent="0.25">
      <c r="K202"/>
      <c r="L202"/>
      <c r="M202"/>
      <c r="N202"/>
      <c r="O202"/>
    </row>
    <row r="203" spans="11:15" x14ac:dyDescent="0.25">
      <c r="K203"/>
      <c r="L203"/>
      <c r="M203"/>
      <c r="N203"/>
      <c r="O203"/>
    </row>
    <row r="204" spans="11:15" x14ac:dyDescent="0.25">
      <c r="K204"/>
      <c r="L204"/>
      <c r="M204"/>
      <c r="N204"/>
      <c r="O204"/>
    </row>
    <row r="205" spans="11:15" x14ac:dyDescent="0.25">
      <c r="K205"/>
      <c r="L205"/>
      <c r="M205"/>
      <c r="N205"/>
      <c r="O205"/>
    </row>
    <row r="206" spans="11:15" x14ac:dyDescent="0.25">
      <c r="K206"/>
      <c r="L206"/>
      <c r="M206"/>
      <c r="N206"/>
      <c r="O206"/>
    </row>
    <row r="207" spans="11:15" x14ac:dyDescent="0.25">
      <c r="K207"/>
      <c r="L207"/>
      <c r="M207"/>
      <c r="N207"/>
      <c r="O207"/>
    </row>
    <row r="208" spans="11:15" x14ac:dyDescent="0.25">
      <c r="K208"/>
      <c r="L208"/>
      <c r="M208"/>
      <c r="N208"/>
      <c r="O208"/>
    </row>
    <row r="209" spans="11:15" x14ac:dyDescent="0.25">
      <c r="K209"/>
      <c r="L209"/>
      <c r="M209"/>
      <c r="N209"/>
      <c r="O209"/>
    </row>
    <row r="210" spans="11:15" x14ac:dyDescent="0.25">
      <c r="K210"/>
      <c r="L210"/>
      <c r="M210"/>
      <c r="N210"/>
      <c r="O210"/>
    </row>
    <row r="211" spans="11:15" x14ac:dyDescent="0.25">
      <c r="K211"/>
      <c r="L211"/>
      <c r="M211"/>
      <c r="N211"/>
      <c r="O211"/>
    </row>
    <row r="212" spans="11:15" x14ac:dyDescent="0.25">
      <c r="K212"/>
      <c r="L212"/>
      <c r="M212"/>
      <c r="N212"/>
      <c r="O212"/>
    </row>
    <row r="213" spans="11:15" x14ac:dyDescent="0.25">
      <c r="K213"/>
      <c r="L213"/>
      <c r="M213"/>
      <c r="N213"/>
      <c r="O213"/>
    </row>
    <row r="214" spans="11:15" x14ac:dyDescent="0.25">
      <c r="K214"/>
      <c r="L214"/>
      <c r="M214"/>
      <c r="N214"/>
      <c r="O214"/>
    </row>
    <row r="215" spans="11:15" x14ac:dyDescent="0.25">
      <c r="K215"/>
      <c r="L215"/>
      <c r="M215"/>
      <c r="N215"/>
      <c r="O215"/>
    </row>
    <row r="216" spans="11:15" x14ac:dyDescent="0.25">
      <c r="K216"/>
      <c r="L216"/>
      <c r="M216"/>
      <c r="N216"/>
      <c r="O216"/>
    </row>
    <row r="217" spans="11:15" x14ac:dyDescent="0.25">
      <c r="K217"/>
      <c r="L217"/>
      <c r="M217"/>
      <c r="N217"/>
      <c r="O217"/>
    </row>
    <row r="218" spans="11:15" x14ac:dyDescent="0.25">
      <c r="K218"/>
      <c r="L218"/>
      <c r="M218"/>
      <c r="N218"/>
      <c r="O218"/>
    </row>
    <row r="219" spans="11:15" x14ac:dyDescent="0.25">
      <c r="K219"/>
      <c r="L219"/>
      <c r="M219"/>
      <c r="N219"/>
      <c r="O219"/>
    </row>
    <row r="220" spans="11:15" x14ac:dyDescent="0.25">
      <c r="K220"/>
      <c r="L220"/>
      <c r="M220"/>
      <c r="N220"/>
      <c r="O220"/>
    </row>
    <row r="221" spans="11:15" x14ac:dyDescent="0.25">
      <c r="K221"/>
      <c r="L221"/>
      <c r="M221"/>
      <c r="N221"/>
      <c r="O221"/>
    </row>
    <row r="222" spans="11:15" x14ac:dyDescent="0.25">
      <c r="K222"/>
      <c r="L222"/>
      <c r="M222"/>
      <c r="N222"/>
      <c r="O222"/>
    </row>
    <row r="223" spans="11:15" x14ac:dyDescent="0.25">
      <c r="K223"/>
      <c r="L223"/>
      <c r="M223"/>
      <c r="N223"/>
      <c r="O223"/>
    </row>
    <row r="224" spans="11:15" x14ac:dyDescent="0.25">
      <c r="K224"/>
      <c r="L224"/>
      <c r="M224"/>
      <c r="N224"/>
      <c r="O224"/>
    </row>
    <row r="225" spans="11:15" x14ac:dyDescent="0.25">
      <c r="K225"/>
      <c r="L225"/>
      <c r="M225"/>
      <c r="N225"/>
      <c r="O225"/>
    </row>
    <row r="226" spans="11:15" x14ac:dyDescent="0.25">
      <c r="K226"/>
      <c r="L226"/>
      <c r="M226"/>
      <c r="N226"/>
      <c r="O226"/>
    </row>
    <row r="227" spans="11:15" x14ac:dyDescent="0.25">
      <c r="K227"/>
      <c r="L227"/>
      <c r="M227"/>
      <c r="N227"/>
      <c r="O227"/>
    </row>
    <row r="228" spans="11:15" x14ac:dyDescent="0.25">
      <c r="K228"/>
      <c r="L228"/>
      <c r="M228"/>
      <c r="N228"/>
      <c r="O228"/>
    </row>
    <row r="229" spans="11:15" x14ac:dyDescent="0.25">
      <c r="K229"/>
      <c r="L229"/>
      <c r="M229"/>
      <c r="N229"/>
      <c r="O229"/>
    </row>
    <row r="230" spans="11:15" x14ac:dyDescent="0.25">
      <c r="K230"/>
      <c r="L230"/>
      <c r="M230"/>
      <c r="N230"/>
      <c r="O230"/>
    </row>
    <row r="231" spans="11:15" x14ac:dyDescent="0.25">
      <c r="K231"/>
      <c r="L231"/>
      <c r="M231"/>
      <c r="N231"/>
      <c r="O231"/>
    </row>
    <row r="232" spans="11:15" x14ac:dyDescent="0.25">
      <c r="K232"/>
      <c r="L232"/>
      <c r="M232"/>
      <c r="N232"/>
      <c r="O232"/>
    </row>
    <row r="233" spans="11:15" x14ac:dyDescent="0.25">
      <c r="K233"/>
      <c r="L233"/>
      <c r="M233"/>
      <c r="N233"/>
      <c r="O233"/>
    </row>
    <row r="234" spans="11:15" x14ac:dyDescent="0.25">
      <c r="K234"/>
      <c r="L234"/>
      <c r="M234"/>
      <c r="N234"/>
      <c r="O234"/>
    </row>
    <row r="235" spans="11:15" x14ac:dyDescent="0.25">
      <c r="K235"/>
      <c r="L235"/>
      <c r="M235"/>
      <c r="N235"/>
      <c r="O235"/>
    </row>
    <row r="236" spans="11:15" x14ac:dyDescent="0.25">
      <c r="K236"/>
      <c r="L236"/>
      <c r="M236"/>
      <c r="N236"/>
      <c r="O236"/>
    </row>
    <row r="237" spans="11:15" x14ac:dyDescent="0.25">
      <c r="K237"/>
      <c r="L237"/>
      <c r="M237"/>
      <c r="N237"/>
      <c r="O237"/>
    </row>
    <row r="238" spans="11:15" x14ac:dyDescent="0.25">
      <c r="K238"/>
      <c r="L238"/>
      <c r="M238"/>
      <c r="N238"/>
      <c r="O238"/>
    </row>
    <row r="239" spans="11:15" x14ac:dyDescent="0.25">
      <c r="K239"/>
      <c r="L239"/>
      <c r="M239"/>
      <c r="N239"/>
      <c r="O239"/>
    </row>
    <row r="240" spans="11:15" x14ac:dyDescent="0.25">
      <c r="K240"/>
      <c r="L240"/>
      <c r="M240"/>
      <c r="N240"/>
      <c r="O240"/>
    </row>
    <row r="241" spans="11:15" x14ac:dyDescent="0.25">
      <c r="K241"/>
      <c r="L241"/>
      <c r="M241"/>
      <c r="N241"/>
      <c r="O241"/>
    </row>
    <row r="242" spans="11:15" x14ac:dyDescent="0.25">
      <c r="K242"/>
      <c r="L242"/>
      <c r="M242"/>
      <c r="N242"/>
      <c r="O242"/>
    </row>
    <row r="243" spans="11:15" x14ac:dyDescent="0.25">
      <c r="K243"/>
      <c r="L243"/>
      <c r="M243"/>
      <c r="N243"/>
      <c r="O243"/>
    </row>
    <row r="244" spans="11:15" x14ac:dyDescent="0.25">
      <c r="K244"/>
      <c r="L244"/>
      <c r="M244"/>
      <c r="N244"/>
      <c r="O244"/>
    </row>
    <row r="245" spans="11:15" x14ac:dyDescent="0.25">
      <c r="K245"/>
      <c r="L245"/>
      <c r="M245"/>
      <c r="N245"/>
      <c r="O245"/>
    </row>
    <row r="246" spans="11:15" x14ac:dyDescent="0.25">
      <c r="K246"/>
      <c r="L246"/>
      <c r="M246"/>
      <c r="N246"/>
      <c r="O246"/>
    </row>
    <row r="247" spans="11:15" x14ac:dyDescent="0.25">
      <c r="K247"/>
      <c r="L247"/>
      <c r="M247"/>
      <c r="N247"/>
      <c r="O247"/>
    </row>
    <row r="248" spans="11:15" x14ac:dyDescent="0.25">
      <c r="K248"/>
      <c r="L248"/>
      <c r="M248"/>
      <c r="N248"/>
      <c r="O248"/>
    </row>
    <row r="249" spans="11:15" x14ac:dyDescent="0.25">
      <c r="K249"/>
      <c r="L249"/>
      <c r="M249"/>
      <c r="N249"/>
      <c r="O249"/>
    </row>
    <row r="250" spans="11:15" x14ac:dyDescent="0.25">
      <c r="K250"/>
      <c r="L250"/>
      <c r="M250"/>
      <c r="N250"/>
      <c r="O250"/>
    </row>
    <row r="251" spans="11:15" x14ac:dyDescent="0.25">
      <c r="K251"/>
      <c r="L251"/>
      <c r="M251"/>
      <c r="N251"/>
      <c r="O251"/>
    </row>
    <row r="252" spans="11:15" x14ac:dyDescent="0.25">
      <c r="K252"/>
      <c r="L252"/>
      <c r="M252"/>
      <c r="N252"/>
      <c r="O252"/>
    </row>
    <row r="253" spans="11:15" x14ac:dyDescent="0.25">
      <c r="K253"/>
      <c r="L253"/>
      <c r="M253"/>
      <c r="N253"/>
      <c r="O253"/>
    </row>
    <row r="254" spans="11:15" x14ac:dyDescent="0.25">
      <c r="K254"/>
      <c r="L254"/>
      <c r="M254"/>
      <c r="N254"/>
      <c r="O254"/>
    </row>
    <row r="255" spans="11:15" x14ac:dyDescent="0.25">
      <c r="K255"/>
      <c r="L255"/>
      <c r="M255"/>
      <c r="N255"/>
      <c r="O255"/>
    </row>
    <row r="256" spans="11:15" x14ac:dyDescent="0.25">
      <c r="K256"/>
      <c r="L256"/>
      <c r="M256"/>
      <c r="N256"/>
      <c r="O256"/>
    </row>
    <row r="257" spans="11:15" x14ac:dyDescent="0.25">
      <c r="K257"/>
      <c r="L257"/>
      <c r="M257"/>
      <c r="N257"/>
      <c r="O257"/>
    </row>
    <row r="258" spans="11:15" x14ac:dyDescent="0.25">
      <c r="K258"/>
      <c r="L258"/>
      <c r="M258"/>
      <c r="N258"/>
      <c r="O258"/>
    </row>
    <row r="259" spans="11:15" x14ac:dyDescent="0.25">
      <c r="K259"/>
      <c r="L259"/>
      <c r="M259"/>
      <c r="N259"/>
      <c r="O259"/>
    </row>
    <row r="260" spans="11:15" x14ac:dyDescent="0.25">
      <c r="K260"/>
      <c r="L260"/>
      <c r="M260"/>
      <c r="N260"/>
      <c r="O260"/>
    </row>
    <row r="261" spans="11:15" x14ac:dyDescent="0.25">
      <c r="K261"/>
      <c r="L261"/>
      <c r="M261"/>
      <c r="N261"/>
      <c r="O261"/>
    </row>
    <row r="262" spans="11:15" x14ac:dyDescent="0.25">
      <c r="K262"/>
      <c r="L262"/>
      <c r="M262"/>
      <c r="N262"/>
      <c r="O262"/>
    </row>
    <row r="263" spans="11:15" x14ac:dyDescent="0.25">
      <c r="K263"/>
      <c r="L263"/>
      <c r="M263"/>
      <c r="N263"/>
      <c r="O263"/>
    </row>
    <row r="264" spans="11:15" x14ac:dyDescent="0.25">
      <c r="K264"/>
      <c r="L264"/>
      <c r="M264"/>
      <c r="N264"/>
      <c r="O264"/>
    </row>
    <row r="265" spans="11:15" x14ac:dyDescent="0.25">
      <c r="K265"/>
      <c r="L265"/>
      <c r="M265"/>
      <c r="N265"/>
      <c r="O265"/>
    </row>
    <row r="266" spans="11:15" x14ac:dyDescent="0.25">
      <c r="K266"/>
      <c r="L266"/>
      <c r="M266"/>
      <c r="N266"/>
      <c r="O266"/>
    </row>
    <row r="267" spans="11:15" x14ac:dyDescent="0.25">
      <c r="K267"/>
      <c r="L267"/>
      <c r="M267"/>
      <c r="N267"/>
      <c r="O267"/>
    </row>
    <row r="268" spans="11:15" x14ac:dyDescent="0.25">
      <c r="K268"/>
      <c r="L268"/>
      <c r="M268"/>
      <c r="N268"/>
      <c r="O268"/>
    </row>
    <row r="269" spans="11:15" x14ac:dyDescent="0.25">
      <c r="K269"/>
      <c r="L269"/>
      <c r="M269"/>
      <c r="N269"/>
      <c r="O269"/>
    </row>
    <row r="270" spans="11:15" x14ac:dyDescent="0.25">
      <c r="K270"/>
      <c r="L270"/>
      <c r="M270"/>
      <c r="N270"/>
      <c r="O270"/>
    </row>
    <row r="271" spans="11:15" x14ac:dyDescent="0.25">
      <c r="K271"/>
      <c r="L271"/>
      <c r="M271"/>
      <c r="N271"/>
      <c r="O271"/>
    </row>
    <row r="272" spans="11:15" x14ac:dyDescent="0.25">
      <c r="K272"/>
      <c r="L272"/>
      <c r="M272"/>
      <c r="N272"/>
      <c r="O272"/>
    </row>
    <row r="273" spans="11:15" x14ac:dyDescent="0.25">
      <c r="K273"/>
      <c r="L273"/>
      <c r="M273"/>
      <c r="N273"/>
      <c r="O273"/>
    </row>
    <row r="274" spans="11:15" x14ac:dyDescent="0.25">
      <c r="K274"/>
      <c r="L274"/>
      <c r="M274"/>
      <c r="N274"/>
      <c r="O274"/>
    </row>
    <row r="275" spans="11:15" x14ac:dyDescent="0.25">
      <c r="K275"/>
      <c r="L275"/>
      <c r="M275"/>
      <c r="N275"/>
      <c r="O275"/>
    </row>
    <row r="276" spans="11:15" x14ac:dyDescent="0.25">
      <c r="K276"/>
      <c r="L276"/>
      <c r="M276"/>
      <c r="N276"/>
      <c r="O276"/>
    </row>
    <row r="277" spans="11:15" x14ac:dyDescent="0.25">
      <c r="K277"/>
      <c r="L277"/>
      <c r="M277"/>
      <c r="N277"/>
      <c r="O277"/>
    </row>
    <row r="278" spans="11:15" x14ac:dyDescent="0.25">
      <c r="K278"/>
      <c r="L278"/>
      <c r="M278"/>
      <c r="N278"/>
      <c r="O278"/>
    </row>
    <row r="279" spans="11:15" x14ac:dyDescent="0.25">
      <c r="K279"/>
      <c r="L279"/>
      <c r="M279"/>
      <c r="N279"/>
      <c r="O279"/>
    </row>
    <row r="280" spans="11:15" x14ac:dyDescent="0.25">
      <c r="K280"/>
      <c r="L280"/>
      <c r="M280"/>
      <c r="N280"/>
      <c r="O280"/>
    </row>
    <row r="281" spans="11:15" x14ac:dyDescent="0.25">
      <c r="K281"/>
      <c r="L281"/>
      <c r="M281"/>
      <c r="N281"/>
      <c r="O281"/>
    </row>
    <row r="282" spans="11:15" x14ac:dyDescent="0.25">
      <c r="K282"/>
      <c r="L282"/>
      <c r="M282"/>
      <c r="N282"/>
      <c r="O282"/>
    </row>
    <row r="283" spans="11:15" x14ac:dyDescent="0.25">
      <c r="K283"/>
      <c r="L283"/>
      <c r="M283"/>
      <c r="N283"/>
      <c r="O283"/>
    </row>
    <row r="284" spans="11:15" x14ac:dyDescent="0.25">
      <c r="K284"/>
      <c r="L284"/>
      <c r="M284"/>
      <c r="N284"/>
      <c r="O284"/>
    </row>
    <row r="285" spans="11:15" x14ac:dyDescent="0.25">
      <c r="K285"/>
      <c r="L285"/>
      <c r="M285"/>
      <c r="N285"/>
      <c r="O285"/>
    </row>
    <row r="286" spans="11:15" x14ac:dyDescent="0.25">
      <c r="K286"/>
      <c r="L286"/>
      <c r="M286"/>
      <c r="N286"/>
      <c r="O286"/>
    </row>
    <row r="287" spans="11:15" x14ac:dyDescent="0.25">
      <c r="K287"/>
      <c r="L287"/>
      <c r="M287"/>
      <c r="N287"/>
      <c r="O287"/>
    </row>
    <row r="288" spans="11:15" x14ac:dyDescent="0.25">
      <c r="K288"/>
      <c r="L288"/>
      <c r="M288"/>
      <c r="N288"/>
      <c r="O288"/>
    </row>
    <row r="289" spans="11:15" x14ac:dyDescent="0.25">
      <c r="K289"/>
      <c r="L289"/>
      <c r="M289"/>
      <c r="N289"/>
      <c r="O289"/>
    </row>
    <row r="290" spans="11:15" x14ac:dyDescent="0.25">
      <c r="K290"/>
      <c r="L290"/>
      <c r="M290"/>
      <c r="N290"/>
      <c r="O290"/>
    </row>
    <row r="291" spans="11:15" x14ac:dyDescent="0.25">
      <c r="K291"/>
      <c r="L291"/>
      <c r="M291"/>
      <c r="N291"/>
      <c r="O291"/>
    </row>
    <row r="292" spans="11:15" x14ac:dyDescent="0.25">
      <c r="K292"/>
      <c r="L292"/>
      <c r="M292"/>
      <c r="N292"/>
      <c r="O292"/>
    </row>
    <row r="293" spans="11:15" x14ac:dyDescent="0.25">
      <c r="K293"/>
      <c r="L293"/>
      <c r="M293"/>
      <c r="N293"/>
      <c r="O293"/>
    </row>
    <row r="294" spans="11:15" x14ac:dyDescent="0.25">
      <c r="K294"/>
      <c r="L294"/>
      <c r="M294"/>
      <c r="N294"/>
      <c r="O294"/>
    </row>
    <row r="295" spans="11:15" x14ac:dyDescent="0.25">
      <c r="K295"/>
      <c r="L295"/>
      <c r="M295"/>
      <c r="N295"/>
      <c r="O295"/>
    </row>
    <row r="296" spans="11:15" x14ac:dyDescent="0.25">
      <c r="K296"/>
      <c r="L296"/>
      <c r="M296"/>
      <c r="N296"/>
      <c r="O296"/>
    </row>
    <row r="297" spans="11:15" x14ac:dyDescent="0.25">
      <c r="K297"/>
      <c r="L297"/>
      <c r="M297"/>
      <c r="N297"/>
      <c r="O297"/>
    </row>
    <row r="298" spans="11:15" x14ac:dyDescent="0.25">
      <c r="K298"/>
      <c r="L298"/>
      <c r="M298"/>
      <c r="N298"/>
      <c r="O298"/>
    </row>
    <row r="299" spans="11:15" x14ac:dyDescent="0.25">
      <c r="K299"/>
      <c r="L299"/>
      <c r="M299"/>
      <c r="N299"/>
      <c r="O299"/>
    </row>
    <row r="300" spans="11:15" x14ac:dyDescent="0.25">
      <c r="K300"/>
      <c r="L300"/>
      <c r="M300"/>
      <c r="N300"/>
      <c r="O300"/>
    </row>
    <row r="301" spans="11:15" x14ac:dyDescent="0.25">
      <c r="K301"/>
      <c r="L301"/>
      <c r="M301"/>
      <c r="N301"/>
      <c r="O301"/>
    </row>
    <row r="302" spans="11:15" x14ac:dyDescent="0.25">
      <c r="K302"/>
      <c r="L302"/>
      <c r="M302"/>
      <c r="N302"/>
      <c r="O302"/>
    </row>
    <row r="303" spans="11:15" x14ac:dyDescent="0.25">
      <c r="K303"/>
      <c r="L303"/>
      <c r="M303"/>
      <c r="N303"/>
      <c r="O303"/>
    </row>
    <row r="304" spans="11:15" x14ac:dyDescent="0.25">
      <c r="K304"/>
      <c r="L304"/>
      <c r="M304"/>
      <c r="N304"/>
      <c r="O304"/>
    </row>
    <row r="305" spans="11:15" x14ac:dyDescent="0.25">
      <c r="K305"/>
      <c r="L305"/>
      <c r="M305"/>
      <c r="N305"/>
      <c r="O305"/>
    </row>
    <row r="306" spans="11:15" x14ac:dyDescent="0.25">
      <c r="K306"/>
      <c r="L306"/>
      <c r="M306"/>
      <c r="N306"/>
      <c r="O306"/>
    </row>
    <row r="307" spans="11:15" x14ac:dyDescent="0.25">
      <c r="K307"/>
      <c r="L307"/>
      <c r="M307"/>
      <c r="N307"/>
      <c r="O307"/>
    </row>
    <row r="308" spans="11:15" x14ac:dyDescent="0.25">
      <c r="K308"/>
      <c r="L308"/>
      <c r="M308"/>
      <c r="N308"/>
      <c r="O308"/>
    </row>
    <row r="309" spans="11:15" x14ac:dyDescent="0.25">
      <c r="K309"/>
      <c r="L309"/>
      <c r="M309"/>
      <c r="N309"/>
      <c r="O309"/>
    </row>
    <row r="310" spans="11:15" x14ac:dyDescent="0.25">
      <c r="K310"/>
      <c r="L310"/>
      <c r="M310"/>
      <c r="N310"/>
      <c r="O310"/>
    </row>
    <row r="311" spans="11:15" x14ac:dyDescent="0.25">
      <c r="K311"/>
      <c r="L311"/>
      <c r="M311"/>
      <c r="N311"/>
      <c r="O311"/>
    </row>
    <row r="312" spans="11:15" x14ac:dyDescent="0.25">
      <c r="K312"/>
      <c r="L312"/>
      <c r="M312"/>
      <c r="N312"/>
      <c r="O312"/>
    </row>
    <row r="313" spans="11:15" x14ac:dyDescent="0.25">
      <c r="K313"/>
      <c r="L313"/>
      <c r="M313"/>
      <c r="N313"/>
      <c r="O313"/>
    </row>
    <row r="314" spans="11:15" x14ac:dyDescent="0.25">
      <c r="K314"/>
      <c r="L314"/>
      <c r="M314"/>
      <c r="N314"/>
      <c r="O314"/>
    </row>
    <row r="315" spans="11:15" x14ac:dyDescent="0.25">
      <c r="K315"/>
      <c r="L315"/>
      <c r="M315"/>
      <c r="N315"/>
      <c r="O315"/>
    </row>
    <row r="316" spans="11:15" x14ac:dyDescent="0.25">
      <c r="K316"/>
      <c r="L316"/>
      <c r="M316"/>
      <c r="N316"/>
      <c r="O316"/>
    </row>
    <row r="317" spans="11:15" x14ac:dyDescent="0.25">
      <c r="K317"/>
      <c r="L317"/>
      <c r="M317"/>
      <c r="N317"/>
      <c r="O317"/>
    </row>
    <row r="318" spans="11:15" x14ac:dyDescent="0.25">
      <c r="K318"/>
      <c r="L318"/>
      <c r="M318"/>
      <c r="N318"/>
      <c r="O318"/>
    </row>
    <row r="319" spans="11:15" x14ac:dyDescent="0.25">
      <c r="K319"/>
      <c r="L319"/>
      <c r="M319"/>
      <c r="N319"/>
      <c r="O319"/>
    </row>
    <row r="320" spans="11:15" x14ac:dyDescent="0.25">
      <c r="K320"/>
      <c r="L320"/>
      <c r="M320"/>
      <c r="N320"/>
      <c r="O320"/>
    </row>
    <row r="321" spans="11:15" x14ac:dyDescent="0.25">
      <c r="K321"/>
      <c r="L321"/>
      <c r="M321"/>
      <c r="N321"/>
      <c r="O321"/>
    </row>
    <row r="322" spans="11:15" x14ac:dyDescent="0.25">
      <c r="K322"/>
      <c r="L322"/>
      <c r="M322"/>
      <c r="N322"/>
      <c r="O322"/>
    </row>
    <row r="323" spans="11:15" x14ac:dyDescent="0.25">
      <c r="K323"/>
      <c r="L323"/>
      <c r="M323"/>
      <c r="N323"/>
      <c r="O323"/>
    </row>
    <row r="324" spans="11:15" x14ac:dyDescent="0.25">
      <c r="K324"/>
      <c r="L324"/>
      <c r="M324"/>
      <c r="N324"/>
      <c r="O324"/>
    </row>
    <row r="325" spans="11:15" x14ac:dyDescent="0.25">
      <c r="K325"/>
      <c r="L325"/>
      <c r="M325"/>
      <c r="N325"/>
      <c r="O325"/>
    </row>
    <row r="326" spans="11:15" x14ac:dyDescent="0.25">
      <c r="K326"/>
      <c r="L326"/>
      <c r="M326"/>
      <c r="N326"/>
      <c r="O326"/>
    </row>
    <row r="327" spans="11:15" x14ac:dyDescent="0.25">
      <c r="K327"/>
      <c r="L327"/>
      <c r="M327"/>
      <c r="N327"/>
      <c r="O327"/>
    </row>
    <row r="328" spans="11:15" x14ac:dyDescent="0.25">
      <c r="K328"/>
      <c r="L328"/>
      <c r="M328"/>
      <c r="N328"/>
      <c r="O328"/>
    </row>
    <row r="329" spans="11:15" x14ac:dyDescent="0.25">
      <c r="K329"/>
      <c r="L329"/>
      <c r="M329"/>
      <c r="N329"/>
      <c r="O329"/>
    </row>
    <row r="330" spans="11:15" x14ac:dyDescent="0.25">
      <c r="K330"/>
      <c r="L330"/>
      <c r="M330"/>
      <c r="N330"/>
      <c r="O330"/>
    </row>
    <row r="331" spans="11:15" x14ac:dyDescent="0.25">
      <c r="K331"/>
      <c r="L331"/>
      <c r="M331"/>
      <c r="N331"/>
      <c r="O331"/>
    </row>
    <row r="332" spans="11:15" x14ac:dyDescent="0.25">
      <c r="K332"/>
      <c r="L332"/>
      <c r="M332"/>
      <c r="N332"/>
      <c r="O332"/>
    </row>
    <row r="333" spans="11:15" x14ac:dyDescent="0.25">
      <c r="K333"/>
      <c r="L333"/>
      <c r="M333"/>
      <c r="N333"/>
      <c r="O333"/>
    </row>
    <row r="334" spans="11:15" x14ac:dyDescent="0.25">
      <c r="K334"/>
      <c r="L334"/>
      <c r="M334"/>
      <c r="N334"/>
      <c r="O334"/>
    </row>
    <row r="335" spans="11:15" x14ac:dyDescent="0.25">
      <c r="K335"/>
      <c r="L335"/>
      <c r="M335"/>
      <c r="N335"/>
      <c r="O335"/>
    </row>
    <row r="336" spans="11:15" x14ac:dyDescent="0.25">
      <c r="K336"/>
      <c r="L336"/>
      <c r="M336"/>
      <c r="N336"/>
      <c r="O336"/>
    </row>
    <row r="337" spans="11:15" x14ac:dyDescent="0.25">
      <c r="K337"/>
      <c r="L337"/>
      <c r="M337"/>
      <c r="N337"/>
      <c r="O337"/>
    </row>
    <row r="338" spans="11:15" x14ac:dyDescent="0.25">
      <c r="K338"/>
      <c r="L338"/>
      <c r="M338"/>
      <c r="N338"/>
      <c r="O338"/>
    </row>
    <row r="339" spans="11:15" x14ac:dyDescent="0.25">
      <c r="K339"/>
      <c r="L339"/>
      <c r="M339"/>
      <c r="N339"/>
      <c r="O339"/>
    </row>
    <row r="340" spans="11:15" x14ac:dyDescent="0.25">
      <c r="K340"/>
      <c r="L340"/>
      <c r="M340"/>
      <c r="N340"/>
      <c r="O340"/>
    </row>
    <row r="341" spans="11:15" x14ac:dyDescent="0.25">
      <c r="K341"/>
      <c r="L341"/>
      <c r="M341"/>
      <c r="N341"/>
      <c r="O341"/>
    </row>
    <row r="342" spans="11:15" x14ac:dyDescent="0.25">
      <c r="K342"/>
      <c r="L342"/>
      <c r="M342"/>
      <c r="N342"/>
      <c r="O342"/>
    </row>
    <row r="343" spans="11:15" x14ac:dyDescent="0.25">
      <c r="K343"/>
      <c r="L343"/>
      <c r="M343"/>
      <c r="N343"/>
      <c r="O343"/>
    </row>
    <row r="344" spans="11:15" x14ac:dyDescent="0.25">
      <c r="K344"/>
      <c r="L344"/>
      <c r="M344"/>
      <c r="N344"/>
      <c r="O344"/>
    </row>
    <row r="345" spans="11:15" x14ac:dyDescent="0.25">
      <c r="K345"/>
      <c r="L345"/>
      <c r="M345"/>
      <c r="N345"/>
      <c r="O345"/>
    </row>
    <row r="346" spans="11:15" x14ac:dyDescent="0.25">
      <c r="K346"/>
      <c r="L346"/>
      <c r="M346"/>
      <c r="N346"/>
      <c r="O346"/>
    </row>
    <row r="347" spans="11:15" x14ac:dyDescent="0.25">
      <c r="K347"/>
      <c r="L347"/>
      <c r="M347"/>
      <c r="N347"/>
      <c r="O347"/>
    </row>
    <row r="348" spans="11:15" x14ac:dyDescent="0.25">
      <c r="K348"/>
      <c r="L348"/>
      <c r="M348"/>
      <c r="N348"/>
      <c r="O348"/>
    </row>
    <row r="349" spans="11:15" x14ac:dyDescent="0.25">
      <c r="K349"/>
      <c r="L349"/>
      <c r="M349"/>
      <c r="N349"/>
      <c r="O349"/>
    </row>
    <row r="350" spans="11:15" x14ac:dyDescent="0.25">
      <c r="K350"/>
      <c r="L350"/>
      <c r="M350"/>
      <c r="N350"/>
      <c r="O350"/>
    </row>
    <row r="351" spans="11:15" x14ac:dyDescent="0.25">
      <c r="K351"/>
      <c r="L351"/>
      <c r="M351"/>
      <c r="N351"/>
      <c r="O351"/>
    </row>
    <row r="352" spans="11:15" x14ac:dyDescent="0.25">
      <c r="K352"/>
      <c r="L352"/>
      <c r="M352"/>
      <c r="N352"/>
      <c r="O352"/>
    </row>
    <row r="353" spans="11:15" x14ac:dyDescent="0.25">
      <c r="K353"/>
      <c r="L353"/>
      <c r="M353"/>
      <c r="N353"/>
      <c r="O353"/>
    </row>
    <row r="354" spans="11:15" x14ac:dyDescent="0.25">
      <c r="K354"/>
      <c r="L354"/>
      <c r="M354"/>
      <c r="N354"/>
      <c r="O354"/>
    </row>
    <row r="355" spans="11:15" x14ac:dyDescent="0.25">
      <c r="K355"/>
      <c r="L355"/>
      <c r="M355"/>
      <c r="N355"/>
      <c r="O355"/>
    </row>
    <row r="356" spans="11:15" x14ac:dyDescent="0.25">
      <c r="K356"/>
      <c r="L356"/>
      <c r="M356"/>
      <c r="N356"/>
      <c r="O356"/>
    </row>
    <row r="357" spans="11:15" x14ac:dyDescent="0.25">
      <c r="K357"/>
      <c r="L357"/>
      <c r="M357"/>
      <c r="N357"/>
      <c r="O357"/>
    </row>
    <row r="358" spans="11:15" x14ac:dyDescent="0.25">
      <c r="K358"/>
      <c r="L358"/>
      <c r="M358"/>
      <c r="N358"/>
      <c r="O358"/>
    </row>
    <row r="359" spans="11:15" x14ac:dyDescent="0.25">
      <c r="K359"/>
      <c r="L359"/>
      <c r="M359"/>
      <c r="N359"/>
      <c r="O359"/>
    </row>
    <row r="360" spans="11:15" x14ac:dyDescent="0.25">
      <c r="K360"/>
      <c r="L360"/>
      <c r="M360"/>
      <c r="N360"/>
      <c r="O360"/>
    </row>
    <row r="361" spans="11:15" x14ac:dyDescent="0.25">
      <c r="K361"/>
      <c r="L361"/>
      <c r="M361"/>
      <c r="N361"/>
      <c r="O361"/>
    </row>
    <row r="362" spans="11:15" x14ac:dyDescent="0.25">
      <c r="K362"/>
      <c r="L362"/>
      <c r="M362"/>
      <c r="N362"/>
      <c r="O362"/>
    </row>
    <row r="363" spans="11:15" x14ac:dyDescent="0.25">
      <c r="K363"/>
      <c r="L363"/>
      <c r="M363"/>
      <c r="N363"/>
      <c r="O363"/>
    </row>
    <row r="364" spans="11:15" x14ac:dyDescent="0.25">
      <c r="K364"/>
      <c r="L364"/>
      <c r="M364"/>
      <c r="N364"/>
      <c r="O364"/>
    </row>
    <row r="365" spans="11:15" x14ac:dyDescent="0.25">
      <c r="K365"/>
      <c r="L365"/>
      <c r="M365"/>
      <c r="N365"/>
      <c r="O365"/>
    </row>
    <row r="366" spans="11:15" x14ac:dyDescent="0.25">
      <c r="K366"/>
      <c r="L366"/>
      <c r="M366"/>
      <c r="N366"/>
      <c r="O366"/>
    </row>
    <row r="367" spans="11:15" x14ac:dyDescent="0.25">
      <c r="K367"/>
      <c r="L367"/>
      <c r="M367"/>
      <c r="N367"/>
      <c r="O367"/>
    </row>
    <row r="368" spans="11:15" x14ac:dyDescent="0.25">
      <c r="K368"/>
      <c r="L368"/>
      <c r="M368"/>
      <c r="N368"/>
      <c r="O368"/>
    </row>
    <row r="369" spans="11:15" x14ac:dyDescent="0.25">
      <c r="K369"/>
      <c r="L369"/>
      <c r="M369"/>
      <c r="N369"/>
      <c r="O369"/>
    </row>
    <row r="370" spans="11:15" x14ac:dyDescent="0.25">
      <c r="K370"/>
      <c r="L370"/>
      <c r="M370"/>
      <c r="N370"/>
      <c r="O370"/>
    </row>
    <row r="371" spans="11:15" x14ac:dyDescent="0.25">
      <c r="K371"/>
      <c r="L371"/>
      <c r="M371"/>
      <c r="N371"/>
      <c r="O371"/>
    </row>
    <row r="372" spans="11:15" x14ac:dyDescent="0.25">
      <c r="K372"/>
      <c r="L372"/>
      <c r="M372"/>
      <c r="N372"/>
      <c r="O372"/>
    </row>
    <row r="373" spans="11:15" x14ac:dyDescent="0.25">
      <c r="K373"/>
      <c r="L373"/>
      <c r="M373"/>
      <c r="N373"/>
      <c r="O373"/>
    </row>
    <row r="374" spans="11:15" x14ac:dyDescent="0.25">
      <c r="K374"/>
      <c r="L374"/>
      <c r="M374"/>
      <c r="N374"/>
      <c r="O374"/>
    </row>
    <row r="375" spans="11:15" x14ac:dyDescent="0.25">
      <c r="K375"/>
      <c r="L375"/>
      <c r="M375"/>
      <c r="N375"/>
      <c r="O375"/>
    </row>
    <row r="376" spans="11:15" x14ac:dyDescent="0.25">
      <c r="K376"/>
      <c r="L376"/>
      <c r="M376"/>
      <c r="N376"/>
      <c r="O376"/>
    </row>
    <row r="377" spans="11:15" x14ac:dyDescent="0.25">
      <c r="K377"/>
      <c r="L377"/>
      <c r="M377"/>
      <c r="N377"/>
      <c r="O377"/>
    </row>
    <row r="378" spans="11:15" x14ac:dyDescent="0.25">
      <c r="K378"/>
      <c r="L378"/>
      <c r="M378"/>
      <c r="N378"/>
      <c r="O378"/>
    </row>
    <row r="379" spans="11:15" x14ac:dyDescent="0.25">
      <c r="K379"/>
      <c r="L379"/>
      <c r="M379"/>
      <c r="N379"/>
      <c r="O379"/>
    </row>
    <row r="380" spans="11:15" x14ac:dyDescent="0.25">
      <c r="K380"/>
      <c r="L380"/>
      <c r="M380"/>
      <c r="N380"/>
      <c r="O380"/>
    </row>
    <row r="381" spans="11:15" x14ac:dyDescent="0.25">
      <c r="K381"/>
      <c r="L381"/>
      <c r="M381"/>
      <c r="N381"/>
      <c r="O381"/>
    </row>
    <row r="382" spans="11:15" x14ac:dyDescent="0.25">
      <c r="K382"/>
      <c r="L382"/>
      <c r="M382"/>
      <c r="N382"/>
      <c r="O382"/>
    </row>
    <row r="383" spans="11:15" x14ac:dyDescent="0.25">
      <c r="K383"/>
      <c r="L383"/>
      <c r="M383"/>
      <c r="N383"/>
      <c r="O383"/>
    </row>
    <row r="384" spans="11:15" x14ac:dyDescent="0.25">
      <c r="K384"/>
      <c r="L384"/>
      <c r="M384"/>
      <c r="N384"/>
      <c r="O384"/>
    </row>
    <row r="385" spans="11:15" x14ac:dyDescent="0.25">
      <c r="K385"/>
      <c r="L385"/>
      <c r="M385"/>
      <c r="N385"/>
      <c r="O385"/>
    </row>
    <row r="386" spans="11:15" x14ac:dyDescent="0.25">
      <c r="K386"/>
      <c r="L386"/>
      <c r="M386"/>
      <c r="N386"/>
      <c r="O386"/>
    </row>
    <row r="387" spans="11:15" x14ac:dyDescent="0.25">
      <c r="K387"/>
      <c r="L387"/>
      <c r="M387"/>
      <c r="N387"/>
      <c r="O387"/>
    </row>
    <row r="388" spans="11:15" x14ac:dyDescent="0.25">
      <c r="K388"/>
      <c r="L388"/>
      <c r="M388"/>
      <c r="N388"/>
      <c r="O388"/>
    </row>
    <row r="389" spans="11:15" x14ac:dyDescent="0.25">
      <c r="K389"/>
      <c r="L389"/>
      <c r="M389"/>
      <c r="N389"/>
      <c r="O389"/>
    </row>
    <row r="390" spans="11:15" x14ac:dyDescent="0.25">
      <c r="K390"/>
      <c r="L390"/>
      <c r="M390"/>
      <c r="N390"/>
      <c r="O390"/>
    </row>
    <row r="391" spans="11:15" x14ac:dyDescent="0.25">
      <c r="K391"/>
      <c r="L391"/>
      <c r="M391"/>
      <c r="N391"/>
      <c r="O391"/>
    </row>
    <row r="392" spans="11:15" x14ac:dyDescent="0.25">
      <c r="K392"/>
      <c r="L392"/>
      <c r="M392"/>
      <c r="N392"/>
      <c r="O392"/>
    </row>
    <row r="393" spans="11:15" x14ac:dyDescent="0.25">
      <c r="K393"/>
      <c r="L393"/>
      <c r="M393"/>
      <c r="N393"/>
      <c r="O393"/>
    </row>
    <row r="394" spans="11:15" x14ac:dyDescent="0.25">
      <c r="K394"/>
      <c r="L394"/>
      <c r="M394"/>
      <c r="N394"/>
      <c r="O394"/>
    </row>
    <row r="395" spans="11:15" x14ac:dyDescent="0.25">
      <c r="K395"/>
      <c r="L395"/>
      <c r="M395"/>
      <c r="N395"/>
      <c r="O395"/>
    </row>
    <row r="396" spans="11:15" x14ac:dyDescent="0.25">
      <c r="K396"/>
      <c r="L396"/>
      <c r="M396"/>
      <c r="N396"/>
      <c r="O396"/>
    </row>
    <row r="397" spans="11:15" x14ac:dyDescent="0.25">
      <c r="K397"/>
      <c r="L397"/>
      <c r="M397"/>
      <c r="N397"/>
      <c r="O397"/>
    </row>
    <row r="398" spans="11:15" x14ac:dyDescent="0.25">
      <c r="K398"/>
      <c r="L398"/>
      <c r="M398"/>
      <c r="N398"/>
      <c r="O398"/>
    </row>
    <row r="399" spans="11:15" x14ac:dyDescent="0.25">
      <c r="K399"/>
      <c r="L399"/>
      <c r="M399"/>
      <c r="N399"/>
      <c r="O399"/>
    </row>
    <row r="400" spans="11:15" x14ac:dyDescent="0.25">
      <c r="K400"/>
      <c r="L400"/>
      <c r="M400"/>
      <c r="N400"/>
      <c r="O400"/>
    </row>
    <row r="401" spans="11:15" x14ac:dyDescent="0.25">
      <c r="K401"/>
      <c r="L401"/>
      <c r="M401"/>
      <c r="N401"/>
      <c r="O401"/>
    </row>
    <row r="402" spans="11:15" x14ac:dyDescent="0.25">
      <c r="K402"/>
      <c r="L402"/>
      <c r="M402"/>
      <c r="N402"/>
      <c r="O402"/>
    </row>
    <row r="403" spans="11:15" x14ac:dyDescent="0.25">
      <c r="K403"/>
      <c r="L403"/>
      <c r="M403"/>
      <c r="N403"/>
      <c r="O403"/>
    </row>
    <row r="404" spans="11:15" x14ac:dyDescent="0.25">
      <c r="K404"/>
      <c r="L404"/>
      <c r="M404"/>
      <c r="N404"/>
      <c r="O404"/>
    </row>
    <row r="405" spans="11:15" x14ac:dyDescent="0.25">
      <c r="K405"/>
      <c r="L405"/>
      <c r="M405"/>
      <c r="N405"/>
      <c r="O405"/>
    </row>
    <row r="406" spans="11:15" x14ac:dyDescent="0.25">
      <c r="K406"/>
      <c r="L406"/>
      <c r="M406"/>
      <c r="N406"/>
      <c r="O406"/>
    </row>
    <row r="407" spans="11:15" x14ac:dyDescent="0.25">
      <c r="K407"/>
      <c r="L407"/>
      <c r="M407"/>
      <c r="N407"/>
      <c r="O407"/>
    </row>
    <row r="408" spans="11:15" x14ac:dyDescent="0.25">
      <c r="K408"/>
      <c r="L408"/>
      <c r="M408"/>
      <c r="N408"/>
      <c r="O408"/>
    </row>
    <row r="409" spans="11:15" x14ac:dyDescent="0.25">
      <c r="K409"/>
      <c r="L409"/>
      <c r="M409"/>
      <c r="N409"/>
      <c r="O409"/>
    </row>
    <row r="410" spans="11:15" x14ac:dyDescent="0.25">
      <c r="K410"/>
      <c r="L410"/>
      <c r="M410"/>
      <c r="N410"/>
      <c r="O410"/>
    </row>
    <row r="411" spans="11:15" x14ac:dyDescent="0.25">
      <c r="K411"/>
      <c r="L411"/>
      <c r="M411"/>
      <c r="N411"/>
      <c r="O411"/>
    </row>
    <row r="412" spans="11:15" x14ac:dyDescent="0.25">
      <c r="K412"/>
      <c r="L412"/>
      <c r="M412"/>
      <c r="N412"/>
      <c r="O412"/>
    </row>
    <row r="413" spans="11:15" x14ac:dyDescent="0.25">
      <c r="K413"/>
      <c r="L413"/>
      <c r="M413"/>
      <c r="N413"/>
      <c r="O413"/>
    </row>
    <row r="414" spans="11:15" x14ac:dyDescent="0.25">
      <c r="K414"/>
      <c r="L414"/>
      <c r="M414"/>
      <c r="N414"/>
      <c r="O414"/>
    </row>
    <row r="415" spans="11:15" x14ac:dyDescent="0.25">
      <c r="K415"/>
      <c r="L415"/>
      <c r="M415"/>
      <c r="N415"/>
      <c r="O415"/>
    </row>
    <row r="416" spans="11:15" x14ac:dyDescent="0.25">
      <c r="K416"/>
      <c r="L416"/>
      <c r="M416"/>
      <c r="N416"/>
      <c r="O416"/>
    </row>
    <row r="417" spans="11:15" x14ac:dyDescent="0.25">
      <c r="K417"/>
      <c r="L417"/>
      <c r="M417"/>
      <c r="N417"/>
      <c r="O417"/>
    </row>
    <row r="418" spans="11:15" x14ac:dyDescent="0.25">
      <c r="K418"/>
      <c r="L418"/>
      <c r="M418"/>
      <c r="N418"/>
      <c r="O418"/>
    </row>
    <row r="419" spans="11:15" x14ac:dyDescent="0.25">
      <c r="K419"/>
      <c r="L419"/>
      <c r="M419"/>
      <c r="N419"/>
      <c r="O419"/>
    </row>
    <row r="420" spans="11:15" x14ac:dyDescent="0.25">
      <c r="K420"/>
      <c r="L420"/>
      <c r="M420"/>
      <c r="N420"/>
      <c r="O420"/>
    </row>
    <row r="421" spans="11:15" x14ac:dyDescent="0.25">
      <c r="K421"/>
      <c r="L421"/>
      <c r="M421"/>
      <c r="N421"/>
      <c r="O421"/>
    </row>
    <row r="422" spans="11:15" x14ac:dyDescent="0.25">
      <c r="K422"/>
      <c r="L422"/>
      <c r="M422"/>
      <c r="N422"/>
      <c r="O422"/>
    </row>
    <row r="423" spans="11:15" x14ac:dyDescent="0.25">
      <c r="K423"/>
      <c r="L423"/>
      <c r="M423"/>
      <c r="N423"/>
      <c r="O423"/>
    </row>
    <row r="424" spans="11:15" x14ac:dyDescent="0.25">
      <c r="K424"/>
      <c r="L424"/>
      <c r="M424"/>
      <c r="N424"/>
      <c r="O424"/>
    </row>
    <row r="425" spans="11:15" x14ac:dyDescent="0.25">
      <c r="K425"/>
      <c r="L425"/>
      <c r="M425"/>
      <c r="N425"/>
      <c r="O425"/>
    </row>
    <row r="426" spans="11:15" x14ac:dyDescent="0.25">
      <c r="K426"/>
      <c r="L426"/>
      <c r="M426"/>
      <c r="N426"/>
      <c r="O426"/>
    </row>
    <row r="427" spans="11:15" x14ac:dyDescent="0.25">
      <c r="K427"/>
      <c r="L427"/>
      <c r="M427"/>
      <c r="N427"/>
      <c r="O427"/>
    </row>
    <row r="428" spans="11:15" x14ac:dyDescent="0.25">
      <c r="K428"/>
      <c r="L428"/>
      <c r="M428"/>
      <c r="N428"/>
      <c r="O428"/>
    </row>
    <row r="429" spans="11:15" x14ac:dyDescent="0.25">
      <c r="K429"/>
      <c r="L429"/>
      <c r="M429"/>
      <c r="N429"/>
      <c r="O429"/>
    </row>
    <row r="430" spans="11:15" x14ac:dyDescent="0.25">
      <c r="K430"/>
      <c r="L430"/>
      <c r="M430"/>
      <c r="N430"/>
      <c r="O430"/>
    </row>
    <row r="431" spans="11:15" x14ac:dyDescent="0.25">
      <c r="K431"/>
      <c r="L431"/>
      <c r="M431"/>
      <c r="N431"/>
      <c r="O431"/>
    </row>
    <row r="432" spans="11:15" x14ac:dyDescent="0.25">
      <c r="K432"/>
      <c r="L432"/>
      <c r="M432"/>
      <c r="N432"/>
      <c r="O432"/>
    </row>
    <row r="433" spans="11:15" x14ac:dyDescent="0.25">
      <c r="K433"/>
      <c r="L433"/>
      <c r="M433"/>
      <c r="N433"/>
      <c r="O433"/>
    </row>
    <row r="434" spans="11:15" x14ac:dyDescent="0.25">
      <c r="K434"/>
      <c r="L434"/>
      <c r="M434"/>
      <c r="N434"/>
      <c r="O434"/>
    </row>
    <row r="435" spans="11:15" x14ac:dyDescent="0.25">
      <c r="K435"/>
      <c r="L435"/>
      <c r="M435"/>
      <c r="N435"/>
      <c r="O435"/>
    </row>
    <row r="436" spans="11:15" x14ac:dyDescent="0.25">
      <c r="K436"/>
      <c r="L436"/>
      <c r="M436"/>
      <c r="N436"/>
      <c r="O436"/>
    </row>
    <row r="437" spans="11:15" x14ac:dyDescent="0.25">
      <c r="K437"/>
      <c r="L437"/>
      <c r="M437"/>
      <c r="N437"/>
      <c r="O437"/>
    </row>
    <row r="438" spans="11:15" x14ac:dyDescent="0.25">
      <c r="K438"/>
      <c r="L438"/>
      <c r="M438"/>
      <c r="N438"/>
      <c r="O438"/>
    </row>
    <row r="439" spans="11:15" x14ac:dyDescent="0.25">
      <c r="K439"/>
      <c r="L439"/>
      <c r="M439"/>
      <c r="N439"/>
      <c r="O439"/>
    </row>
    <row r="440" spans="11:15" x14ac:dyDescent="0.25">
      <c r="K440"/>
      <c r="L440"/>
      <c r="M440"/>
      <c r="N440"/>
      <c r="O440"/>
    </row>
    <row r="441" spans="11:15" x14ac:dyDescent="0.25">
      <c r="K441"/>
      <c r="L441"/>
      <c r="M441"/>
      <c r="N441"/>
      <c r="O441"/>
    </row>
    <row r="442" spans="11:15" x14ac:dyDescent="0.25">
      <c r="K442"/>
      <c r="L442"/>
      <c r="M442"/>
      <c r="N442"/>
      <c r="O442"/>
    </row>
    <row r="443" spans="11:15" x14ac:dyDescent="0.25">
      <c r="K443"/>
      <c r="L443"/>
      <c r="M443"/>
      <c r="N443"/>
      <c r="O443"/>
    </row>
    <row r="444" spans="11:15" x14ac:dyDescent="0.25">
      <c r="K444"/>
      <c r="L444"/>
      <c r="M444"/>
      <c r="N444"/>
      <c r="O444"/>
    </row>
    <row r="445" spans="11:15" x14ac:dyDescent="0.25">
      <c r="K445"/>
      <c r="L445"/>
      <c r="M445"/>
      <c r="N445"/>
      <c r="O445"/>
    </row>
    <row r="446" spans="11:15" x14ac:dyDescent="0.25">
      <c r="K446"/>
      <c r="L446"/>
      <c r="M446"/>
      <c r="N446"/>
      <c r="O446"/>
    </row>
    <row r="447" spans="11:15" x14ac:dyDescent="0.25">
      <c r="K447"/>
      <c r="L447"/>
      <c r="M447"/>
      <c r="N447"/>
      <c r="O447"/>
    </row>
    <row r="448" spans="11:15" x14ac:dyDescent="0.25">
      <c r="K448"/>
      <c r="L448"/>
      <c r="M448"/>
      <c r="N448"/>
      <c r="O448"/>
    </row>
    <row r="449" spans="11:15" x14ac:dyDescent="0.25">
      <c r="K449"/>
      <c r="L449"/>
      <c r="M449"/>
      <c r="N449"/>
      <c r="O449"/>
    </row>
    <row r="450" spans="11:15" x14ac:dyDescent="0.25">
      <c r="K450"/>
      <c r="L450"/>
      <c r="M450"/>
      <c r="N450"/>
      <c r="O450"/>
    </row>
    <row r="451" spans="11:15" x14ac:dyDescent="0.25">
      <c r="K451"/>
      <c r="L451"/>
      <c r="M451"/>
      <c r="N451"/>
      <c r="O451"/>
    </row>
    <row r="452" spans="11:15" x14ac:dyDescent="0.25">
      <c r="K452"/>
      <c r="L452"/>
      <c r="M452"/>
      <c r="N452"/>
      <c r="O452"/>
    </row>
    <row r="453" spans="11:15" x14ac:dyDescent="0.25">
      <c r="K453"/>
      <c r="L453"/>
      <c r="M453"/>
      <c r="N453"/>
      <c r="O453"/>
    </row>
    <row r="454" spans="11:15" x14ac:dyDescent="0.25">
      <c r="K454"/>
      <c r="L454"/>
      <c r="M454"/>
      <c r="N454"/>
      <c r="O454"/>
    </row>
    <row r="455" spans="11:15" x14ac:dyDescent="0.25">
      <c r="K455"/>
      <c r="L455"/>
      <c r="M455"/>
      <c r="N455"/>
      <c r="O455"/>
    </row>
    <row r="456" spans="11:15" x14ac:dyDescent="0.25">
      <c r="K456"/>
      <c r="L456"/>
      <c r="M456"/>
      <c r="N456"/>
      <c r="O456"/>
    </row>
    <row r="457" spans="11:15" x14ac:dyDescent="0.25">
      <c r="K457"/>
      <c r="L457"/>
      <c r="M457"/>
      <c r="N457"/>
      <c r="O457"/>
    </row>
    <row r="458" spans="11:15" x14ac:dyDescent="0.25">
      <c r="K458"/>
      <c r="L458"/>
      <c r="M458"/>
      <c r="N458"/>
      <c r="O458"/>
    </row>
    <row r="459" spans="11:15" x14ac:dyDescent="0.25">
      <c r="K459"/>
      <c r="L459"/>
      <c r="M459"/>
      <c r="N459"/>
      <c r="O459"/>
    </row>
    <row r="460" spans="11:15" x14ac:dyDescent="0.25">
      <c r="K460"/>
      <c r="L460"/>
      <c r="M460"/>
      <c r="N460"/>
      <c r="O460"/>
    </row>
    <row r="461" spans="11:15" x14ac:dyDescent="0.25">
      <c r="K461"/>
      <c r="L461"/>
      <c r="M461"/>
      <c r="N461"/>
      <c r="O461"/>
    </row>
    <row r="462" spans="11:15" x14ac:dyDescent="0.25">
      <c r="K462"/>
      <c r="L462"/>
      <c r="M462"/>
      <c r="N462"/>
      <c r="O462"/>
    </row>
    <row r="463" spans="11:15" x14ac:dyDescent="0.25">
      <c r="K463"/>
      <c r="L463"/>
      <c r="M463"/>
      <c r="N463"/>
      <c r="O463"/>
    </row>
    <row r="464" spans="11:15" x14ac:dyDescent="0.25">
      <c r="K464"/>
      <c r="L464"/>
      <c r="M464"/>
      <c r="N464"/>
      <c r="O464"/>
    </row>
    <row r="465" spans="11:15" x14ac:dyDescent="0.25">
      <c r="K465"/>
      <c r="L465"/>
      <c r="M465"/>
      <c r="N465"/>
      <c r="O465"/>
    </row>
    <row r="466" spans="11:15" x14ac:dyDescent="0.25">
      <c r="K466"/>
      <c r="L466"/>
      <c r="M466"/>
      <c r="N466"/>
      <c r="O466"/>
    </row>
    <row r="467" spans="11:15" x14ac:dyDescent="0.25">
      <c r="K467"/>
      <c r="L467"/>
      <c r="M467"/>
      <c r="N467"/>
      <c r="O467"/>
    </row>
    <row r="468" spans="11:15" x14ac:dyDescent="0.25">
      <c r="K468"/>
      <c r="L468"/>
      <c r="M468"/>
      <c r="N468"/>
      <c r="O468"/>
    </row>
    <row r="469" spans="11:15" x14ac:dyDescent="0.25">
      <c r="K469"/>
      <c r="L469"/>
      <c r="M469"/>
      <c r="N469"/>
      <c r="O469"/>
    </row>
    <row r="470" spans="11:15" x14ac:dyDescent="0.25">
      <c r="K470"/>
      <c r="L470"/>
      <c r="M470"/>
      <c r="N470"/>
      <c r="O470"/>
    </row>
    <row r="471" spans="11:15" x14ac:dyDescent="0.25">
      <c r="K471"/>
      <c r="L471"/>
      <c r="M471"/>
      <c r="N471"/>
      <c r="O471"/>
    </row>
    <row r="472" spans="11:15" x14ac:dyDescent="0.25">
      <c r="K472"/>
      <c r="L472"/>
      <c r="M472"/>
      <c r="N472"/>
      <c r="O472"/>
    </row>
    <row r="473" spans="11:15" x14ac:dyDescent="0.25">
      <c r="K473"/>
      <c r="L473"/>
      <c r="M473"/>
      <c r="N473"/>
      <c r="O473"/>
    </row>
    <row r="474" spans="11:15" x14ac:dyDescent="0.25">
      <c r="K474"/>
      <c r="L474"/>
      <c r="M474"/>
      <c r="N474"/>
      <c r="O474"/>
    </row>
    <row r="475" spans="11:15" x14ac:dyDescent="0.25">
      <c r="K475"/>
      <c r="L475"/>
      <c r="M475"/>
      <c r="N475"/>
      <c r="O475"/>
    </row>
    <row r="476" spans="11:15" x14ac:dyDescent="0.25">
      <c r="K476"/>
      <c r="L476"/>
      <c r="M476"/>
      <c r="N476"/>
      <c r="O476"/>
    </row>
    <row r="477" spans="11:15" x14ac:dyDescent="0.25">
      <c r="K477"/>
      <c r="L477"/>
      <c r="M477"/>
      <c r="N477"/>
      <c r="O477"/>
    </row>
    <row r="478" spans="11:15" x14ac:dyDescent="0.25">
      <c r="K478"/>
      <c r="L478"/>
      <c r="M478"/>
      <c r="N478"/>
      <c r="O478"/>
    </row>
    <row r="479" spans="11:15" x14ac:dyDescent="0.25">
      <c r="K479"/>
      <c r="L479"/>
      <c r="M479"/>
      <c r="N479"/>
      <c r="O479"/>
    </row>
    <row r="480" spans="11:15" x14ac:dyDescent="0.25">
      <c r="K480"/>
      <c r="L480"/>
      <c r="M480"/>
      <c r="N480"/>
      <c r="O480"/>
    </row>
    <row r="481" spans="11:15" x14ac:dyDescent="0.25">
      <c r="K481"/>
      <c r="L481"/>
      <c r="M481"/>
      <c r="N481"/>
      <c r="O481"/>
    </row>
    <row r="482" spans="11:15" x14ac:dyDescent="0.25">
      <c r="K482"/>
      <c r="L482"/>
      <c r="M482"/>
      <c r="N482"/>
      <c r="O482"/>
    </row>
    <row r="483" spans="11:15" x14ac:dyDescent="0.25">
      <c r="K483"/>
      <c r="L483"/>
      <c r="M483"/>
      <c r="N483"/>
      <c r="O483"/>
    </row>
    <row r="484" spans="11:15" x14ac:dyDescent="0.25">
      <c r="K484"/>
      <c r="L484"/>
      <c r="M484"/>
      <c r="N484"/>
      <c r="O484"/>
    </row>
    <row r="485" spans="11:15" x14ac:dyDescent="0.25">
      <c r="K485"/>
      <c r="L485"/>
      <c r="M485"/>
      <c r="N485"/>
      <c r="O485"/>
    </row>
    <row r="486" spans="11:15" x14ac:dyDescent="0.25">
      <c r="K486"/>
      <c r="L486"/>
      <c r="M486"/>
      <c r="N486"/>
      <c r="O486"/>
    </row>
    <row r="487" spans="11:15" x14ac:dyDescent="0.25">
      <c r="K487"/>
      <c r="L487"/>
      <c r="M487"/>
      <c r="N487"/>
      <c r="O487"/>
    </row>
    <row r="488" spans="11:15" x14ac:dyDescent="0.25">
      <c r="K488"/>
      <c r="L488"/>
      <c r="M488"/>
      <c r="N488"/>
      <c r="O488"/>
    </row>
    <row r="489" spans="11:15" x14ac:dyDescent="0.25">
      <c r="K489"/>
      <c r="L489"/>
      <c r="M489"/>
      <c r="N489"/>
      <c r="O489"/>
    </row>
    <row r="490" spans="11:15" x14ac:dyDescent="0.25">
      <c r="K490"/>
      <c r="L490"/>
      <c r="M490"/>
      <c r="N490"/>
      <c r="O490"/>
    </row>
    <row r="491" spans="11:15" x14ac:dyDescent="0.25">
      <c r="K491"/>
      <c r="L491"/>
      <c r="M491"/>
      <c r="N491"/>
      <c r="O491"/>
    </row>
    <row r="492" spans="11:15" x14ac:dyDescent="0.25">
      <c r="K492"/>
      <c r="L492"/>
      <c r="M492"/>
      <c r="N492"/>
      <c r="O492"/>
    </row>
    <row r="493" spans="11:15" x14ac:dyDescent="0.25">
      <c r="K493"/>
      <c r="L493"/>
      <c r="M493"/>
      <c r="N493"/>
      <c r="O493"/>
    </row>
    <row r="494" spans="11:15" x14ac:dyDescent="0.25">
      <c r="K494"/>
      <c r="L494"/>
      <c r="M494"/>
      <c r="N494"/>
      <c r="O494"/>
    </row>
    <row r="495" spans="11:15" x14ac:dyDescent="0.25">
      <c r="K495"/>
      <c r="L495"/>
      <c r="M495"/>
      <c r="N495"/>
      <c r="O495"/>
    </row>
    <row r="496" spans="11:15" x14ac:dyDescent="0.25">
      <c r="K496"/>
      <c r="L496"/>
      <c r="M496"/>
      <c r="N496"/>
      <c r="O496"/>
    </row>
    <row r="497" spans="11:15" x14ac:dyDescent="0.25">
      <c r="K497"/>
      <c r="L497"/>
      <c r="M497"/>
      <c r="N497"/>
      <c r="O497"/>
    </row>
    <row r="498" spans="11:15" x14ac:dyDescent="0.25">
      <c r="K498"/>
      <c r="L498"/>
      <c r="M498"/>
      <c r="N498"/>
      <c r="O498"/>
    </row>
    <row r="499" spans="11:15" x14ac:dyDescent="0.25">
      <c r="K499"/>
      <c r="L499"/>
      <c r="M499"/>
      <c r="N499"/>
      <c r="O499"/>
    </row>
    <row r="500" spans="11:15" x14ac:dyDescent="0.25">
      <c r="K500"/>
      <c r="L500"/>
      <c r="M500"/>
      <c r="N500"/>
      <c r="O500"/>
    </row>
    <row r="501" spans="11:15" x14ac:dyDescent="0.25">
      <c r="K501"/>
      <c r="L501"/>
      <c r="M501"/>
      <c r="N501"/>
      <c r="O501"/>
    </row>
    <row r="502" spans="11:15" x14ac:dyDescent="0.25">
      <c r="K502"/>
      <c r="L502"/>
      <c r="M502"/>
      <c r="N502"/>
      <c r="O502"/>
    </row>
    <row r="503" spans="11:15" x14ac:dyDescent="0.25">
      <c r="K503"/>
      <c r="L503"/>
      <c r="M503"/>
      <c r="N503"/>
      <c r="O503"/>
    </row>
    <row r="504" spans="11:15" x14ac:dyDescent="0.25">
      <c r="K504"/>
      <c r="L504"/>
      <c r="M504"/>
      <c r="N504"/>
      <c r="O504"/>
    </row>
    <row r="505" spans="11:15" x14ac:dyDescent="0.25">
      <c r="K505"/>
      <c r="L505"/>
      <c r="M505"/>
      <c r="N505"/>
      <c r="O505"/>
    </row>
    <row r="506" spans="11:15" x14ac:dyDescent="0.25">
      <c r="K506"/>
      <c r="L506"/>
      <c r="M506"/>
      <c r="N506"/>
      <c r="O506"/>
    </row>
    <row r="507" spans="11:15" x14ac:dyDescent="0.25">
      <c r="K507"/>
      <c r="L507"/>
      <c r="M507"/>
      <c r="N507"/>
      <c r="O507"/>
    </row>
    <row r="508" spans="11:15" x14ac:dyDescent="0.25">
      <c r="K508"/>
      <c r="L508"/>
      <c r="M508"/>
      <c r="N508"/>
      <c r="O508"/>
    </row>
    <row r="509" spans="11:15" x14ac:dyDescent="0.25">
      <c r="K509"/>
      <c r="L509"/>
      <c r="M509"/>
      <c r="N509"/>
      <c r="O509"/>
    </row>
    <row r="510" spans="11:15" x14ac:dyDescent="0.25">
      <c r="K510"/>
      <c r="L510"/>
      <c r="M510"/>
      <c r="N510"/>
      <c r="O510"/>
    </row>
    <row r="511" spans="11:15" x14ac:dyDescent="0.25">
      <c r="K511"/>
      <c r="L511"/>
      <c r="M511"/>
      <c r="N511"/>
      <c r="O511"/>
    </row>
    <row r="512" spans="11:15" x14ac:dyDescent="0.25">
      <c r="K512"/>
      <c r="L512"/>
      <c r="M512"/>
      <c r="N512"/>
      <c r="O512"/>
    </row>
    <row r="513" spans="11:15" x14ac:dyDescent="0.25">
      <c r="K513"/>
      <c r="L513"/>
      <c r="M513"/>
      <c r="N513"/>
      <c r="O513"/>
    </row>
    <row r="514" spans="11:15" x14ac:dyDescent="0.25">
      <c r="K514"/>
      <c r="L514"/>
      <c r="M514"/>
      <c r="N514"/>
      <c r="O514"/>
    </row>
    <row r="515" spans="11:15" x14ac:dyDescent="0.25">
      <c r="K515"/>
      <c r="L515"/>
      <c r="M515"/>
      <c r="N515"/>
      <c r="O515"/>
    </row>
    <row r="516" spans="11:15" x14ac:dyDescent="0.25">
      <c r="K516"/>
      <c r="L516"/>
      <c r="M516"/>
      <c r="N516"/>
      <c r="O516"/>
    </row>
    <row r="517" spans="11:15" x14ac:dyDescent="0.25">
      <c r="K517"/>
      <c r="L517"/>
      <c r="M517"/>
      <c r="N517"/>
      <c r="O517"/>
    </row>
    <row r="518" spans="11:15" x14ac:dyDescent="0.25">
      <c r="K518"/>
      <c r="L518"/>
      <c r="M518"/>
      <c r="N518"/>
      <c r="O518"/>
    </row>
    <row r="519" spans="11:15" x14ac:dyDescent="0.25">
      <c r="K519"/>
      <c r="L519"/>
      <c r="M519"/>
      <c r="N519"/>
      <c r="O519"/>
    </row>
    <row r="520" spans="11:15" x14ac:dyDescent="0.25">
      <c r="K520"/>
      <c r="L520"/>
      <c r="M520"/>
      <c r="N520"/>
      <c r="O520"/>
    </row>
    <row r="521" spans="11:15" x14ac:dyDescent="0.25">
      <c r="K521"/>
      <c r="L521"/>
      <c r="M521"/>
      <c r="N521"/>
      <c r="O521"/>
    </row>
    <row r="522" spans="11:15" x14ac:dyDescent="0.25">
      <c r="K522"/>
      <c r="L522"/>
      <c r="M522"/>
      <c r="N522"/>
      <c r="O522"/>
    </row>
    <row r="523" spans="11:15" x14ac:dyDescent="0.25">
      <c r="K523"/>
      <c r="L523"/>
      <c r="M523"/>
      <c r="N523"/>
      <c r="O523"/>
    </row>
    <row r="524" spans="11:15" x14ac:dyDescent="0.25">
      <c r="K524"/>
      <c r="L524"/>
      <c r="M524"/>
      <c r="N524"/>
      <c r="O524"/>
    </row>
    <row r="525" spans="11:15" x14ac:dyDescent="0.25">
      <c r="K525"/>
      <c r="L525"/>
      <c r="M525"/>
      <c r="N525"/>
      <c r="O525"/>
    </row>
    <row r="526" spans="11:15" x14ac:dyDescent="0.25">
      <c r="K526"/>
      <c r="L526"/>
      <c r="M526"/>
      <c r="N526"/>
      <c r="O526"/>
    </row>
    <row r="527" spans="11:15" x14ac:dyDescent="0.25">
      <c r="K527"/>
      <c r="L527"/>
      <c r="M527"/>
      <c r="N527"/>
      <c r="O527"/>
    </row>
    <row r="528" spans="11:15" x14ac:dyDescent="0.25">
      <c r="K528"/>
      <c r="L528"/>
      <c r="M528"/>
      <c r="N528"/>
      <c r="O528"/>
    </row>
    <row r="529" spans="11:15" x14ac:dyDescent="0.25">
      <c r="K529"/>
      <c r="L529"/>
      <c r="M529"/>
      <c r="N529"/>
      <c r="O529"/>
    </row>
    <row r="530" spans="11:15" x14ac:dyDescent="0.25">
      <c r="K530"/>
      <c r="L530"/>
      <c r="M530"/>
      <c r="N530"/>
      <c r="O530"/>
    </row>
    <row r="531" spans="11:15" x14ac:dyDescent="0.25">
      <c r="K531"/>
      <c r="L531"/>
      <c r="M531"/>
      <c r="N531"/>
      <c r="O531"/>
    </row>
    <row r="532" spans="11:15" x14ac:dyDescent="0.25">
      <c r="K532"/>
      <c r="L532"/>
      <c r="M532"/>
      <c r="N532"/>
      <c r="O532"/>
    </row>
    <row r="533" spans="11:15" x14ac:dyDescent="0.25">
      <c r="K533"/>
      <c r="L533"/>
      <c r="M533"/>
      <c r="N533"/>
      <c r="O533"/>
    </row>
    <row r="534" spans="11:15" x14ac:dyDescent="0.25">
      <c r="K534"/>
      <c r="L534"/>
      <c r="M534"/>
      <c r="N534"/>
      <c r="O534"/>
    </row>
    <row r="535" spans="11:15" x14ac:dyDescent="0.25">
      <c r="K535"/>
      <c r="L535"/>
      <c r="M535"/>
      <c r="N535"/>
      <c r="O535"/>
    </row>
    <row r="536" spans="11:15" x14ac:dyDescent="0.25">
      <c r="K536"/>
      <c r="L536"/>
      <c r="M536"/>
      <c r="N536"/>
      <c r="O536"/>
    </row>
    <row r="537" spans="11:15" x14ac:dyDescent="0.25">
      <c r="K537"/>
      <c r="L537"/>
      <c r="M537"/>
      <c r="N537"/>
      <c r="O537"/>
    </row>
    <row r="538" spans="11:15" x14ac:dyDescent="0.25">
      <c r="K538"/>
      <c r="L538"/>
      <c r="M538"/>
      <c r="N538"/>
      <c r="O538"/>
    </row>
    <row r="539" spans="11:15" x14ac:dyDescent="0.25">
      <c r="K539"/>
      <c r="L539"/>
      <c r="M539"/>
      <c r="N539"/>
      <c r="O539"/>
    </row>
    <row r="540" spans="11:15" x14ac:dyDescent="0.25">
      <c r="K540"/>
      <c r="L540"/>
      <c r="M540"/>
      <c r="N540"/>
      <c r="O540"/>
    </row>
    <row r="541" spans="11:15" x14ac:dyDescent="0.25">
      <c r="K541"/>
      <c r="L541"/>
      <c r="M541"/>
      <c r="N541"/>
      <c r="O541"/>
    </row>
    <row r="542" spans="11:15" x14ac:dyDescent="0.25">
      <c r="K542"/>
      <c r="L542"/>
      <c r="M542"/>
      <c r="N542"/>
      <c r="O542"/>
    </row>
    <row r="543" spans="11:15" x14ac:dyDescent="0.25">
      <c r="K543"/>
      <c r="L543"/>
      <c r="M543"/>
      <c r="N543"/>
      <c r="O543"/>
    </row>
    <row r="544" spans="11:15" x14ac:dyDescent="0.25">
      <c r="K544"/>
      <c r="L544"/>
      <c r="M544"/>
      <c r="N544"/>
      <c r="O544"/>
    </row>
    <row r="545" spans="11:15" x14ac:dyDescent="0.25">
      <c r="K545"/>
      <c r="L545"/>
      <c r="M545"/>
      <c r="N545"/>
      <c r="O545"/>
    </row>
    <row r="546" spans="11:15" x14ac:dyDescent="0.25">
      <c r="K546"/>
      <c r="L546"/>
      <c r="M546"/>
      <c r="N546"/>
      <c r="O546"/>
    </row>
    <row r="547" spans="11:15" x14ac:dyDescent="0.25">
      <c r="K547"/>
      <c r="L547"/>
      <c r="M547"/>
      <c r="N547"/>
      <c r="O547"/>
    </row>
    <row r="548" spans="11:15" x14ac:dyDescent="0.25">
      <c r="K548"/>
      <c r="L548"/>
      <c r="M548"/>
      <c r="N548"/>
      <c r="O548"/>
    </row>
    <row r="549" spans="11:15" x14ac:dyDescent="0.25">
      <c r="K549"/>
      <c r="L549"/>
      <c r="M549"/>
      <c r="N549"/>
      <c r="O549"/>
    </row>
    <row r="550" spans="11:15" x14ac:dyDescent="0.25">
      <c r="K550"/>
      <c r="L550"/>
      <c r="M550"/>
      <c r="N550"/>
      <c r="O550"/>
    </row>
    <row r="551" spans="11:15" x14ac:dyDescent="0.25">
      <c r="K551"/>
      <c r="L551"/>
      <c r="M551"/>
      <c r="N551"/>
      <c r="O551"/>
    </row>
    <row r="552" spans="11:15" x14ac:dyDescent="0.25">
      <c r="K552"/>
      <c r="L552"/>
      <c r="M552"/>
      <c r="N552"/>
      <c r="O552"/>
    </row>
    <row r="553" spans="11:15" x14ac:dyDescent="0.25">
      <c r="K553"/>
      <c r="L553"/>
      <c r="M553"/>
      <c r="N553"/>
      <c r="O553"/>
    </row>
    <row r="554" spans="11:15" x14ac:dyDescent="0.25">
      <c r="K554"/>
      <c r="L554"/>
      <c r="M554"/>
      <c r="N554"/>
      <c r="O554"/>
    </row>
    <row r="555" spans="11:15" x14ac:dyDescent="0.25">
      <c r="K555"/>
      <c r="L555"/>
      <c r="M555"/>
      <c r="N555"/>
      <c r="O555"/>
    </row>
    <row r="556" spans="11:15" x14ac:dyDescent="0.25">
      <c r="K556"/>
      <c r="L556"/>
      <c r="M556"/>
      <c r="N556"/>
      <c r="O556"/>
    </row>
    <row r="557" spans="11:15" x14ac:dyDescent="0.25">
      <c r="K557"/>
      <c r="L557"/>
      <c r="M557"/>
      <c r="N557"/>
      <c r="O557"/>
    </row>
    <row r="558" spans="11:15" x14ac:dyDescent="0.25">
      <c r="K558"/>
      <c r="L558"/>
      <c r="M558"/>
      <c r="N558"/>
      <c r="O558"/>
    </row>
    <row r="559" spans="11:15" x14ac:dyDescent="0.25">
      <c r="K559"/>
      <c r="L559"/>
      <c r="M559"/>
      <c r="N559"/>
      <c r="O559"/>
    </row>
    <row r="560" spans="11:15" x14ac:dyDescent="0.25">
      <c r="K560"/>
      <c r="L560"/>
      <c r="M560"/>
      <c r="N560"/>
      <c r="O560"/>
    </row>
    <row r="561" spans="11:15" x14ac:dyDescent="0.25">
      <c r="K561"/>
      <c r="L561"/>
      <c r="M561"/>
      <c r="N561"/>
      <c r="O561"/>
    </row>
    <row r="562" spans="11:15" x14ac:dyDescent="0.25">
      <c r="K562"/>
      <c r="L562"/>
      <c r="M562"/>
      <c r="N562"/>
      <c r="O562"/>
    </row>
    <row r="563" spans="11:15" x14ac:dyDescent="0.25">
      <c r="K563"/>
      <c r="L563"/>
      <c r="M563"/>
      <c r="N563"/>
      <c r="O563"/>
    </row>
    <row r="564" spans="11:15" x14ac:dyDescent="0.25">
      <c r="K564"/>
      <c r="L564"/>
      <c r="M564"/>
      <c r="N564"/>
      <c r="O564"/>
    </row>
    <row r="565" spans="11:15" x14ac:dyDescent="0.25">
      <c r="K565"/>
      <c r="L565"/>
      <c r="M565"/>
      <c r="N565"/>
      <c r="O565"/>
    </row>
    <row r="566" spans="11:15" x14ac:dyDescent="0.25">
      <c r="K566"/>
      <c r="L566"/>
      <c r="M566"/>
      <c r="N566"/>
      <c r="O566"/>
    </row>
    <row r="567" spans="11:15" x14ac:dyDescent="0.25">
      <c r="K567"/>
      <c r="L567"/>
      <c r="M567"/>
      <c r="N567"/>
      <c r="O567"/>
    </row>
    <row r="568" spans="11:15" x14ac:dyDescent="0.25">
      <c r="K568"/>
      <c r="L568"/>
      <c r="M568"/>
      <c r="N568"/>
      <c r="O568"/>
    </row>
    <row r="569" spans="11:15" x14ac:dyDescent="0.25">
      <c r="K569"/>
      <c r="L569"/>
      <c r="M569"/>
      <c r="N569"/>
      <c r="O569"/>
    </row>
    <row r="570" spans="11:15" x14ac:dyDescent="0.25">
      <c r="K570"/>
      <c r="L570"/>
      <c r="M570"/>
      <c r="N570"/>
      <c r="O570"/>
    </row>
    <row r="571" spans="11:15" x14ac:dyDescent="0.25">
      <c r="K571"/>
      <c r="L571"/>
      <c r="M571"/>
      <c r="N571"/>
      <c r="O571"/>
    </row>
    <row r="572" spans="11:15" x14ac:dyDescent="0.25">
      <c r="K572"/>
      <c r="L572"/>
      <c r="M572"/>
      <c r="N572"/>
      <c r="O572"/>
    </row>
    <row r="573" spans="11:15" x14ac:dyDescent="0.25">
      <c r="K573"/>
      <c r="L573"/>
      <c r="M573"/>
      <c r="N573"/>
      <c r="O573"/>
    </row>
    <row r="574" spans="11:15" x14ac:dyDescent="0.25">
      <c r="K574"/>
      <c r="L574"/>
      <c r="M574"/>
      <c r="N574"/>
      <c r="O574"/>
    </row>
    <row r="575" spans="11:15" x14ac:dyDescent="0.25">
      <c r="K575"/>
      <c r="L575"/>
      <c r="M575"/>
      <c r="N575"/>
      <c r="O575"/>
    </row>
    <row r="576" spans="11:15" x14ac:dyDescent="0.25">
      <c r="K576"/>
      <c r="L576"/>
      <c r="M576"/>
      <c r="N576"/>
      <c r="O576"/>
    </row>
    <row r="577" spans="11:15" x14ac:dyDescent="0.25">
      <c r="K577"/>
      <c r="L577"/>
      <c r="M577"/>
      <c r="N577"/>
      <c r="O577"/>
    </row>
    <row r="578" spans="11:15" x14ac:dyDescent="0.25">
      <c r="K578"/>
      <c r="L578"/>
      <c r="M578"/>
      <c r="N578"/>
      <c r="O578"/>
    </row>
    <row r="579" spans="11:15" x14ac:dyDescent="0.25">
      <c r="K579"/>
      <c r="L579"/>
      <c r="M579"/>
      <c r="N579"/>
      <c r="O579"/>
    </row>
    <row r="580" spans="11:15" x14ac:dyDescent="0.25">
      <c r="K580"/>
      <c r="L580"/>
      <c r="M580"/>
      <c r="N580"/>
      <c r="O580"/>
    </row>
    <row r="581" spans="11:15" x14ac:dyDescent="0.25">
      <c r="K581"/>
      <c r="L581"/>
      <c r="M581"/>
      <c r="N581"/>
      <c r="O581"/>
    </row>
    <row r="582" spans="11:15" x14ac:dyDescent="0.25">
      <c r="K582"/>
      <c r="L582"/>
      <c r="M582"/>
      <c r="N582"/>
      <c r="O582"/>
    </row>
    <row r="583" spans="11:15" x14ac:dyDescent="0.25">
      <c r="K583"/>
      <c r="L583"/>
      <c r="M583"/>
      <c r="N583"/>
      <c r="O583"/>
    </row>
    <row r="584" spans="11:15" x14ac:dyDescent="0.25">
      <c r="K584"/>
      <c r="L584"/>
      <c r="M584"/>
      <c r="N584"/>
      <c r="O584"/>
    </row>
    <row r="585" spans="11:15" x14ac:dyDescent="0.25">
      <c r="K585"/>
      <c r="L585"/>
      <c r="M585"/>
      <c r="N585"/>
      <c r="O585"/>
    </row>
    <row r="586" spans="11:15" x14ac:dyDescent="0.25">
      <c r="K586"/>
      <c r="L586"/>
      <c r="M586"/>
      <c r="N586"/>
      <c r="O586"/>
    </row>
    <row r="587" spans="11:15" x14ac:dyDescent="0.25">
      <c r="K587"/>
      <c r="L587"/>
      <c r="M587"/>
      <c r="N587"/>
      <c r="O587"/>
    </row>
    <row r="588" spans="11:15" x14ac:dyDescent="0.25">
      <c r="K588"/>
      <c r="L588"/>
      <c r="M588"/>
      <c r="N588"/>
      <c r="O588"/>
    </row>
    <row r="589" spans="11:15" x14ac:dyDescent="0.25">
      <c r="K589"/>
      <c r="L589"/>
      <c r="M589"/>
      <c r="N589"/>
      <c r="O589"/>
    </row>
    <row r="590" spans="11:15" x14ac:dyDescent="0.25">
      <c r="K590"/>
      <c r="L590"/>
      <c r="M590"/>
      <c r="N590"/>
      <c r="O590"/>
    </row>
    <row r="591" spans="11:15" x14ac:dyDescent="0.25">
      <c r="K591"/>
      <c r="L591"/>
      <c r="M591"/>
      <c r="N591"/>
      <c r="O591"/>
    </row>
    <row r="592" spans="11:15" x14ac:dyDescent="0.25">
      <c r="K592"/>
      <c r="L592"/>
      <c r="M592"/>
      <c r="N592"/>
      <c r="O592"/>
    </row>
    <row r="593" spans="11:15" x14ac:dyDescent="0.25">
      <c r="K593"/>
      <c r="L593"/>
      <c r="M593"/>
      <c r="N593"/>
      <c r="O593"/>
    </row>
    <row r="594" spans="11:15" x14ac:dyDescent="0.25">
      <c r="K594"/>
      <c r="L594"/>
      <c r="M594"/>
      <c r="N594"/>
      <c r="O594"/>
    </row>
    <row r="595" spans="11:15" x14ac:dyDescent="0.25">
      <c r="K595"/>
      <c r="L595"/>
      <c r="M595"/>
      <c r="N595"/>
      <c r="O595"/>
    </row>
    <row r="596" spans="11:15" x14ac:dyDescent="0.25">
      <c r="K596"/>
      <c r="L596"/>
      <c r="M596"/>
      <c r="N596"/>
      <c r="O596"/>
    </row>
    <row r="597" spans="11:15" x14ac:dyDescent="0.25">
      <c r="K597"/>
      <c r="L597"/>
      <c r="M597"/>
      <c r="N597"/>
      <c r="O597"/>
    </row>
    <row r="598" spans="11:15" x14ac:dyDescent="0.25">
      <c r="K598"/>
      <c r="L598"/>
      <c r="M598"/>
      <c r="N598"/>
      <c r="O598"/>
    </row>
    <row r="599" spans="11:15" x14ac:dyDescent="0.25">
      <c r="K599"/>
      <c r="L599"/>
      <c r="M599"/>
      <c r="N599"/>
      <c r="O599"/>
    </row>
    <row r="600" spans="11:15" x14ac:dyDescent="0.25">
      <c r="K600"/>
      <c r="L600"/>
      <c r="M600"/>
      <c r="N600"/>
      <c r="O600"/>
    </row>
    <row r="601" spans="11:15" x14ac:dyDescent="0.25">
      <c r="K601"/>
      <c r="L601"/>
      <c r="M601"/>
      <c r="N601"/>
      <c r="O601"/>
    </row>
    <row r="602" spans="11:15" x14ac:dyDescent="0.25">
      <c r="K602"/>
      <c r="L602"/>
      <c r="M602"/>
      <c r="N602"/>
      <c r="O602"/>
    </row>
    <row r="603" spans="11:15" x14ac:dyDescent="0.25">
      <c r="K603"/>
      <c r="L603"/>
      <c r="M603"/>
      <c r="N603"/>
      <c r="O603"/>
    </row>
    <row r="604" spans="11:15" x14ac:dyDescent="0.25">
      <c r="K604"/>
      <c r="L604"/>
      <c r="M604"/>
      <c r="N604"/>
      <c r="O604"/>
    </row>
    <row r="605" spans="11:15" x14ac:dyDescent="0.25">
      <c r="K605"/>
      <c r="L605"/>
      <c r="M605"/>
      <c r="N605"/>
      <c r="O605"/>
    </row>
    <row r="606" spans="11:15" x14ac:dyDescent="0.25">
      <c r="K606"/>
      <c r="L606"/>
      <c r="M606"/>
      <c r="N606"/>
      <c r="O606"/>
    </row>
    <row r="607" spans="11:15" x14ac:dyDescent="0.25">
      <c r="K607"/>
      <c r="L607"/>
      <c r="M607"/>
      <c r="N607"/>
      <c r="O607"/>
    </row>
    <row r="608" spans="11:15" x14ac:dyDescent="0.25">
      <c r="K608"/>
      <c r="L608"/>
      <c r="M608"/>
      <c r="N608"/>
      <c r="O608"/>
    </row>
    <row r="609" spans="11:15" x14ac:dyDescent="0.25">
      <c r="K609"/>
      <c r="L609"/>
      <c r="M609"/>
      <c r="N609"/>
      <c r="O609"/>
    </row>
    <row r="610" spans="11:15" x14ac:dyDescent="0.25">
      <c r="K610"/>
      <c r="L610"/>
      <c r="M610"/>
      <c r="N610"/>
      <c r="O610"/>
    </row>
    <row r="611" spans="11:15" x14ac:dyDescent="0.25">
      <c r="K611"/>
      <c r="L611"/>
      <c r="M611"/>
      <c r="N611"/>
      <c r="O611"/>
    </row>
    <row r="612" spans="11:15" x14ac:dyDescent="0.25">
      <c r="K612"/>
      <c r="L612"/>
      <c r="M612"/>
      <c r="N612"/>
      <c r="O612"/>
    </row>
    <row r="613" spans="11:15" x14ac:dyDescent="0.25">
      <c r="K613"/>
      <c r="L613"/>
      <c r="M613"/>
      <c r="N613"/>
      <c r="O613"/>
    </row>
    <row r="614" spans="11:15" x14ac:dyDescent="0.25">
      <c r="K614"/>
      <c r="L614"/>
      <c r="M614"/>
      <c r="N614"/>
      <c r="O614"/>
    </row>
    <row r="615" spans="11:15" x14ac:dyDescent="0.25">
      <c r="K615"/>
      <c r="L615"/>
      <c r="M615"/>
      <c r="N615"/>
      <c r="O615"/>
    </row>
    <row r="616" spans="11:15" x14ac:dyDescent="0.25">
      <c r="K616"/>
      <c r="L616"/>
      <c r="M616"/>
      <c r="N616"/>
      <c r="O616"/>
    </row>
    <row r="617" spans="11:15" x14ac:dyDescent="0.25">
      <c r="K617"/>
      <c r="L617"/>
      <c r="M617"/>
      <c r="N617"/>
      <c r="O617"/>
    </row>
    <row r="618" spans="11:15" x14ac:dyDescent="0.25">
      <c r="K618"/>
      <c r="L618"/>
      <c r="M618"/>
      <c r="N618"/>
      <c r="O618"/>
    </row>
    <row r="619" spans="11:15" x14ac:dyDescent="0.25">
      <c r="K619"/>
      <c r="L619"/>
      <c r="M619"/>
      <c r="N619"/>
      <c r="O619"/>
    </row>
    <row r="620" spans="11:15" x14ac:dyDescent="0.25">
      <c r="K620"/>
      <c r="L620"/>
      <c r="M620"/>
      <c r="N620"/>
      <c r="O620"/>
    </row>
    <row r="621" spans="11:15" x14ac:dyDescent="0.25">
      <c r="K621"/>
      <c r="L621"/>
      <c r="M621"/>
      <c r="N621"/>
      <c r="O621"/>
    </row>
    <row r="622" spans="11:15" x14ac:dyDescent="0.25">
      <c r="K622"/>
      <c r="L622"/>
      <c r="M622"/>
      <c r="N622"/>
      <c r="O622"/>
    </row>
    <row r="623" spans="11:15" x14ac:dyDescent="0.25">
      <c r="K623"/>
      <c r="L623"/>
      <c r="M623"/>
      <c r="N623"/>
      <c r="O623"/>
    </row>
    <row r="624" spans="11:15" x14ac:dyDescent="0.25">
      <c r="K624"/>
      <c r="L624"/>
      <c r="M624"/>
      <c r="N624"/>
      <c r="O624"/>
    </row>
    <row r="625" spans="11:15" x14ac:dyDescent="0.25">
      <c r="K625"/>
      <c r="L625"/>
      <c r="M625"/>
      <c r="N625"/>
      <c r="O625"/>
    </row>
    <row r="626" spans="11:15" x14ac:dyDescent="0.25">
      <c r="K626"/>
      <c r="L626"/>
      <c r="M626"/>
      <c r="N626"/>
      <c r="O626"/>
    </row>
    <row r="627" spans="11:15" x14ac:dyDescent="0.25">
      <c r="K627"/>
      <c r="L627"/>
      <c r="M627"/>
      <c r="N627"/>
      <c r="O627"/>
    </row>
    <row r="628" spans="11:15" x14ac:dyDescent="0.25">
      <c r="K628"/>
      <c r="L628"/>
      <c r="M628"/>
      <c r="N628"/>
      <c r="O628"/>
    </row>
    <row r="629" spans="11:15" x14ac:dyDescent="0.25">
      <c r="K629"/>
      <c r="L629"/>
      <c r="M629"/>
      <c r="N629"/>
      <c r="O629"/>
    </row>
    <row r="630" spans="11:15" x14ac:dyDescent="0.25">
      <c r="K630"/>
      <c r="L630"/>
      <c r="M630"/>
      <c r="N630"/>
      <c r="O630"/>
    </row>
    <row r="631" spans="11:15" x14ac:dyDescent="0.25">
      <c r="K631"/>
      <c r="L631"/>
      <c r="M631"/>
      <c r="N631"/>
      <c r="O631"/>
    </row>
    <row r="632" spans="11:15" x14ac:dyDescent="0.25">
      <c r="K632"/>
      <c r="L632"/>
      <c r="M632"/>
      <c r="N632"/>
      <c r="O632"/>
    </row>
    <row r="633" spans="11:15" x14ac:dyDescent="0.25">
      <c r="K633"/>
      <c r="L633"/>
      <c r="M633"/>
      <c r="N633"/>
      <c r="O633"/>
    </row>
    <row r="634" spans="11:15" x14ac:dyDescent="0.25">
      <c r="K634"/>
      <c r="L634"/>
      <c r="M634"/>
      <c r="N634"/>
      <c r="O634"/>
    </row>
    <row r="635" spans="11:15" x14ac:dyDescent="0.25">
      <c r="K635"/>
      <c r="L635"/>
      <c r="M635"/>
      <c r="N635"/>
      <c r="O635"/>
    </row>
    <row r="636" spans="11:15" x14ac:dyDescent="0.25">
      <c r="K636"/>
      <c r="L636"/>
      <c r="M636"/>
      <c r="N636"/>
      <c r="O636"/>
    </row>
    <row r="637" spans="11:15" x14ac:dyDescent="0.25">
      <c r="K637"/>
      <c r="L637"/>
      <c r="M637"/>
      <c r="N637"/>
      <c r="O637"/>
    </row>
    <row r="638" spans="11:15" x14ac:dyDescent="0.25">
      <c r="K638"/>
      <c r="L638"/>
      <c r="M638"/>
      <c r="N638"/>
      <c r="O638"/>
    </row>
    <row r="639" spans="11:15" x14ac:dyDescent="0.25">
      <c r="K639"/>
      <c r="L639"/>
      <c r="M639"/>
      <c r="N639"/>
      <c r="O639"/>
    </row>
    <row r="640" spans="11:15" x14ac:dyDescent="0.25">
      <c r="K640"/>
      <c r="L640"/>
      <c r="M640"/>
      <c r="N640"/>
      <c r="O640"/>
    </row>
    <row r="641" spans="11:15" x14ac:dyDescent="0.25">
      <c r="K641"/>
      <c r="L641"/>
      <c r="M641"/>
      <c r="N641"/>
      <c r="O641"/>
    </row>
    <row r="642" spans="11:15" x14ac:dyDescent="0.25">
      <c r="K642"/>
      <c r="L642"/>
      <c r="M642"/>
      <c r="N642"/>
      <c r="O642"/>
    </row>
    <row r="643" spans="11:15" x14ac:dyDescent="0.25">
      <c r="K643"/>
      <c r="L643"/>
      <c r="M643"/>
      <c r="N643"/>
      <c r="O643"/>
    </row>
    <row r="644" spans="11:15" x14ac:dyDescent="0.25">
      <c r="K644"/>
      <c r="L644"/>
      <c r="M644"/>
      <c r="N644"/>
      <c r="O644"/>
    </row>
    <row r="645" spans="11:15" x14ac:dyDescent="0.25">
      <c r="K645"/>
      <c r="L645"/>
      <c r="M645"/>
      <c r="N645"/>
      <c r="O645"/>
    </row>
    <row r="646" spans="11:15" x14ac:dyDescent="0.25">
      <c r="K646"/>
      <c r="L646"/>
      <c r="M646"/>
      <c r="N646"/>
      <c r="O646"/>
    </row>
    <row r="647" spans="11:15" x14ac:dyDescent="0.25">
      <c r="K647"/>
      <c r="L647"/>
      <c r="M647"/>
      <c r="N647"/>
      <c r="O647"/>
    </row>
    <row r="648" spans="11:15" x14ac:dyDescent="0.25">
      <c r="K648"/>
      <c r="L648"/>
      <c r="M648"/>
      <c r="N648"/>
      <c r="O648"/>
    </row>
    <row r="649" spans="11:15" x14ac:dyDescent="0.25">
      <c r="K649"/>
      <c r="L649"/>
      <c r="M649"/>
      <c r="N649"/>
      <c r="O649"/>
    </row>
    <row r="650" spans="11:15" x14ac:dyDescent="0.25">
      <c r="K650"/>
      <c r="L650"/>
      <c r="M650"/>
      <c r="N650"/>
      <c r="O650"/>
    </row>
    <row r="651" spans="11:15" x14ac:dyDescent="0.25">
      <c r="K651"/>
      <c r="L651"/>
      <c r="M651"/>
      <c r="N651"/>
      <c r="O651"/>
    </row>
    <row r="652" spans="11:15" x14ac:dyDescent="0.25">
      <c r="K652"/>
      <c r="L652"/>
      <c r="M652"/>
      <c r="N652"/>
      <c r="O652"/>
    </row>
    <row r="653" spans="11:15" x14ac:dyDescent="0.25">
      <c r="K653"/>
      <c r="L653"/>
      <c r="M653"/>
      <c r="N653"/>
      <c r="O653"/>
    </row>
    <row r="654" spans="11:15" x14ac:dyDescent="0.25">
      <c r="K654"/>
      <c r="L654"/>
      <c r="M654"/>
      <c r="N654"/>
      <c r="O654"/>
    </row>
    <row r="655" spans="11:15" x14ac:dyDescent="0.25">
      <c r="K655"/>
      <c r="L655"/>
      <c r="M655"/>
      <c r="N655"/>
      <c r="O655"/>
    </row>
    <row r="656" spans="11:15" x14ac:dyDescent="0.25">
      <c r="K656"/>
      <c r="L656"/>
      <c r="M656"/>
      <c r="N656"/>
      <c r="O656"/>
    </row>
    <row r="657" spans="11:15" x14ac:dyDescent="0.25">
      <c r="K657"/>
      <c r="L657"/>
      <c r="M657"/>
      <c r="N657"/>
      <c r="O657"/>
    </row>
    <row r="658" spans="11:15" x14ac:dyDescent="0.25">
      <c r="K658"/>
      <c r="L658"/>
      <c r="M658"/>
      <c r="N658"/>
      <c r="O658"/>
    </row>
    <row r="659" spans="11:15" x14ac:dyDescent="0.25">
      <c r="K659"/>
      <c r="L659"/>
      <c r="M659"/>
      <c r="N659"/>
      <c r="O659"/>
    </row>
    <row r="660" spans="11:15" x14ac:dyDescent="0.25">
      <c r="K660"/>
      <c r="L660"/>
      <c r="M660"/>
      <c r="N660"/>
      <c r="O660"/>
    </row>
    <row r="661" spans="11:15" x14ac:dyDescent="0.25">
      <c r="K661"/>
      <c r="L661"/>
      <c r="M661"/>
      <c r="N661"/>
      <c r="O661"/>
    </row>
    <row r="662" spans="11:15" x14ac:dyDescent="0.25">
      <c r="K662"/>
      <c r="L662"/>
      <c r="M662"/>
      <c r="N662"/>
      <c r="O662"/>
    </row>
    <row r="663" spans="11:15" x14ac:dyDescent="0.25">
      <c r="K663"/>
      <c r="L663"/>
      <c r="M663"/>
      <c r="N663"/>
      <c r="O663"/>
    </row>
    <row r="664" spans="11:15" x14ac:dyDescent="0.25">
      <c r="K664"/>
      <c r="L664"/>
      <c r="M664"/>
      <c r="N664"/>
      <c r="O664"/>
    </row>
    <row r="665" spans="11:15" x14ac:dyDescent="0.25">
      <c r="K665"/>
      <c r="L665"/>
      <c r="M665"/>
      <c r="N665"/>
      <c r="O665"/>
    </row>
    <row r="666" spans="11:15" x14ac:dyDescent="0.25">
      <c r="K666"/>
      <c r="L666"/>
      <c r="M666"/>
      <c r="N666"/>
      <c r="O666"/>
    </row>
    <row r="667" spans="11:15" x14ac:dyDescent="0.25">
      <c r="K667"/>
      <c r="L667"/>
      <c r="M667"/>
      <c r="N667"/>
      <c r="O667"/>
    </row>
    <row r="668" spans="11:15" x14ac:dyDescent="0.25">
      <c r="K668"/>
      <c r="L668"/>
      <c r="M668"/>
      <c r="N668"/>
      <c r="O668"/>
    </row>
    <row r="669" spans="11:15" x14ac:dyDescent="0.25">
      <c r="K669"/>
      <c r="L669"/>
      <c r="M669"/>
      <c r="N669"/>
      <c r="O669"/>
    </row>
    <row r="670" spans="11:15" x14ac:dyDescent="0.25">
      <c r="K670"/>
      <c r="L670"/>
      <c r="M670"/>
      <c r="N670"/>
      <c r="O670"/>
    </row>
    <row r="671" spans="11:15" x14ac:dyDescent="0.25">
      <c r="K671"/>
      <c r="L671"/>
      <c r="M671"/>
      <c r="N671"/>
      <c r="O671"/>
    </row>
    <row r="672" spans="11:15" x14ac:dyDescent="0.25">
      <c r="K672"/>
      <c r="L672"/>
      <c r="M672"/>
      <c r="N672"/>
      <c r="O672"/>
    </row>
    <row r="673" spans="11:15" x14ac:dyDescent="0.25">
      <c r="K673"/>
      <c r="L673"/>
      <c r="M673"/>
      <c r="N673"/>
      <c r="O673"/>
    </row>
    <row r="674" spans="11:15" x14ac:dyDescent="0.25">
      <c r="K674"/>
      <c r="L674"/>
      <c r="M674"/>
      <c r="N674"/>
      <c r="O674"/>
    </row>
    <row r="675" spans="11:15" x14ac:dyDescent="0.25">
      <c r="K675"/>
      <c r="L675"/>
      <c r="M675"/>
      <c r="N675"/>
      <c r="O675"/>
    </row>
    <row r="676" spans="11:15" x14ac:dyDescent="0.25">
      <c r="K676"/>
      <c r="L676"/>
      <c r="M676"/>
      <c r="N676"/>
      <c r="O676"/>
    </row>
    <row r="677" spans="11:15" x14ac:dyDescent="0.25">
      <c r="K677"/>
      <c r="L677"/>
      <c r="M677"/>
      <c r="N677"/>
      <c r="O677"/>
    </row>
    <row r="678" spans="11:15" x14ac:dyDescent="0.25">
      <c r="K678"/>
      <c r="L678"/>
      <c r="M678"/>
      <c r="N678"/>
      <c r="O678"/>
    </row>
    <row r="679" spans="11:15" x14ac:dyDescent="0.25">
      <c r="K679"/>
      <c r="L679"/>
      <c r="M679"/>
      <c r="N679"/>
      <c r="O679"/>
    </row>
    <row r="680" spans="11:15" x14ac:dyDescent="0.25">
      <c r="K680"/>
      <c r="L680"/>
      <c r="M680"/>
      <c r="N680"/>
      <c r="O680"/>
    </row>
    <row r="681" spans="11:15" x14ac:dyDescent="0.25">
      <c r="K681"/>
      <c r="L681"/>
      <c r="M681"/>
      <c r="N681"/>
      <c r="O681"/>
    </row>
    <row r="682" spans="11:15" x14ac:dyDescent="0.25">
      <c r="K682"/>
      <c r="L682"/>
      <c r="M682"/>
      <c r="N682"/>
      <c r="O682"/>
    </row>
    <row r="683" spans="11:15" x14ac:dyDescent="0.25">
      <c r="K683"/>
      <c r="L683"/>
      <c r="M683"/>
      <c r="N683"/>
      <c r="O683"/>
    </row>
    <row r="684" spans="11:15" x14ac:dyDescent="0.25">
      <c r="K684"/>
      <c r="L684"/>
      <c r="M684"/>
      <c r="N684"/>
      <c r="O684"/>
    </row>
    <row r="685" spans="11:15" x14ac:dyDescent="0.25">
      <c r="K685"/>
      <c r="L685"/>
      <c r="M685"/>
      <c r="N685"/>
      <c r="O685"/>
    </row>
    <row r="686" spans="11:15" x14ac:dyDescent="0.25">
      <c r="K686"/>
      <c r="L686"/>
      <c r="M686"/>
      <c r="N686"/>
      <c r="O686"/>
    </row>
    <row r="687" spans="11:15" x14ac:dyDescent="0.25">
      <c r="K687"/>
      <c r="L687"/>
      <c r="M687"/>
      <c r="N687"/>
      <c r="O687"/>
    </row>
    <row r="688" spans="11:15" x14ac:dyDescent="0.25">
      <c r="K688"/>
      <c r="L688"/>
      <c r="M688"/>
      <c r="N688"/>
      <c r="O688"/>
    </row>
    <row r="689" spans="11:15" x14ac:dyDescent="0.25">
      <c r="K689"/>
      <c r="L689"/>
      <c r="M689"/>
      <c r="N689"/>
      <c r="O689"/>
    </row>
    <row r="690" spans="11:15" x14ac:dyDescent="0.25">
      <c r="K690"/>
      <c r="L690"/>
      <c r="M690"/>
      <c r="N690"/>
      <c r="O690"/>
    </row>
    <row r="691" spans="11:15" x14ac:dyDescent="0.25">
      <c r="K691"/>
      <c r="L691"/>
      <c r="M691"/>
      <c r="N691"/>
      <c r="O691"/>
    </row>
    <row r="692" spans="11:15" x14ac:dyDescent="0.25">
      <c r="K692"/>
      <c r="L692"/>
      <c r="M692"/>
      <c r="N692"/>
      <c r="O692"/>
    </row>
    <row r="693" spans="11:15" x14ac:dyDescent="0.25">
      <c r="K693"/>
      <c r="L693"/>
      <c r="M693"/>
      <c r="N693"/>
      <c r="O693"/>
    </row>
    <row r="694" spans="11:15" x14ac:dyDescent="0.25">
      <c r="K694"/>
      <c r="L694"/>
      <c r="M694"/>
      <c r="N694"/>
      <c r="O694"/>
    </row>
    <row r="695" spans="11:15" x14ac:dyDescent="0.25">
      <c r="K695"/>
      <c r="L695"/>
      <c r="M695"/>
      <c r="N695"/>
      <c r="O695"/>
    </row>
    <row r="696" spans="11:15" x14ac:dyDescent="0.25">
      <c r="K696"/>
      <c r="L696"/>
      <c r="M696"/>
      <c r="N696"/>
      <c r="O696"/>
    </row>
    <row r="697" spans="11:15" x14ac:dyDescent="0.25">
      <c r="K697"/>
      <c r="L697"/>
      <c r="M697"/>
      <c r="N697"/>
      <c r="O697"/>
    </row>
    <row r="698" spans="11:15" x14ac:dyDescent="0.25">
      <c r="K698"/>
      <c r="L698"/>
      <c r="M698"/>
      <c r="N698"/>
      <c r="O698"/>
    </row>
    <row r="699" spans="11:15" x14ac:dyDescent="0.25">
      <c r="K699"/>
      <c r="L699"/>
      <c r="M699"/>
      <c r="N699"/>
      <c r="O699"/>
    </row>
    <row r="700" spans="11:15" x14ac:dyDescent="0.25">
      <c r="K700"/>
      <c r="L700"/>
      <c r="M700"/>
      <c r="N700"/>
      <c r="O700"/>
    </row>
    <row r="701" spans="11:15" x14ac:dyDescent="0.25">
      <c r="K701"/>
      <c r="L701"/>
      <c r="M701"/>
      <c r="N701"/>
      <c r="O701"/>
    </row>
    <row r="702" spans="11:15" x14ac:dyDescent="0.25">
      <c r="K702"/>
      <c r="L702"/>
      <c r="M702"/>
      <c r="N702"/>
      <c r="O702"/>
    </row>
    <row r="703" spans="11:15" x14ac:dyDescent="0.25">
      <c r="K703"/>
      <c r="L703"/>
      <c r="M703"/>
      <c r="N703"/>
      <c r="O703"/>
    </row>
    <row r="704" spans="11:15" x14ac:dyDescent="0.25">
      <c r="K704"/>
      <c r="L704"/>
      <c r="M704"/>
      <c r="N704"/>
      <c r="O704"/>
    </row>
    <row r="705" spans="11:15" x14ac:dyDescent="0.25">
      <c r="K705"/>
      <c r="L705"/>
      <c r="M705"/>
      <c r="N705"/>
      <c r="O705"/>
    </row>
    <row r="706" spans="11:15" x14ac:dyDescent="0.25">
      <c r="K706"/>
      <c r="L706"/>
      <c r="M706"/>
      <c r="N706"/>
      <c r="O706"/>
    </row>
    <row r="707" spans="11:15" x14ac:dyDescent="0.25">
      <c r="K707"/>
      <c r="L707"/>
      <c r="M707"/>
      <c r="N707"/>
      <c r="O707"/>
    </row>
    <row r="708" spans="11:15" x14ac:dyDescent="0.25">
      <c r="K708"/>
      <c r="L708"/>
      <c r="M708"/>
      <c r="N708"/>
      <c r="O708"/>
    </row>
    <row r="709" spans="11:15" x14ac:dyDescent="0.25">
      <c r="K709"/>
      <c r="L709"/>
      <c r="M709"/>
      <c r="N709"/>
      <c r="O709"/>
    </row>
    <row r="710" spans="11:15" x14ac:dyDescent="0.25">
      <c r="K710"/>
      <c r="L710"/>
      <c r="M710"/>
      <c r="N710"/>
      <c r="O710"/>
    </row>
    <row r="711" spans="11:15" x14ac:dyDescent="0.25">
      <c r="K711"/>
      <c r="L711"/>
      <c r="M711"/>
      <c r="N711"/>
      <c r="O711"/>
    </row>
    <row r="712" spans="11:15" x14ac:dyDescent="0.25">
      <c r="K712"/>
      <c r="L712"/>
      <c r="M712"/>
      <c r="N712"/>
      <c r="O712"/>
    </row>
    <row r="713" spans="11:15" x14ac:dyDescent="0.25">
      <c r="K713"/>
      <c r="L713"/>
      <c r="M713"/>
      <c r="N713"/>
      <c r="O713"/>
    </row>
    <row r="714" spans="11:15" x14ac:dyDescent="0.25">
      <c r="K714"/>
      <c r="L714"/>
      <c r="M714"/>
      <c r="N714"/>
      <c r="O714"/>
    </row>
    <row r="715" spans="11:15" x14ac:dyDescent="0.25">
      <c r="K715"/>
      <c r="L715"/>
      <c r="M715"/>
      <c r="N715"/>
      <c r="O715"/>
    </row>
    <row r="716" spans="11:15" x14ac:dyDescent="0.25">
      <c r="K716"/>
      <c r="L716"/>
      <c r="M716"/>
      <c r="N716"/>
      <c r="O716"/>
    </row>
    <row r="717" spans="11:15" x14ac:dyDescent="0.25">
      <c r="K717"/>
      <c r="L717"/>
      <c r="M717"/>
      <c r="N717"/>
      <c r="O717"/>
    </row>
    <row r="718" spans="11:15" x14ac:dyDescent="0.25">
      <c r="K718"/>
      <c r="L718"/>
      <c r="M718"/>
      <c r="N718"/>
      <c r="O718"/>
    </row>
    <row r="719" spans="11:15" x14ac:dyDescent="0.25">
      <c r="K719"/>
      <c r="L719"/>
      <c r="M719"/>
      <c r="N719"/>
      <c r="O719"/>
    </row>
    <row r="720" spans="11:15" x14ac:dyDescent="0.25">
      <c r="K720"/>
      <c r="L720"/>
      <c r="M720"/>
      <c r="N720"/>
      <c r="O720"/>
    </row>
    <row r="721" spans="11:15" x14ac:dyDescent="0.25">
      <c r="K721"/>
      <c r="L721"/>
      <c r="M721"/>
      <c r="N721"/>
      <c r="O721"/>
    </row>
    <row r="722" spans="11:15" x14ac:dyDescent="0.25">
      <c r="K722"/>
      <c r="L722"/>
      <c r="M722"/>
      <c r="N722"/>
      <c r="O722"/>
    </row>
    <row r="723" spans="11:15" x14ac:dyDescent="0.25">
      <c r="K723"/>
      <c r="L723"/>
      <c r="M723"/>
      <c r="N723"/>
      <c r="O723"/>
    </row>
    <row r="724" spans="11:15" x14ac:dyDescent="0.25">
      <c r="K724"/>
      <c r="L724"/>
      <c r="M724"/>
      <c r="N724"/>
      <c r="O724"/>
    </row>
    <row r="725" spans="11:15" x14ac:dyDescent="0.25">
      <c r="K725"/>
      <c r="L725"/>
      <c r="M725"/>
      <c r="N725"/>
      <c r="O725"/>
    </row>
    <row r="726" spans="11:15" x14ac:dyDescent="0.25">
      <c r="K726"/>
      <c r="L726"/>
      <c r="M726"/>
      <c r="N726"/>
      <c r="O726"/>
    </row>
    <row r="727" spans="11:15" x14ac:dyDescent="0.25">
      <c r="K727"/>
      <c r="L727"/>
      <c r="M727"/>
      <c r="N727"/>
      <c r="O727"/>
    </row>
    <row r="728" spans="11:15" x14ac:dyDescent="0.25">
      <c r="K728"/>
      <c r="L728"/>
      <c r="M728"/>
      <c r="N728"/>
      <c r="O728"/>
    </row>
    <row r="729" spans="11:15" x14ac:dyDescent="0.25">
      <c r="K729"/>
      <c r="L729"/>
      <c r="M729"/>
      <c r="N729"/>
      <c r="O729"/>
    </row>
    <row r="730" spans="11:15" x14ac:dyDescent="0.25">
      <c r="K730"/>
      <c r="L730"/>
      <c r="M730"/>
      <c r="N730"/>
      <c r="O730"/>
    </row>
    <row r="731" spans="11:15" x14ac:dyDescent="0.25">
      <c r="K731"/>
      <c r="L731"/>
      <c r="M731"/>
      <c r="N731"/>
      <c r="O731"/>
    </row>
    <row r="732" spans="11:15" x14ac:dyDescent="0.25">
      <c r="K732"/>
      <c r="L732"/>
      <c r="M732"/>
      <c r="N732"/>
      <c r="O732"/>
    </row>
    <row r="733" spans="11:15" x14ac:dyDescent="0.25">
      <c r="K733"/>
      <c r="L733"/>
      <c r="M733"/>
      <c r="N733"/>
      <c r="O733"/>
    </row>
    <row r="734" spans="11:15" x14ac:dyDescent="0.25">
      <c r="K734"/>
      <c r="L734"/>
      <c r="M734"/>
      <c r="N734"/>
      <c r="O734"/>
    </row>
    <row r="735" spans="11:15" x14ac:dyDescent="0.25">
      <c r="K735"/>
      <c r="L735"/>
      <c r="M735"/>
      <c r="N735"/>
      <c r="O735"/>
    </row>
    <row r="736" spans="11:15" x14ac:dyDescent="0.25">
      <c r="K736"/>
      <c r="L736"/>
      <c r="M736"/>
      <c r="N736"/>
      <c r="O736"/>
    </row>
    <row r="737" spans="11:15" x14ac:dyDescent="0.25">
      <c r="K737"/>
      <c r="L737"/>
      <c r="M737"/>
      <c r="N737"/>
      <c r="O737"/>
    </row>
    <row r="738" spans="11:15" x14ac:dyDescent="0.25">
      <c r="K738"/>
      <c r="L738"/>
      <c r="M738"/>
      <c r="N738"/>
      <c r="O738"/>
    </row>
    <row r="739" spans="11:15" x14ac:dyDescent="0.25">
      <c r="K739"/>
      <c r="L739"/>
      <c r="M739"/>
      <c r="N739"/>
      <c r="O739"/>
    </row>
    <row r="740" spans="11:15" x14ac:dyDescent="0.25">
      <c r="K740"/>
      <c r="L740"/>
      <c r="M740"/>
      <c r="N740"/>
      <c r="O740"/>
    </row>
    <row r="741" spans="11:15" x14ac:dyDescent="0.25">
      <c r="K741"/>
      <c r="L741"/>
      <c r="M741"/>
      <c r="N741"/>
      <c r="O741"/>
    </row>
    <row r="742" spans="11:15" x14ac:dyDescent="0.25">
      <c r="K742"/>
      <c r="L742"/>
      <c r="M742"/>
      <c r="N742"/>
      <c r="O742"/>
    </row>
    <row r="743" spans="11:15" x14ac:dyDescent="0.25">
      <c r="K743"/>
      <c r="L743"/>
      <c r="M743"/>
      <c r="N743"/>
      <c r="O743"/>
    </row>
    <row r="744" spans="11:15" x14ac:dyDescent="0.25">
      <c r="K744"/>
      <c r="L744"/>
      <c r="M744"/>
      <c r="N744"/>
      <c r="O744"/>
    </row>
    <row r="745" spans="11:15" x14ac:dyDescent="0.25">
      <c r="K745"/>
      <c r="L745"/>
      <c r="M745"/>
      <c r="N745"/>
      <c r="O745"/>
    </row>
    <row r="746" spans="11:15" x14ac:dyDescent="0.25">
      <c r="K746"/>
      <c r="L746"/>
      <c r="M746"/>
      <c r="N746"/>
      <c r="O746"/>
    </row>
    <row r="747" spans="11:15" x14ac:dyDescent="0.25">
      <c r="K747"/>
      <c r="L747"/>
      <c r="M747"/>
      <c r="N747"/>
      <c r="O747"/>
    </row>
    <row r="748" spans="11:15" x14ac:dyDescent="0.25">
      <c r="K748"/>
      <c r="L748"/>
      <c r="M748"/>
      <c r="N748"/>
      <c r="O748"/>
    </row>
    <row r="749" spans="11:15" x14ac:dyDescent="0.25">
      <c r="K749"/>
      <c r="L749"/>
      <c r="M749"/>
      <c r="N749"/>
      <c r="O749"/>
    </row>
    <row r="750" spans="11:15" x14ac:dyDescent="0.25">
      <c r="K750"/>
      <c r="L750"/>
      <c r="M750"/>
      <c r="N750"/>
      <c r="O750"/>
    </row>
    <row r="751" spans="11:15" x14ac:dyDescent="0.25">
      <c r="K751"/>
      <c r="L751"/>
      <c r="M751"/>
      <c r="N751"/>
      <c r="O751"/>
    </row>
    <row r="752" spans="11:15" x14ac:dyDescent="0.25">
      <c r="K752"/>
      <c r="L752"/>
      <c r="M752"/>
      <c r="N752"/>
      <c r="O752"/>
    </row>
    <row r="753" spans="11:15" x14ac:dyDescent="0.25">
      <c r="K753"/>
      <c r="L753"/>
      <c r="M753"/>
      <c r="N753"/>
      <c r="O753"/>
    </row>
    <row r="754" spans="11:15" x14ac:dyDescent="0.25">
      <c r="K754"/>
      <c r="L754"/>
      <c r="M754"/>
      <c r="N754"/>
      <c r="O754"/>
    </row>
    <row r="755" spans="11:15" x14ac:dyDescent="0.25">
      <c r="K755"/>
      <c r="L755"/>
      <c r="M755"/>
      <c r="N755"/>
      <c r="O755"/>
    </row>
    <row r="756" spans="11:15" x14ac:dyDescent="0.25">
      <c r="K756"/>
      <c r="L756"/>
      <c r="M756"/>
      <c r="N756"/>
      <c r="O756"/>
    </row>
    <row r="757" spans="11:15" x14ac:dyDescent="0.25">
      <c r="K757"/>
      <c r="L757"/>
      <c r="M757"/>
      <c r="N757"/>
      <c r="O757"/>
    </row>
    <row r="758" spans="11:15" x14ac:dyDescent="0.25">
      <c r="K758"/>
      <c r="L758"/>
      <c r="M758"/>
      <c r="N758"/>
      <c r="O758"/>
    </row>
    <row r="759" spans="11:15" x14ac:dyDescent="0.25">
      <c r="K759"/>
      <c r="L759"/>
      <c r="M759"/>
      <c r="N759"/>
      <c r="O759"/>
    </row>
    <row r="760" spans="11:15" x14ac:dyDescent="0.25">
      <c r="K760"/>
      <c r="L760"/>
      <c r="M760"/>
      <c r="N760"/>
      <c r="O760"/>
    </row>
    <row r="761" spans="11:15" x14ac:dyDescent="0.25">
      <c r="K761"/>
      <c r="L761"/>
      <c r="M761"/>
      <c r="N761"/>
      <c r="O761"/>
    </row>
    <row r="762" spans="11:15" x14ac:dyDescent="0.25">
      <c r="K762"/>
      <c r="L762"/>
      <c r="M762"/>
      <c r="N762"/>
      <c r="O762"/>
    </row>
    <row r="763" spans="11:15" x14ac:dyDescent="0.25">
      <c r="K763"/>
      <c r="L763"/>
      <c r="M763"/>
      <c r="N763"/>
      <c r="O763"/>
    </row>
    <row r="764" spans="11:15" x14ac:dyDescent="0.25">
      <c r="K764"/>
      <c r="L764"/>
      <c r="M764"/>
      <c r="N764"/>
      <c r="O764"/>
    </row>
    <row r="765" spans="11:15" x14ac:dyDescent="0.25">
      <c r="K765"/>
      <c r="L765"/>
      <c r="M765"/>
      <c r="N765"/>
      <c r="O765"/>
    </row>
    <row r="766" spans="11:15" x14ac:dyDescent="0.25">
      <c r="K766"/>
      <c r="L766"/>
      <c r="M766"/>
      <c r="N766"/>
      <c r="O766"/>
    </row>
    <row r="767" spans="11:15" x14ac:dyDescent="0.25">
      <c r="K767"/>
      <c r="L767"/>
      <c r="M767"/>
      <c r="N767"/>
      <c r="O767"/>
    </row>
    <row r="768" spans="11:15" x14ac:dyDescent="0.25">
      <c r="K768"/>
      <c r="L768"/>
      <c r="M768"/>
      <c r="N768"/>
      <c r="O768"/>
    </row>
    <row r="769" spans="11:15" x14ac:dyDescent="0.25">
      <c r="K769"/>
      <c r="L769"/>
      <c r="M769"/>
      <c r="N769"/>
      <c r="O769"/>
    </row>
    <row r="770" spans="11:15" x14ac:dyDescent="0.25">
      <c r="K770"/>
      <c r="L770"/>
      <c r="M770"/>
      <c r="N770"/>
      <c r="O770"/>
    </row>
    <row r="771" spans="11:15" x14ac:dyDescent="0.25">
      <c r="K771"/>
      <c r="L771"/>
      <c r="M771"/>
      <c r="N771"/>
      <c r="O771"/>
    </row>
    <row r="772" spans="11:15" x14ac:dyDescent="0.25">
      <c r="K772"/>
      <c r="L772"/>
      <c r="M772"/>
      <c r="N772"/>
      <c r="O772"/>
    </row>
    <row r="773" spans="11:15" x14ac:dyDescent="0.25">
      <c r="K773"/>
      <c r="L773"/>
      <c r="M773"/>
      <c r="N773"/>
      <c r="O773"/>
    </row>
    <row r="774" spans="11:15" x14ac:dyDescent="0.25">
      <c r="K774"/>
      <c r="L774"/>
      <c r="M774"/>
      <c r="N774"/>
      <c r="O774"/>
    </row>
    <row r="775" spans="11:15" x14ac:dyDescent="0.25">
      <c r="K775"/>
      <c r="L775"/>
      <c r="M775"/>
      <c r="N775"/>
      <c r="O775"/>
    </row>
    <row r="776" spans="11:15" x14ac:dyDescent="0.25">
      <c r="K776"/>
      <c r="L776"/>
      <c r="M776"/>
      <c r="N776"/>
      <c r="O776"/>
    </row>
    <row r="777" spans="11:15" x14ac:dyDescent="0.25">
      <c r="K777"/>
      <c r="L777"/>
      <c r="M777"/>
      <c r="N777"/>
      <c r="O777"/>
    </row>
    <row r="778" spans="11:15" x14ac:dyDescent="0.25">
      <c r="K778"/>
      <c r="L778"/>
      <c r="M778"/>
      <c r="N778"/>
      <c r="O778"/>
    </row>
    <row r="779" spans="11:15" x14ac:dyDescent="0.25">
      <c r="K779"/>
      <c r="L779"/>
      <c r="M779"/>
      <c r="N779"/>
      <c r="O779"/>
    </row>
    <row r="780" spans="11:15" x14ac:dyDescent="0.25">
      <c r="K780"/>
      <c r="L780"/>
      <c r="M780"/>
      <c r="N780"/>
      <c r="O780"/>
    </row>
    <row r="781" spans="11:15" x14ac:dyDescent="0.25">
      <c r="K781"/>
      <c r="L781"/>
      <c r="M781"/>
      <c r="N781"/>
      <c r="O781"/>
    </row>
    <row r="782" spans="11:15" x14ac:dyDescent="0.25">
      <c r="K782"/>
      <c r="L782"/>
      <c r="M782"/>
      <c r="N782"/>
      <c r="O782"/>
    </row>
    <row r="783" spans="11:15" x14ac:dyDescent="0.25">
      <c r="K783"/>
      <c r="L783"/>
      <c r="M783"/>
      <c r="N783"/>
      <c r="O783"/>
    </row>
    <row r="784" spans="11:15" x14ac:dyDescent="0.25">
      <c r="K784"/>
      <c r="L784"/>
      <c r="M784"/>
      <c r="N784"/>
      <c r="O784"/>
    </row>
    <row r="785" spans="11:15" x14ac:dyDescent="0.25">
      <c r="K785"/>
      <c r="L785"/>
      <c r="M785"/>
      <c r="N785"/>
      <c r="O785"/>
    </row>
    <row r="786" spans="11:15" x14ac:dyDescent="0.25">
      <c r="K786"/>
      <c r="L786"/>
      <c r="M786"/>
      <c r="N786"/>
      <c r="O786"/>
    </row>
    <row r="787" spans="11:15" x14ac:dyDescent="0.25">
      <c r="K787"/>
      <c r="L787"/>
      <c r="M787"/>
      <c r="N787"/>
      <c r="O787"/>
    </row>
    <row r="788" spans="11:15" x14ac:dyDescent="0.25">
      <c r="K788"/>
      <c r="L788"/>
      <c r="M788"/>
      <c r="N788"/>
      <c r="O788"/>
    </row>
    <row r="789" spans="11:15" x14ac:dyDescent="0.25">
      <c r="K789"/>
      <c r="L789"/>
      <c r="M789"/>
      <c r="N789"/>
      <c r="O789"/>
    </row>
    <row r="790" spans="11:15" x14ac:dyDescent="0.25">
      <c r="K790"/>
      <c r="L790"/>
      <c r="M790"/>
      <c r="N790"/>
      <c r="O790"/>
    </row>
    <row r="791" spans="11:15" x14ac:dyDescent="0.25">
      <c r="K791"/>
      <c r="L791"/>
      <c r="M791"/>
      <c r="N791"/>
      <c r="O791"/>
    </row>
    <row r="792" spans="11:15" x14ac:dyDescent="0.25">
      <c r="K792"/>
      <c r="L792"/>
      <c r="M792"/>
      <c r="N792"/>
      <c r="O792"/>
    </row>
    <row r="793" spans="11:15" x14ac:dyDescent="0.25">
      <c r="K793"/>
      <c r="L793"/>
      <c r="M793"/>
      <c r="N793"/>
      <c r="O793"/>
    </row>
    <row r="794" spans="11:15" x14ac:dyDescent="0.25">
      <c r="K794"/>
      <c r="L794"/>
      <c r="M794"/>
      <c r="N794"/>
      <c r="O794"/>
    </row>
    <row r="795" spans="11:15" x14ac:dyDescent="0.25">
      <c r="K795"/>
      <c r="L795"/>
      <c r="M795"/>
      <c r="N795"/>
      <c r="O795"/>
    </row>
    <row r="796" spans="11:15" x14ac:dyDescent="0.25">
      <c r="K796"/>
      <c r="L796"/>
      <c r="M796"/>
      <c r="N796"/>
      <c r="O796"/>
    </row>
    <row r="797" spans="11:15" x14ac:dyDescent="0.25">
      <c r="K797"/>
      <c r="L797"/>
      <c r="M797"/>
      <c r="N797"/>
      <c r="O797"/>
    </row>
    <row r="798" spans="11:15" x14ac:dyDescent="0.25">
      <c r="K798"/>
      <c r="L798"/>
      <c r="M798"/>
      <c r="N798"/>
      <c r="O798"/>
    </row>
    <row r="799" spans="11:15" x14ac:dyDescent="0.25">
      <c r="K799"/>
      <c r="L799"/>
      <c r="M799"/>
      <c r="N799"/>
      <c r="O799"/>
    </row>
    <row r="800" spans="11:15" x14ac:dyDescent="0.25">
      <c r="K800"/>
      <c r="L800"/>
      <c r="M800"/>
      <c r="N800"/>
      <c r="O800"/>
    </row>
    <row r="801" spans="11:15" x14ac:dyDescent="0.25">
      <c r="K801"/>
      <c r="L801"/>
      <c r="M801"/>
      <c r="N801"/>
      <c r="O801"/>
    </row>
    <row r="802" spans="11:15" x14ac:dyDescent="0.25">
      <c r="K802"/>
      <c r="L802"/>
      <c r="M802"/>
      <c r="N802"/>
      <c r="O802"/>
    </row>
    <row r="803" spans="11:15" x14ac:dyDescent="0.25">
      <c r="K803"/>
      <c r="L803"/>
      <c r="M803"/>
      <c r="N803"/>
      <c r="O803"/>
    </row>
    <row r="804" spans="11:15" x14ac:dyDescent="0.25">
      <c r="K804"/>
      <c r="L804"/>
      <c r="M804"/>
      <c r="N804"/>
      <c r="O804"/>
    </row>
    <row r="805" spans="11:15" x14ac:dyDescent="0.25">
      <c r="K805"/>
      <c r="L805"/>
      <c r="M805"/>
      <c r="N805"/>
      <c r="O805"/>
    </row>
    <row r="806" spans="11:15" x14ac:dyDescent="0.25">
      <c r="K806"/>
      <c r="L806"/>
      <c r="M806"/>
      <c r="N806"/>
      <c r="O806"/>
    </row>
    <row r="807" spans="11:15" x14ac:dyDescent="0.25">
      <c r="K807"/>
      <c r="L807"/>
      <c r="M807"/>
      <c r="N807"/>
      <c r="O807"/>
    </row>
    <row r="808" spans="11:15" x14ac:dyDescent="0.25">
      <c r="K808"/>
      <c r="L808"/>
      <c r="M808"/>
      <c r="N808"/>
      <c r="O808"/>
    </row>
    <row r="809" spans="11:15" x14ac:dyDescent="0.25">
      <c r="K809"/>
      <c r="L809"/>
      <c r="M809"/>
      <c r="N809"/>
      <c r="O809"/>
    </row>
    <row r="810" spans="11:15" x14ac:dyDescent="0.25">
      <c r="K810"/>
      <c r="L810"/>
      <c r="M810"/>
      <c r="N810"/>
      <c r="O810"/>
    </row>
    <row r="811" spans="11:15" x14ac:dyDescent="0.25">
      <c r="K811"/>
      <c r="L811"/>
      <c r="M811"/>
      <c r="N811"/>
      <c r="O811"/>
    </row>
    <row r="812" spans="11:15" x14ac:dyDescent="0.25">
      <c r="K812"/>
      <c r="L812"/>
      <c r="M812"/>
      <c r="N812"/>
      <c r="O812"/>
    </row>
    <row r="813" spans="11:15" x14ac:dyDescent="0.25">
      <c r="K813"/>
      <c r="L813"/>
      <c r="M813"/>
      <c r="N813"/>
      <c r="O813"/>
    </row>
    <row r="814" spans="11:15" x14ac:dyDescent="0.25">
      <c r="K814"/>
      <c r="L814"/>
      <c r="M814"/>
      <c r="N814"/>
      <c r="O814"/>
    </row>
    <row r="815" spans="11:15" x14ac:dyDescent="0.25">
      <c r="K815"/>
      <c r="L815"/>
      <c r="M815"/>
      <c r="N815"/>
      <c r="O815"/>
    </row>
    <row r="816" spans="11:15" x14ac:dyDescent="0.25">
      <c r="K816"/>
      <c r="L816"/>
      <c r="M816"/>
      <c r="N816"/>
      <c r="O816"/>
    </row>
    <row r="817" spans="11:15" x14ac:dyDescent="0.25">
      <c r="K817"/>
      <c r="L817"/>
      <c r="M817"/>
      <c r="N817"/>
      <c r="O817"/>
    </row>
    <row r="818" spans="11:15" x14ac:dyDescent="0.25">
      <c r="K818"/>
      <c r="L818"/>
      <c r="M818"/>
      <c r="N818"/>
      <c r="O818"/>
    </row>
    <row r="819" spans="11:15" x14ac:dyDescent="0.25">
      <c r="K819"/>
      <c r="L819"/>
      <c r="M819"/>
      <c r="N819"/>
      <c r="O819"/>
    </row>
    <row r="820" spans="11:15" x14ac:dyDescent="0.25">
      <c r="K820"/>
      <c r="L820"/>
      <c r="M820"/>
      <c r="N820"/>
      <c r="O820"/>
    </row>
    <row r="821" spans="11:15" x14ac:dyDescent="0.25">
      <c r="K821"/>
      <c r="L821"/>
      <c r="M821"/>
      <c r="N821"/>
      <c r="O821"/>
    </row>
    <row r="822" spans="11:15" x14ac:dyDescent="0.25">
      <c r="K822"/>
      <c r="L822"/>
      <c r="M822"/>
      <c r="N822"/>
      <c r="O822"/>
    </row>
    <row r="823" spans="11:15" x14ac:dyDescent="0.25">
      <c r="K823"/>
      <c r="L823"/>
      <c r="M823"/>
      <c r="N823"/>
      <c r="O823"/>
    </row>
    <row r="824" spans="11:15" x14ac:dyDescent="0.25">
      <c r="K824"/>
      <c r="L824"/>
      <c r="M824"/>
      <c r="N824"/>
      <c r="O824"/>
    </row>
    <row r="825" spans="11:15" x14ac:dyDescent="0.25">
      <c r="K825"/>
      <c r="L825"/>
      <c r="M825"/>
      <c r="N825"/>
      <c r="O825"/>
    </row>
    <row r="826" spans="11:15" x14ac:dyDescent="0.25">
      <c r="K826"/>
      <c r="L826"/>
      <c r="M826"/>
      <c r="N826"/>
      <c r="O826"/>
    </row>
    <row r="827" spans="11:15" x14ac:dyDescent="0.25">
      <c r="K827"/>
      <c r="L827"/>
      <c r="M827"/>
      <c r="N827"/>
      <c r="O827"/>
    </row>
    <row r="828" spans="11:15" x14ac:dyDescent="0.25">
      <c r="K828"/>
      <c r="L828"/>
      <c r="M828"/>
      <c r="N828"/>
      <c r="O828"/>
    </row>
    <row r="829" spans="11:15" x14ac:dyDescent="0.25">
      <c r="K829"/>
      <c r="L829"/>
      <c r="M829"/>
      <c r="N829"/>
      <c r="O829"/>
    </row>
    <row r="830" spans="11:15" x14ac:dyDescent="0.25">
      <c r="K830"/>
      <c r="L830"/>
      <c r="M830"/>
      <c r="N830"/>
      <c r="O830"/>
    </row>
    <row r="831" spans="11:15" x14ac:dyDescent="0.25">
      <c r="K831"/>
      <c r="L831"/>
      <c r="M831"/>
      <c r="N831"/>
      <c r="O831"/>
    </row>
    <row r="832" spans="11:15" x14ac:dyDescent="0.25">
      <c r="K832"/>
      <c r="L832"/>
      <c r="M832"/>
      <c r="N832"/>
      <c r="O832"/>
    </row>
    <row r="833" spans="11:15" x14ac:dyDescent="0.25">
      <c r="K833"/>
      <c r="L833"/>
      <c r="M833"/>
      <c r="N833"/>
      <c r="O833"/>
    </row>
    <row r="834" spans="11:15" x14ac:dyDescent="0.25">
      <c r="K834"/>
      <c r="L834"/>
      <c r="M834"/>
      <c r="N834"/>
      <c r="O834"/>
    </row>
    <row r="835" spans="11:15" x14ac:dyDescent="0.25">
      <c r="K835"/>
      <c r="L835"/>
      <c r="M835"/>
      <c r="N835"/>
      <c r="O835"/>
    </row>
    <row r="836" spans="11:15" x14ac:dyDescent="0.25">
      <c r="K836"/>
      <c r="L836"/>
      <c r="M836"/>
      <c r="N836"/>
      <c r="O836"/>
    </row>
    <row r="837" spans="11:15" x14ac:dyDescent="0.25">
      <c r="K837"/>
      <c r="L837"/>
      <c r="M837"/>
      <c r="N837"/>
      <c r="O837"/>
    </row>
    <row r="838" spans="11:15" x14ac:dyDescent="0.25">
      <c r="K838"/>
      <c r="L838"/>
      <c r="M838"/>
      <c r="N838"/>
      <c r="O838"/>
    </row>
    <row r="839" spans="11:15" x14ac:dyDescent="0.25">
      <c r="K839"/>
      <c r="L839"/>
      <c r="M839"/>
      <c r="N839"/>
      <c r="O839"/>
    </row>
    <row r="840" spans="11:15" x14ac:dyDescent="0.25">
      <c r="K840"/>
      <c r="L840"/>
      <c r="M840"/>
      <c r="N840"/>
      <c r="O840"/>
    </row>
    <row r="841" spans="11:15" x14ac:dyDescent="0.25">
      <c r="K841"/>
      <c r="L841"/>
      <c r="M841"/>
      <c r="N841"/>
      <c r="O841"/>
    </row>
    <row r="842" spans="11:15" x14ac:dyDescent="0.25">
      <c r="K842"/>
      <c r="L842"/>
      <c r="M842"/>
      <c r="N842"/>
      <c r="O842"/>
    </row>
    <row r="843" spans="11:15" x14ac:dyDescent="0.25">
      <c r="K843"/>
      <c r="L843"/>
      <c r="M843"/>
      <c r="N843"/>
      <c r="O843"/>
    </row>
    <row r="844" spans="11:15" x14ac:dyDescent="0.25">
      <c r="K844"/>
      <c r="L844"/>
      <c r="M844"/>
      <c r="N844"/>
      <c r="O844"/>
    </row>
    <row r="845" spans="11:15" x14ac:dyDescent="0.25">
      <c r="K845"/>
      <c r="L845"/>
      <c r="M845"/>
      <c r="N845"/>
      <c r="O845"/>
    </row>
    <row r="846" spans="11:15" x14ac:dyDescent="0.25">
      <c r="K846"/>
      <c r="L846"/>
      <c r="M846"/>
      <c r="N846"/>
      <c r="O846"/>
    </row>
    <row r="847" spans="11:15" x14ac:dyDescent="0.25">
      <c r="K847"/>
      <c r="L847"/>
      <c r="M847"/>
      <c r="N847"/>
      <c r="O847"/>
    </row>
    <row r="848" spans="11:15" x14ac:dyDescent="0.25">
      <c r="K848"/>
      <c r="L848"/>
      <c r="M848"/>
      <c r="N848"/>
      <c r="O848"/>
    </row>
    <row r="849" spans="11:15" x14ac:dyDescent="0.25">
      <c r="K849"/>
      <c r="L849"/>
      <c r="M849"/>
      <c r="N849"/>
      <c r="O849"/>
    </row>
    <row r="850" spans="11:15" x14ac:dyDescent="0.25">
      <c r="K850"/>
      <c r="L850"/>
      <c r="M850"/>
      <c r="N850"/>
      <c r="O850"/>
    </row>
    <row r="851" spans="11:15" x14ac:dyDescent="0.25">
      <c r="K851"/>
      <c r="L851"/>
      <c r="M851"/>
      <c r="N851"/>
      <c r="O851"/>
    </row>
    <row r="852" spans="11:15" x14ac:dyDescent="0.25">
      <c r="K852"/>
      <c r="L852"/>
      <c r="M852"/>
      <c r="N852"/>
      <c r="O852"/>
    </row>
    <row r="853" spans="11:15" x14ac:dyDescent="0.25">
      <c r="K853"/>
      <c r="L853"/>
      <c r="M853"/>
      <c r="N853"/>
      <c r="O853"/>
    </row>
    <row r="854" spans="11:15" x14ac:dyDescent="0.25">
      <c r="K854"/>
      <c r="L854"/>
      <c r="M854"/>
      <c r="N854"/>
      <c r="O854"/>
    </row>
    <row r="855" spans="11:15" x14ac:dyDescent="0.25">
      <c r="K855"/>
      <c r="L855"/>
      <c r="M855"/>
      <c r="N855"/>
      <c r="O855"/>
    </row>
    <row r="856" spans="11:15" x14ac:dyDescent="0.25">
      <c r="K856"/>
      <c r="L856"/>
      <c r="M856"/>
      <c r="N856"/>
      <c r="O856"/>
    </row>
    <row r="857" spans="11:15" x14ac:dyDescent="0.25">
      <c r="K857"/>
      <c r="L857"/>
      <c r="M857"/>
      <c r="N857"/>
      <c r="O857"/>
    </row>
    <row r="858" spans="11:15" x14ac:dyDescent="0.25">
      <c r="K858"/>
      <c r="L858"/>
      <c r="M858"/>
      <c r="N858"/>
      <c r="O858"/>
    </row>
    <row r="859" spans="11:15" x14ac:dyDescent="0.25">
      <c r="K859"/>
      <c r="L859"/>
      <c r="M859"/>
      <c r="N859"/>
      <c r="O859"/>
    </row>
    <row r="860" spans="11:15" x14ac:dyDescent="0.25">
      <c r="K860"/>
      <c r="L860"/>
      <c r="M860"/>
      <c r="N860"/>
      <c r="O860"/>
    </row>
    <row r="861" spans="11:15" x14ac:dyDescent="0.25">
      <c r="K861"/>
      <c r="L861"/>
      <c r="M861"/>
      <c r="N861"/>
      <c r="O861"/>
    </row>
    <row r="862" spans="11:15" x14ac:dyDescent="0.25">
      <c r="K862"/>
      <c r="L862"/>
      <c r="M862"/>
      <c r="N862"/>
      <c r="O862"/>
    </row>
    <row r="863" spans="11:15" x14ac:dyDescent="0.25">
      <c r="K863"/>
      <c r="L863"/>
      <c r="M863"/>
      <c r="N863"/>
      <c r="O863"/>
    </row>
    <row r="864" spans="11:15" x14ac:dyDescent="0.25">
      <c r="K864"/>
      <c r="L864"/>
      <c r="M864"/>
      <c r="N864"/>
      <c r="O864"/>
    </row>
    <row r="865" spans="11:15" x14ac:dyDescent="0.25">
      <c r="K865"/>
      <c r="L865"/>
      <c r="M865"/>
      <c r="N865"/>
      <c r="O865"/>
    </row>
    <row r="866" spans="11:15" x14ac:dyDescent="0.25">
      <c r="K866"/>
      <c r="L866"/>
      <c r="M866"/>
      <c r="N866"/>
      <c r="O866"/>
    </row>
    <row r="867" spans="11:15" x14ac:dyDescent="0.25">
      <c r="K867"/>
      <c r="L867"/>
      <c r="M867"/>
      <c r="N867"/>
      <c r="O867"/>
    </row>
    <row r="868" spans="11:15" x14ac:dyDescent="0.25">
      <c r="K868"/>
      <c r="L868"/>
      <c r="M868"/>
      <c r="N868"/>
      <c r="O868"/>
    </row>
    <row r="869" spans="11:15" x14ac:dyDescent="0.25">
      <c r="K869"/>
      <c r="L869"/>
      <c r="M869"/>
      <c r="N869"/>
      <c r="O869"/>
    </row>
    <row r="870" spans="11:15" x14ac:dyDescent="0.25">
      <c r="K870"/>
      <c r="L870"/>
      <c r="M870"/>
      <c r="N870"/>
      <c r="O870"/>
    </row>
    <row r="871" spans="11:15" x14ac:dyDescent="0.25">
      <c r="K871"/>
      <c r="L871"/>
      <c r="M871"/>
      <c r="N871"/>
      <c r="O871"/>
    </row>
    <row r="872" spans="11:15" x14ac:dyDescent="0.25">
      <c r="K872"/>
      <c r="L872"/>
      <c r="M872"/>
      <c r="N872"/>
      <c r="O872"/>
    </row>
    <row r="873" spans="11:15" x14ac:dyDescent="0.25">
      <c r="K873"/>
      <c r="L873"/>
      <c r="M873"/>
      <c r="N873"/>
      <c r="O873"/>
    </row>
    <row r="874" spans="11:15" x14ac:dyDescent="0.25">
      <c r="K874"/>
      <c r="L874"/>
      <c r="M874"/>
      <c r="N874"/>
      <c r="O874"/>
    </row>
    <row r="875" spans="11:15" x14ac:dyDescent="0.25">
      <c r="K875"/>
      <c r="L875"/>
      <c r="M875"/>
      <c r="N875"/>
      <c r="O875"/>
    </row>
    <row r="876" spans="11:15" x14ac:dyDescent="0.25">
      <c r="K876"/>
      <c r="L876"/>
      <c r="M876"/>
      <c r="N876"/>
      <c r="O876"/>
    </row>
    <row r="877" spans="11:15" x14ac:dyDescent="0.25">
      <c r="K877"/>
      <c r="L877"/>
      <c r="M877"/>
      <c r="N877"/>
      <c r="O877"/>
    </row>
    <row r="878" spans="11:15" x14ac:dyDescent="0.25">
      <c r="K878"/>
      <c r="L878"/>
      <c r="M878"/>
      <c r="N878"/>
      <c r="O878"/>
    </row>
    <row r="879" spans="11:15" x14ac:dyDescent="0.25">
      <c r="K879"/>
      <c r="L879"/>
      <c r="M879"/>
      <c r="N879"/>
      <c r="O879"/>
    </row>
    <row r="880" spans="11:15" x14ac:dyDescent="0.25">
      <c r="K880"/>
      <c r="L880"/>
      <c r="M880"/>
      <c r="N880"/>
      <c r="O880"/>
    </row>
    <row r="881" spans="11:15" x14ac:dyDescent="0.25">
      <c r="K881"/>
      <c r="L881"/>
      <c r="M881"/>
      <c r="N881"/>
      <c r="O881"/>
    </row>
    <row r="882" spans="11:15" x14ac:dyDescent="0.25">
      <c r="K882"/>
      <c r="L882"/>
      <c r="M882"/>
      <c r="N882"/>
      <c r="O882"/>
    </row>
    <row r="883" spans="11:15" x14ac:dyDescent="0.25">
      <c r="K883"/>
      <c r="L883"/>
      <c r="M883"/>
      <c r="N883"/>
      <c r="O883"/>
    </row>
    <row r="884" spans="11:15" x14ac:dyDescent="0.25">
      <c r="K884"/>
      <c r="L884"/>
      <c r="M884"/>
      <c r="N884"/>
      <c r="O884"/>
    </row>
    <row r="885" spans="11:15" x14ac:dyDescent="0.25">
      <c r="K885"/>
      <c r="L885"/>
      <c r="M885"/>
      <c r="N885"/>
      <c r="O885"/>
    </row>
    <row r="886" spans="11:15" x14ac:dyDescent="0.25">
      <c r="K886"/>
      <c r="L886"/>
      <c r="M886"/>
      <c r="N886"/>
      <c r="O886"/>
    </row>
    <row r="887" spans="11:15" x14ac:dyDescent="0.25">
      <c r="K887"/>
      <c r="L887"/>
      <c r="M887"/>
      <c r="N887"/>
      <c r="O887"/>
    </row>
    <row r="888" spans="11:15" x14ac:dyDescent="0.25">
      <c r="K888"/>
      <c r="L888"/>
      <c r="M888"/>
      <c r="N888"/>
      <c r="O888"/>
    </row>
    <row r="889" spans="11:15" x14ac:dyDescent="0.25">
      <c r="K889"/>
      <c r="L889"/>
      <c r="M889"/>
      <c r="N889"/>
      <c r="O889"/>
    </row>
    <row r="890" spans="11:15" x14ac:dyDescent="0.25">
      <c r="K890"/>
      <c r="L890"/>
      <c r="M890"/>
      <c r="N890"/>
      <c r="O890"/>
    </row>
    <row r="891" spans="11:15" x14ac:dyDescent="0.25">
      <c r="K891"/>
      <c r="L891"/>
      <c r="M891"/>
      <c r="N891"/>
      <c r="O891"/>
    </row>
    <row r="892" spans="11:15" x14ac:dyDescent="0.25">
      <c r="K892"/>
      <c r="L892"/>
      <c r="M892"/>
      <c r="N892"/>
      <c r="O892"/>
    </row>
    <row r="893" spans="11:15" x14ac:dyDescent="0.25">
      <c r="K893"/>
      <c r="L893"/>
      <c r="M893"/>
      <c r="N893"/>
      <c r="O893"/>
    </row>
    <row r="894" spans="11:15" x14ac:dyDescent="0.25">
      <c r="K894"/>
      <c r="L894"/>
      <c r="M894"/>
      <c r="N894"/>
      <c r="O894"/>
    </row>
    <row r="895" spans="11:15" x14ac:dyDescent="0.25">
      <c r="K895"/>
      <c r="L895"/>
      <c r="M895"/>
      <c r="N895"/>
      <c r="O895"/>
    </row>
    <row r="896" spans="11:15" x14ac:dyDescent="0.25">
      <c r="K896"/>
      <c r="L896"/>
      <c r="M896"/>
      <c r="N896"/>
      <c r="O896"/>
    </row>
    <row r="897" spans="11:15" x14ac:dyDescent="0.25">
      <c r="K897"/>
      <c r="L897"/>
      <c r="M897"/>
      <c r="N897"/>
      <c r="O897"/>
    </row>
    <row r="898" spans="11:15" x14ac:dyDescent="0.25">
      <c r="K898"/>
      <c r="L898"/>
      <c r="M898"/>
      <c r="N898"/>
      <c r="O898"/>
    </row>
    <row r="899" spans="11:15" x14ac:dyDescent="0.25">
      <c r="K899"/>
      <c r="L899"/>
      <c r="M899"/>
      <c r="N899"/>
      <c r="O899"/>
    </row>
    <row r="900" spans="11:15" x14ac:dyDescent="0.25">
      <c r="K900"/>
      <c r="L900"/>
      <c r="M900"/>
      <c r="N900"/>
      <c r="O900"/>
    </row>
    <row r="901" spans="11:15" x14ac:dyDescent="0.25">
      <c r="K901"/>
      <c r="L901"/>
      <c r="M901"/>
      <c r="N901"/>
      <c r="O901"/>
    </row>
    <row r="902" spans="11:15" x14ac:dyDescent="0.25">
      <c r="K902"/>
      <c r="L902"/>
      <c r="M902"/>
      <c r="N902"/>
      <c r="O902"/>
    </row>
    <row r="903" spans="11:15" x14ac:dyDescent="0.25">
      <c r="K903"/>
      <c r="L903"/>
      <c r="M903"/>
      <c r="N903"/>
      <c r="O903"/>
    </row>
    <row r="904" spans="11:15" x14ac:dyDescent="0.25">
      <c r="K904"/>
      <c r="L904"/>
      <c r="M904"/>
      <c r="N904"/>
      <c r="O904"/>
    </row>
    <row r="905" spans="11:15" x14ac:dyDescent="0.25">
      <c r="K905"/>
      <c r="L905"/>
      <c r="M905"/>
      <c r="N905"/>
      <c r="O905"/>
    </row>
    <row r="906" spans="11:15" x14ac:dyDescent="0.25">
      <c r="K906"/>
      <c r="L906"/>
      <c r="M906"/>
      <c r="N906"/>
      <c r="O906"/>
    </row>
    <row r="907" spans="11:15" x14ac:dyDescent="0.25">
      <c r="K907"/>
      <c r="L907"/>
      <c r="M907"/>
      <c r="N907"/>
      <c r="O907"/>
    </row>
    <row r="908" spans="11:15" x14ac:dyDescent="0.25">
      <c r="K908"/>
      <c r="L908"/>
      <c r="M908"/>
      <c r="N908"/>
      <c r="O908"/>
    </row>
    <row r="909" spans="11:15" x14ac:dyDescent="0.25">
      <c r="K909"/>
      <c r="L909"/>
      <c r="M909"/>
      <c r="N909"/>
      <c r="O909"/>
    </row>
    <row r="910" spans="11:15" x14ac:dyDescent="0.25">
      <c r="K910"/>
      <c r="L910"/>
      <c r="M910"/>
      <c r="N910"/>
      <c r="O910"/>
    </row>
    <row r="911" spans="11:15" x14ac:dyDescent="0.25">
      <c r="K911"/>
      <c r="L911"/>
      <c r="M911"/>
      <c r="N911"/>
      <c r="O911"/>
    </row>
    <row r="912" spans="11:15" x14ac:dyDescent="0.25">
      <c r="K912"/>
      <c r="L912"/>
      <c r="M912"/>
      <c r="N912"/>
      <c r="O912"/>
    </row>
    <row r="913" spans="11:15" x14ac:dyDescent="0.25">
      <c r="K913"/>
      <c r="L913"/>
      <c r="M913"/>
      <c r="N913"/>
      <c r="O913"/>
    </row>
    <row r="914" spans="11:15" x14ac:dyDescent="0.25">
      <c r="K914"/>
      <c r="L914"/>
      <c r="M914"/>
      <c r="N914"/>
      <c r="O914"/>
    </row>
    <row r="915" spans="11:15" x14ac:dyDescent="0.25">
      <c r="K915"/>
      <c r="L915"/>
      <c r="M915"/>
      <c r="N915"/>
      <c r="O915"/>
    </row>
    <row r="916" spans="11:15" x14ac:dyDescent="0.25">
      <c r="K916"/>
      <c r="L916"/>
      <c r="M916"/>
      <c r="N916"/>
      <c r="O916"/>
    </row>
    <row r="917" spans="11:15" x14ac:dyDescent="0.25">
      <c r="K917"/>
      <c r="L917"/>
      <c r="M917"/>
      <c r="N917"/>
      <c r="O917"/>
    </row>
    <row r="918" spans="11:15" x14ac:dyDescent="0.25">
      <c r="K918"/>
      <c r="L918"/>
      <c r="M918"/>
      <c r="N918"/>
      <c r="O918"/>
    </row>
    <row r="919" spans="11:15" x14ac:dyDescent="0.25">
      <c r="K919"/>
      <c r="L919"/>
      <c r="M919"/>
      <c r="N919"/>
      <c r="O919"/>
    </row>
    <row r="920" spans="11:15" x14ac:dyDescent="0.25">
      <c r="K920"/>
      <c r="L920"/>
      <c r="M920"/>
      <c r="N920"/>
      <c r="O920"/>
    </row>
    <row r="921" spans="11:15" x14ac:dyDescent="0.25">
      <c r="K921"/>
      <c r="L921"/>
      <c r="M921"/>
      <c r="N921"/>
      <c r="O921"/>
    </row>
    <row r="922" spans="11:15" x14ac:dyDescent="0.25">
      <c r="K922"/>
      <c r="L922"/>
      <c r="M922"/>
      <c r="N922"/>
      <c r="O922"/>
    </row>
    <row r="923" spans="11:15" x14ac:dyDescent="0.25">
      <c r="K923"/>
      <c r="L923"/>
      <c r="M923"/>
      <c r="N923"/>
      <c r="O923"/>
    </row>
    <row r="924" spans="11:15" x14ac:dyDescent="0.25">
      <c r="K924"/>
      <c r="L924"/>
      <c r="M924"/>
      <c r="N924"/>
      <c r="O924"/>
    </row>
    <row r="925" spans="11:15" x14ac:dyDescent="0.25">
      <c r="K925"/>
      <c r="L925"/>
      <c r="M925"/>
      <c r="N925"/>
      <c r="O925"/>
    </row>
    <row r="926" spans="11:15" x14ac:dyDescent="0.25">
      <c r="K926"/>
      <c r="L926"/>
      <c r="M926"/>
      <c r="N926"/>
      <c r="O926"/>
    </row>
    <row r="927" spans="11:15" x14ac:dyDescent="0.25">
      <c r="K927"/>
      <c r="L927"/>
      <c r="M927"/>
      <c r="N927"/>
      <c r="O927"/>
    </row>
    <row r="928" spans="11:15" x14ac:dyDescent="0.25">
      <c r="K928"/>
      <c r="L928"/>
      <c r="M928"/>
      <c r="N928"/>
      <c r="O928"/>
    </row>
    <row r="929" spans="11:15" x14ac:dyDescent="0.25">
      <c r="K929"/>
      <c r="L929"/>
      <c r="M929"/>
      <c r="N929"/>
      <c r="O929"/>
    </row>
    <row r="930" spans="11:15" x14ac:dyDescent="0.25">
      <c r="K930"/>
      <c r="L930"/>
      <c r="M930"/>
      <c r="N930"/>
      <c r="O930"/>
    </row>
    <row r="931" spans="11:15" x14ac:dyDescent="0.25">
      <c r="K931"/>
      <c r="L931"/>
      <c r="M931"/>
      <c r="N931"/>
      <c r="O931"/>
    </row>
    <row r="932" spans="11:15" x14ac:dyDescent="0.25">
      <c r="K932"/>
      <c r="L932"/>
      <c r="M932"/>
      <c r="N932"/>
      <c r="O932"/>
    </row>
    <row r="933" spans="11:15" x14ac:dyDescent="0.25">
      <c r="K933"/>
      <c r="L933"/>
      <c r="M933"/>
      <c r="N933"/>
      <c r="O933"/>
    </row>
    <row r="934" spans="11:15" x14ac:dyDescent="0.25">
      <c r="K934"/>
      <c r="L934"/>
      <c r="M934"/>
      <c r="N934"/>
      <c r="O934"/>
    </row>
    <row r="935" spans="11:15" x14ac:dyDescent="0.25">
      <c r="K935"/>
      <c r="L935"/>
      <c r="M935"/>
      <c r="N935"/>
      <c r="O935"/>
    </row>
    <row r="936" spans="11:15" x14ac:dyDescent="0.25">
      <c r="K936"/>
      <c r="L936"/>
      <c r="M936"/>
      <c r="N936"/>
      <c r="O936"/>
    </row>
    <row r="937" spans="11:15" x14ac:dyDescent="0.25">
      <c r="K937"/>
      <c r="L937"/>
      <c r="M937"/>
      <c r="N937"/>
      <c r="O937"/>
    </row>
    <row r="938" spans="11:15" x14ac:dyDescent="0.25">
      <c r="K938"/>
      <c r="L938"/>
      <c r="M938"/>
      <c r="N938"/>
      <c r="O938"/>
    </row>
    <row r="939" spans="11:15" x14ac:dyDescent="0.25">
      <c r="K939"/>
      <c r="L939"/>
      <c r="M939"/>
      <c r="N939"/>
      <c r="O939"/>
    </row>
    <row r="940" spans="11:15" x14ac:dyDescent="0.25">
      <c r="K940"/>
      <c r="L940"/>
      <c r="M940"/>
      <c r="N940"/>
      <c r="O940"/>
    </row>
    <row r="941" spans="11:15" x14ac:dyDescent="0.25">
      <c r="K941"/>
      <c r="L941"/>
      <c r="M941"/>
      <c r="N941"/>
      <c r="O941"/>
    </row>
    <row r="942" spans="11:15" x14ac:dyDescent="0.25">
      <c r="K942"/>
      <c r="L942"/>
      <c r="M942"/>
      <c r="N942"/>
      <c r="O942"/>
    </row>
    <row r="943" spans="11:15" x14ac:dyDescent="0.25">
      <c r="K943"/>
      <c r="L943"/>
      <c r="M943"/>
      <c r="N943"/>
      <c r="O943"/>
    </row>
    <row r="944" spans="11:15" x14ac:dyDescent="0.25">
      <c r="K944"/>
      <c r="L944"/>
      <c r="M944"/>
      <c r="N944"/>
      <c r="O944"/>
    </row>
    <row r="945" spans="11:15" x14ac:dyDescent="0.25">
      <c r="K945"/>
      <c r="L945"/>
      <c r="M945"/>
      <c r="N945"/>
      <c r="O945"/>
    </row>
    <row r="946" spans="11:15" x14ac:dyDescent="0.25">
      <c r="K946"/>
      <c r="L946"/>
      <c r="M946"/>
      <c r="N946"/>
      <c r="O946"/>
    </row>
    <row r="947" spans="11:15" x14ac:dyDescent="0.25">
      <c r="K947"/>
      <c r="L947"/>
      <c r="M947"/>
      <c r="N947"/>
      <c r="O947"/>
    </row>
    <row r="948" spans="11:15" x14ac:dyDescent="0.25">
      <c r="K948"/>
      <c r="L948"/>
      <c r="M948"/>
      <c r="N948"/>
      <c r="O948"/>
    </row>
    <row r="949" spans="11:15" x14ac:dyDescent="0.25">
      <c r="K949"/>
      <c r="L949"/>
      <c r="M949"/>
      <c r="N949"/>
      <c r="O949"/>
    </row>
    <row r="950" spans="11:15" x14ac:dyDescent="0.25">
      <c r="K950"/>
      <c r="L950"/>
      <c r="M950"/>
      <c r="N950"/>
      <c r="O950"/>
    </row>
    <row r="951" spans="11:15" x14ac:dyDescent="0.25">
      <c r="K951"/>
      <c r="L951"/>
      <c r="M951"/>
      <c r="N951"/>
      <c r="O951"/>
    </row>
    <row r="952" spans="11:15" x14ac:dyDescent="0.25">
      <c r="K952"/>
      <c r="L952"/>
      <c r="M952"/>
      <c r="N952"/>
      <c r="O952"/>
    </row>
    <row r="953" spans="11:15" x14ac:dyDescent="0.25">
      <c r="K953"/>
      <c r="L953"/>
      <c r="M953"/>
      <c r="N953"/>
      <c r="O953"/>
    </row>
    <row r="954" spans="11:15" x14ac:dyDescent="0.25">
      <c r="K954"/>
      <c r="L954"/>
      <c r="M954"/>
      <c r="N954"/>
      <c r="O954"/>
    </row>
    <row r="955" spans="11:15" x14ac:dyDescent="0.25">
      <c r="K955"/>
      <c r="L955"/>
      <c r="M955"/>
      <c r="N955"/>
      <c r="O955"/>
    </row>
    <row r="956" spans="11:15" x14ac:dyDescent="0.25">
      <c r="K956"/>
      <c r="L956"/>
      <c r="M956"/>
      <c r="N956"/>
      <c r="O956"/>
    </row>
    <row r="957" spans="11:15" x14ac:dyDescent="0.25">
      <c r="K957"/>
      <c r="L957"/>
      <c r="M957"/>
      <c r="N957"/>
      <c r="O957"/>
    </row>
    <row r="958" spans="11:15" x14ac:dyDescent="0.25">
      <c r="K958"/>
      <c r="L958"/>
      <c r="M958"/>
      <c r="N958"/>
      <c r="O958"/>
    </row>
    <row r="959" spans="11:15" x14ac:dyDescent="0.25">
      <c r="K959"/>
      <c r="L959"/>
      <c r="M959"/>
      <c r="N959"/>
      <c r="O959"/>
    </row>
    <row r="960" spans="11:15" x14ac:dyDescent="0.25">
      <c r="K960"/>
      <c r="L960"/>
      <c r="M960"/>
      <c r="N960"/>
      <c r="O960"/>
    </row>
    <row r="961" spans="11:15" x14ac:dyDescent="0.25">
      <c r="K961"/>
      <c r="L961"/>
      <c r="M961"/>
      <c r="N961"/>
      <c r="O961"/>
    </row>
    <row r="962" spans="11:15" x14ac:dyDescent="0.25">
      <c r="K962"/>
      <c r="L962"/>
      <c r="M962"/>
      <c r="N962"/>
      <c r="O962"/>
    </row>
    <row r="963" spans="11:15" x14ac:dyDescent="0.25">
      <c r="K963"/>
      <c r="L963"/>
      <c r="M963"/>
      <c r="N963"/>
      <c r="O963"/>
    </row>
    <row r="964" spans="11:15" x14ac:dyDescent="0.25">
      <c r="K964"/>
      <c r="L964"/>
      <c r="M964"/>
      <c r="N964"/>
      <c r="O964"/>
    </row>
    <row r="965" spans="11:15" x14ac:dyDescent="0.25">
      <c r="K965"/>
      <c r="L965"/>
      <c r="M965"/>
      <c r="N965"/>
      <c r="O965"/>
    </row>
    <row r="966" spans="11:15" x14ac:dyDescent="0.25">
      <c r="K966"/>
      <c r="L966"/>
      <c r="M966"/>
      <c r="N966"/>
      <c r="O966"/>
    </row>
    <row r="967" spans="11:15" x14ac:dyDescent="0.25">
      <c r="K967"/>
      <c r="L967"/>
      <c r="M967"/>
      <c r="N967"/>
      <c r="O967"/>
    </row>
    <row r="968" spans="11:15" x14ac:dyDescent="0.25">
      <c r="K968"/>
      <c r="L968"/>
      <c r="M968"/>
      <c r="N968"/>
      <c r="O968"/>
    </row>
    <row r="969" spans="11:15" x14ac:dyDescent="0.25">
      <c r="K969"/>
      <c r="L969"/>
      <c r="M969"/>
      <c r="N969"/>
      <c r="O969"/>
    </row>
    <row r="970" spans="11:15" x14ac:dyDescent="0.25">
      <c r="K970"/>
      <c r="L970"/>
      <c r="M970"/>
      <c r="N970"/>
      <c r="O970"/>
    </row>
    <row r="971" spans="11:15" x14ac:dyDescent="0.25">
      <c r="K971"/>
      <c r="L971"/>
      <c r="M971"/>
      <c r="N971"/>
      <c r="O971"/>
    </row>
    <row r="972" spans="11:15" x14ac:dyDescent="0.25">
      <c r="K972"/>
      <c r="L972"/>
      <c r="M972"/>
      <c r="N972"/>
      <c r="O972"/>
    </row>
    <row r="973" spans="11:15" x14ac:dyDescent="0.25">
      <c r="K973"/>
      <c r="L973"/>
      <c r="M973"/>
      <c r="N973"/>
      <c r="O973"/>
    </row>
    <row r="974" spans="11:15" x14ac:dyDescent="0.25">
      <c r="K974"/>
      <c r="L974"/>
      <c r="M974"/>
      <c r="N974"/>
      <c r="O974"/>
    </row>
    <row r="975" spans="11:15" x14ac:dyDescent="0.25">
      <c r="K975"/>
      <c r="L975"/>
      <c r="M975"/>
      <c r="N975"/>
      <c r="O975"/>
    </row>
    <row r="976" spans="11:15" x14ac:dyDescent="0.25">
      <c r="K976"/>
      <c r="L976"/>
      <c r="M976"/>
      <c r="N976"/>
      <c r="O976"/>
    </row>
    <row r="977" spans="11:15" x14ac:dyDescent="0.25">
      <c r="K977"/>
      <c r="L977"/>
      <c r="M977"/>
      <c r="N977"/>
      <c r="O977"/>
    </row>
    <row r="978" spans="11:15" x14ac:dyDescent="0.25">
      <c r="K978"/>
      <c r="L978"/>
      <c r="M978"/>
      <c r="N978"/>
      <c r="O978"/>
    </row>
    <row r="979" spans="11:15" x14ac:dyDescent="0.25">
      <c r="K979"/>
      <c r="L979"/>
      <c r="M979"/>
      <c r="N979"/>
      <c r="O979"/>
    </row>
    <row r="980" spans="11:15" x14ac:dyDescent="0.25">
      <c r="K980"/>
      <c r="L980"/>
      <c r="M980"/>
      <c r="N980"/>
      <c r="O980"/>
    </row>
    <row r="981" spans="11:15" x14ac:dyDescent="0.25">
      <c r="K981"/>
      <c r="L981"/>
      <c r="M981"/>
      <c r="N981"/>
      <c r="O981"/>
    </row>
    <row r="982" spans="11:15" x14ac:dyDescent="0.25">
      <c r="K982"/>
      <c r="L982"/>
      <c r="M982"/>
      <c r="N982"/>
      <c r="O982"/>
    </row>
    <row r="983" spans="11:15" x14ac:dyDescent="0.25">
      <c r="K983"/>
      <c r="L983"/>
      <c r="M983"/>
      <c r="N983"/>
      <c r="O983"/>
    </row>
    <row r="984" spans="11:15" x14ac:dyDescent="0.25">
      <c r="K984"/>
      <c r="L984"/>
      <c r="M984"/>
      <c r="N984"/>
      <c r="O984"/>
    </row>
    <row r="985" spans="11:15" x14ac:dyDescent="0.25">
      <c r="K985"/>
      <c r="L985"/>
      <c r="M985"/>
      <c r="N985"/>
      <c r="O985"/>
    </row>
    <row r="986" spans="11:15" x14ac:dyDescent="0.25">
      <c r="K986"/>
      <c r="L986"/>
      <c r="M986"/>
      <c r="N986"/>
      <c r="O986"/>
    </row>
    <row r="987" spans="11:15" x14ac:dyDescent="0.25">
      <c r="K987"/>
      <c r="L987"/>
      <c r="M987"/>
      <c r="N987"/>
      <c r="O987"/>
    </row>
    <row r="988" spans="11:15" x14ac:dyDescent="0.25">
      <c r="K988"/>
      <c r="L988"/>
      <c r="M988"/>
      <c r="N988"/>
      <c r="O988"/>
    </row>
    <row r="989" spans="11:15" x14ac:dyDescent="0.25">
      <c r="K989"/>
      <c r="L989"/>
      <c r="M989"/>
      <c r="N989"/>
      <c r="O989"/>
    </row>
    <row r="990" spans="11:15" x14ac:dyDescent="0.25">
      <c r="K990"/>
      <c r="L990"/>
      <c r="M990"/>
      <c r="N990"/>
      <c r="O990"/>
    </row>
    <row r="991" spans="11:15" x14ac:dyDescent="0.25">
      <c r="K991"/>
      <c r="L991"/>
      <c r="M991"/>
      <c r="N991"/>
      <c r="O991"/>
    </row>
    <row r="992" spans="11:15" x14ac:dyDescent="0.25">
      <c r="K992"/>
      <c r="L992"/>
      <c r="M992"/>
      <c r="N992"/>
      <c r="O992"/>
    </row>
    <row r="993" spans="11:15" x14ac:dyDescent="0.25">
      <c r="K993"/>
      <c r="L993"/>
      <c r="M993"/>
      <c r="N993"/>
      <c r="O993"/>
    </row>
    <row r="994" spans="11:15" x14ac:dyDescent="0.25">
      <c r="K994"/>
      <c r="L994"/>
      <c r="M994"/>
      <c r="N994"/>
      <c r="O994"/>
    </row>
    <row r="995" spans="11:15" x14ac:dyDescent="0.25">
      <c r="K995"/>
      <c r="L995"/>
      <c r="M995"/>
      <c r="N995"/>
      <c r="O995"/>
    </row>
    <row r="996" spans="11:15" x14ac:dyDescent="0.25">
      <c r="K996"/>
      <c r="L996"/>
      <c r="M996"/>
      <c r="N996"/>
      <c r="O996"/>
    </row>
    <row r="997" spans="11:15" x14ac:dyDescent="0.25">
      <c r="K997"/>
      <c r="L997"/>
      <c r="M997"/>
      <c r="N997"/>
      <c r="O997"/>
    </row>
    <row r="998" spans="11:15" x14ac:dyDescent="0.25">
      <c r="K998"/>
      <c r="L998"/>
      <c r="M998"/>
      <c r="N998"/>
      <c r="O998"/>
    </row>
    <row r="999" spans="11:15" x14ac:dyDescent="0.25">
      <c r="K999"/>
      <c r="L999"/>
      <c r="M999"/>
      <c r="N999"/>
      <c r="O999"/>
    </row>
    <row r="1000" spans="11:15" x14ac:dyDescent="0.25">
      <c r="K1000"/>
      <c r="L1000"/>
      <c r="M1000"/>
      <c r="N1000"/>
      <c r="O1000"/>
    </row>
    <row r="1001" spans="11:15" x14ac:dyDescent="0.25">
      <c r="K1001"/>
      <c r="L1001"/>
      <c r="M1001"/>
      <c r="N1001"/>
      <c r="O1001"/>
    </row>
    <row r="1002" spans="11:15" x14ac:dyDescent="0.25">
      <c r="K1002"/>
      <c r="L1002"/>
      <c r="M1002"/>
      <c r="N1002"/>
      <c r="O1002"/>
    </row>
    <row r="1003" spans="11:15" x14ac:dyDescent="0.25">
      <c r="K1003"/>
      <c r="L1003"/>
      <c r="M1003"/>
      <c r="N1003"/>
      <c r="O1003"/>
    </row>
    <row r="1004" spans="11:15" x14ac:dyDescent="0.25">
      <c r="K1004"/>
      <c r="L1004"/>
      <c r="M1004"/>
      <c r="N1004"/>
      <c r="O1004"/>
    </row>
    <row r="1005" spans="11:15" x14ac:dyDescent="0.25">
      <c r="K1005"/>
      <c r="L1005"/>
      <c r="M1005"/>
      <c r="N1005"/>
      <c r="O1005"/>
    </row>
    <row r="1006" spans="11:15" x14ac:dyDescent="0.25">
      <c r="K1006"/>
      <c r="L1006"/>
      <c r="M1006"/>
      <c r="N1006"/>
      <c r="O1006"/>
    </row>
    <row r="1007" spans="11:15" x14ac:dyDescent="0.25">
      <c r="K1007"/>
      <c r="L1007"/>
      <c r="M1007"/>
      <c r="N1007"/>
      <c r="O1007"/>
    </row>
    <row r="1008" spans="11:15" x14ac:dyDescent="0.25">
      <c r="K1008"/>
      <c r="L1008"/>
      <c r="M1008"/>
      <c r="N1008"/>
      <c r="O1008"/>
    </row>
    <row r="1009" spans="11:15" x14ac:dyDescent="0.25">
      <c r="K1009"/>
      <c r="L1009"/>
      <c r="M1009"/>
      <c r="N1009"/>
      <c r="O1009"/>
    </row>
    <row r="1010" spans="11:15" x14ac:dyDescent="0.25">
      <c r="K1010"/>
      <c r="L1010"/>
      <c r="M1010"/>
      <c r="N1010"/>
      <c r="O1010"/>
    </row>
    <row r="1011" spans="11:15" x14ac:dyDescent="0.25">
      <c r="K1011"/>
      <c r="L1011"/>
      <c r="M1011"/>
      <c r="N1011"/>
      <c r="O1011"/>
    </row>
    <row r="1012" spans="11:15" x14ac:dyDescent="0.25">
      <c r="K1012"/>
      <c r="L1012"/>
      <c r="M1012"/>
      <c r="N1012"/>
      <c r="O1012"/>
    </row>
    <row r="1013" spans="11:15" x14ac:dyDescent="0.25">
      <c r="K1013"/>
      <c r="L1013"/>
      <c r="M1013"/>
      <c r="N1013"/>
      <c r="O1013"/>
    </row>
    <row r="1014" spans="11:15" x14ac:dyDescent="0.25">
      <c r="K1014"/>
      <c r="L1014"/>
      <c r="M1014"/>
      <c r="N1014"/>
      <c r="O1014"/>
    </row>
    <row r="1015" spans="11:15" x14ac:dyDescent="0.25">
      <c r="K1015"/>
      <c r="L1015"/>
      <c r="M1015"/>
      <c r="N1015"/>
      <c r="O1015"/>
    </row>
    <row r="1016" spans="11:15" x14ac:dyDescent="0.25">
      <c r="K1016"/>
      <c r="L1016"/>
      <c r="M1016"/>
      <c r="N1016"/>
      <c r="O1016"/>
    </row>
    <row r="1017" spans="11:15" x14ac:dyDescent="0.25">
      <c r="K1017"/>
      <c r="L1017"/>
      <c r="M1017"/>
      <c r="N1017"/>
      <c r="O1017"/>
    </row>
    <row r="1018" spans="11:15" x14ac:dyDescent="0.25">
      <c r="K1018"/>
      <c r="L1018"/>
      <c r="M1018"/>
      <c r="N1018"/>
      <c r="O1018"/>
    </row>
    <row r="1019" spans="11:15" x14ac:dyDescent="0.25">
      <c r="K1019"/>
      <c r="L1019"/>
      <c r="M1019"/>
      <c r="N1019"/>
      <c r="O1019"/>
    </row>
    <row r="1020" spans="11:15" x14ac:dyDescent="0.25">
      <c r="K1020"/>
      <c r="L1020"/>
      <c r="M1020"/>
      <c r="N1020"/>
      <c r="O1020"/>
    </row>
    <row r="1021" spans="11:15" x14ac:dyDescent="0.25">
      <c r="K1021"/>
      <c r="L1021"/>
      <c r="M1021"/>
      <c r="N1021"/>
      <c r="O1021"/>
    </row>
    <row r="1022" spans="11:15" x14ac:dyDescent="0.25">
      <c r="K1022"/>
      <c r="L1022"/>
      <c r="M1022"/>
      <c r="N1022"/>
      <c r="O1022"/>
    </row>
    <row r="1023" spans="11:15" x14ac:dyDescent="0.25">
      <c r="K1023"/>
      <c r="L1023"/>
      <c r="M1023"/>
      <c r="N1023"/>
      <c r="O1023"/>
    </row>
    <row r="1024" spans="11:15" x14ac:dyDescent="0.25">
      <c r="K1024"/>
      <c r="L1024"/>
      <c r="M1024"/>
      <c r="N1024"/>
      <c r="O1024"/>
    </row>
    <row r="1025" spans="11:15" x14ac:dyDescent="0.25">
      <c r="K1025"/>
      <c r="L1025"/>
      <c r="M1025"/>
      <c r="N1025"/>
      <c r="O1025"/>
    </row>
    <row r="1026" spans="11:15" x14ac:dyDescent="0.25">
      <c r="K1026"/>
      <c r="L1026"/>
      <c r="M1026"/>
      <c r="N1026"/>
      <c r="O1026"/>
    </row>
    <row r="1027" spans="11:15" x14ac:dyDescent="0.25">
      <c r="K1027"/>
      <c r="L1027"/>
      <c r="M1027"/>
      <c r="N1027"/>
      <c r="O1027"/>
    </row>
    <row r="1028" spans="11:15" x14ac:dyDescent="0.25">
      <c r="K1028"/>
      <c r="L1028"/>
      <c r="M1028"/>
      <c r="N1028"/>
      <c r="O1028"/>
    </row>
    <row r="1029" spans="11:15" x14ac:dyDescent="0.25">
      <c r="K1029"/>
      <c r="L1029"/>
      <c r="M1029"/>
      <c r="N1029"/>
      <c r="O1029"/>
    </row>
    <row r="1030" spans="11:15" x14ac:dyDescent="0.25">
      <c r="K1030"/>
      <c r="L1030"/>
      <c r="M1030"/>
      <c r="N1030"/>
      <c r="O1030"/>
    </row>
    <row r="1031" spans="11:15" x14ac:dyDescent="0.25">
      <c r="K1031"/>
      <c r="L1031"/>
      <c r="M1031"/>
      <c r="N1031"/>
      <c r="O1031"/>
    </row>
    <row r="1032" spans="11:15" x14ac:dyDescent="0.25">
      <c r="K1032"/>
      <c r="L1032"/>
      <c r="M1032"/>
      <c r="N1032"/>
      <c r="O1032"/>
    </row>
    <row r="1033" spans="11:15" x14ac:dyDescent="0.25">
      <c r="K1033"/>
      <c r="L1033"/>
      <c r="M1033"/>
      <c r="N1033"/>
      <c r="O1033"/>
    </row>
    <row r="1034" spans="11:15" x14ac:dyDescent="0.25">
      <c r="K1034"/>
      <c r="L1034"/>
      <c r="M1034"/>
      <c r="N1034"/>
      <c r="O1034"/>
    </row>
    <row r="1035" spans="11:15" x14ac:dyDescent="0.25">
      <c r="K1035"/>
      <c r="L1035"/>
      <c r="M1035"/>
      <c r="N1035"/>
      <c r="O1035"/>
    </row>
    <row r="1036" spans="11:15" x14ac:dyDescent="0.25">
      <c r="K1036"/>
      <c r="L1036"/>
      <c r="M1036"/>
      <c r="N1036"/>
      <c r="O1036"/>
    </row>
    <row r="1037" spans="11:15" x14ac:dyDescent="0.25">
      <c r="K1037"/>
      <c r="L1037"/>
      <c r="M1037"/>
      <c r="N1037"/>
      <c r="O1037"/>
    </row>
    <row r="1038" spans="11:15" x14ac:dyDescent="0.25">
      <c r="K1038"/>
      <c r="L1038"/>
      <c r="M1038"/>
      <c r="N1038"/>
      <c r="O1038"/>
    </row>
    <row r="1039" spans="11:15" x14ac:dyDescent="0.25">
      <c r="K1039"/>
      <c r="L1039"/>
      <c r="M1039"/>
      <c r="N1039"/>
      <c r="O1039"/>
    </row>
    <row r="1040" spans="11:15" x14ac:dyDescent="0.25">
      <c r="K1040"/>
      <c r="L1040"/>
      <c r="M1040"/>
      <c r="N1040"/>
      <c r="O1040"/>
    </row>
    <row r="1041" spans="11:15" x14ac:dyDescent="0.25">
      <c r="K1041"/>
      <c r="L1041"/>
      <c r="M1041"/>
      <c r="N1041"/>
      <c r="O1041"/>
    </row>
    <row r="1042" spans="11:15" x14ac:dyDescent="0.25">
      <c r="K1042"/>
      <c r="L1042"/>
      <c r="M1042"/>
      <c r="N1042"/>
      <c r="O1042"/>
    </row>
    <row r="1043" spans="11:15" x14ac:dyDescent="0.25">
      <c r="K1043"/>
      <c r="L1043"/>
      <c r="M1043"/>
      <c r="N1043"/>
      <c r="O1043"/>
    </row>
    <row r="1044" spans="11:15" x14ac:dyDescent="0.25">
      <c r="K1044"/>
      <c r="L1044"/>
      <c r="M1044"/>
      <c r="N1044"/>
      <c r="O1044"/>
    </row>
    <row r="1045" spans="11:15" x14ac:dyDescent="0.25">
      <c r="K1045"/>
      <c r="L1045"/>
      <c r="M1045"/>
      <c r="N1045"/>
      <c r="O1045"/>
    </row>
    <row r="1046" spans="11:15" x14ac:dyDescent="0.25">
      <c r="K1046"/>
      <c r="L1046"/>
      <c r="M1046"/>
      <c r="N1046"/>
      <c r="O1046"/>
    </row>
    <row r="1047" spans="11:15" x14ac:dyDescent="0.25">
      <c r="K1047"/>
      <c r="L1047"/>
      <c r="M1047"/>
      <c r="N1047"/>
      <c r="O1047"/>
    </row>
    <row r="1048" spans="11:15" x14ac:dyDescent="0.25">
      <c r="K1048"/>
      <c r="L1048"/>
      <c r="M1048"/>
      <c r="N1048"/>
      <c r="O1048"/>
    </row>
    <row r="1049" spans="11:15" x14ac:dyDescent="0.25">
      <c r="K1049"/>
      <c r="L1049"/>
      <c r="M1049"/>
      <c r="N1049"/>
      <c r="O1049"/>
    </row>
    <row r="1050" spans="11:15" x14ac:dyDescent="0.25">
      <c r="K1050"/>
      <c r="L1050"/>
      <c r="M1050"/>
      <c r="N1050"/>
      <c r="O1050"/>
    </row>
    <row r="1051" spans="11:15" x14ac:dyDescent="0.25">
      <c r="K1051"/>
      <c r="L1051"/>
      <c r="M1051"/>
      <c r="N1051"/>
      <c r="O1051"/>
    </row>
    <row r="1052" spans="11:15" x14ac:dyDescent="0.25">
      <c r="K1052"/>
      <c r="L1052"/>
      <c r="M1052"/>
      <c r="N1052"/>
      <c r="O1052"/>
    </row>
    <row r="1053" spans="11:15" x14ac:dyDescent="0.25">
      <c r="K1053"/>
      <c r="L1053"/>
      <c r="M1053"/>
      <c r="N1053"/>
      <c r="O1053"/>
    </row>
    <row r="1054" spans="11:15" x14ac:dyDescent="0.25">
      <c r="K1054"/>
      <c r="L1054"/>
      <c r="M1054"/>
      <c r="N1054"/>
      <c r="O1054"/>
    </row>
    <row r="1055" spans="11:15" x14ac:dyDescent="0.25">
      <c r="K1055"/>
      <c r="L1055"/>
      <c r="M1055"/>
      <c r="N1055"/>
      <c r="O1055"/>
    </row>
    <row r="1056" spans="11:15" x14ac:dyDescent="0.25">
      <c r="K1056"/>
      <c r="L1056"/>
      <c r="M1056"/>
      <c r="N1056"/>
      <c r="O1056"/>
    </row>
    <row r="1057" spans="11:15" x14ac:dyDescent="0.25">
      <c r="K1057"/>
      <c r="L1057"/>
      <c r="M1057"/>
      <c r="N1057"/>
      <c r="O1057"/>
    </row>
    <row r="1058" spans="11:15" x14ac:dyDescent="0.25">
      <c r="K1058"/>
      <c r="L1058"/>
      <c r="M1058"/>
      <c r="N1058"/>
      <c r="O1058"/>
    </row>
    <row r="1059" spans="11:15" x14ac:dyDescent="0.25">
      <c r="K1059"/>
      <c r="L1059"/>
      <c r="M1059"/>
      <c r="N1059"/>
      <c r="O1059"/>
    </row>
    <row r="1060" spans="11:15" x14ac:dyDescent="0.25">
      <c r="K1060"/>
      <c r="L1060"/>
      <c r="M1060"/>
      <c r="N1060"/>
      <c r="O1060"/>
    </row>
    <row r="1061" spans="11:15" x14ac:dyDescent="0.25">
      <c r="K1061"/>
      <c r="L1061"/>
      <c r="M1061"/>
      <c r="N1061"/>
      <c r="O1061"/>
    </row>
    <row r="1062" spans="11:15" x14ac:dyDescent="0.25">
      <c r="K1062"/>
      <c r="L1062"/>
      <c r="M1062"/>
      <c r="N1062"/>
      <c r="O1062"/>
    </row>
    <row r="1063" spans="11:15" x14ac:dyDescent="0.25">
      <c r="K1063"/>
      <c r="L1063"/>
      <c r="M1063"/>
      <c r="N1063"/>
      <c r="O1063"/>
    </row>
  </sheetData>
  <sheetProtection sheet="1" objects="1" scenarios="1"/>
  <autoFilter ref="G25:G115" xr:uid="{00000000-0009-0000-0000-000000000000}"/>
  <pageMargins left="0.70866141732283472" right="0.51181102362204722" top="0.55118110236220474" bottom="0.55118110236220474" header="0.31496062992125984" footer="0.31496062992125984"/>
  <pageSetup paperSize="9" orientation="portrait" r:id="rId1"/>
  <colBreaks count="2" manualBreakCount="2">
    <brk id="9" max="1048575" man="1"/>
    <brk id="15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4" name="Drop Down 1">
              <controlPr defaultSize="0" print="0" autoLine="0" autoPict="0">
                <anchor moveWithCells="1">
                  <from>
                    <xdr:col>6</xdr:col>
                    <xdr:colOff>171450</xdr:colOff>
                    <xdr:row>13</xdr:row>
                    <xdr:rowOff>180975</xdr:rowOff>
                  </from>
                  <to>
                    <xdr:col>9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4" r:id="rId5" name="Check Box 2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13</xdr:row>
                    <xdr:rowOff>161925</xdr:rowOff>
                  </from>
                  <to>
                    <xdr:col>5</xdr:col>
                    <xdr:colOff>981075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5" r:id="rId6" name="Check Box 3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14</xdr:row>
                    <xdr:rowOff>161925</xdr:rowOff>
                  </from>
                  <to>
                    <xdr:col>5</xdr:col>
                    <xdr:colOff>981075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6" r:id="rId7" name="Drop Down 4">
              <controlPr defaultSize="0" print="0" autoLine="0" autoPict="0">
                <anchor moveWithCells="1">
                  <from>
                    <xdr:col>6</xdr:col>
                    <xdr:colOff>171450</xdr:colOff>
                    <xdr:row>15</xdr:row>
                    <xdr:rowOff>0</xdr:rowOff>
                  </from>
                  <to>
                    <xdr:col>9</xdr:col>
                    <xdr:colOff>9525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7" r:id="rId8" name="Check Box 5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15</xdr:row>
                    <xdr:rowOff>161925</xdr:rowOff>
                  </from>
                  <to>
                    <xdr:col>5</xdr:col>
                    <xdr:colOff>981075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8" r:id="rId9" name="Check Box 6">
              <controlPr defaultSize="0" print="0" autoFill="0" autoLine="0" autoPict="0">
                <anchor moveWithCells="1">
                  <from>
                    <xdr:col>6</xdr:col>
                    <xdr:colOff>161925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43"/>
  <dimension ref="A1:P1063"/>
  <sheetViews>
    <sheetView showGridLines="0" zoomScale="85" zoomScaleNormal="85" workbookViewId="0">
      <selection activeCell="C4" sqref="C4"/>
    </sheetView>
  </sheetViews>
  <sheetFormatPr defaultRowHeight="15" x14ac:dyDescent="0.25"/>
  <cols>
    <col min="1" max="1" width="2.7109375" style="1" customWidth="1"/>
    <col min="2" max="2" width="5.28515625" style="1" customWidth="1"/>
    <col min="3" max="3" width="9" style="1" customWidth="1"/>
    <col min="4" max="5" width="14.28515625" style="1" customWidth="1"/>
    <col min="6" max="6" width="14.85546875" style="1" customWidth="1"/>
    <col min="7" max="7" width="2.7109375" style="1" customWidth="1"/>
    <col min="8" max="8" width="9" style="1" customWidth="1"/>
    <col min="9" max="9" width="12.5703125" style="1" customWidth="1"/>
    <col min="10" max="10" width="2.7109375" style="1" customWidth="1"/>
    <col min="11" max="11" width="9.42578125" style="1" bestFit="1" customWidth="1"/>
    <col min="12" max="12" width="9" style="1" customWidth="1"/>
    <col min="13" max="13" width="14.28515625" style="1" customWidth="1"/>
    <col min="14" max="14" width="58.85546875" style="1" bestFit="1" customWidth="1"/>
    <col min="15" max="15" width="8.28515625" style="1" bestFit="1" customWidth="1"/>
    <col min="16" max="16" width="2.7109375" style="1" customWidth="1"/>
    <col min="17" max="17" width="87.140625" style="1" customWidth="1"/>
    <col min="18" max="16384" width="9.140625" style="1"/>
  </cols>
  <sheetData>
    <row r="1" spans="2:16" x14ac:dyDescent="0.25">
      <c r="B1" s="2" t="s">
        <v>3</v>
      </c>
      <c r="H1" s="38" t="s">
        <v>19</v>
      </c>
      <c r="I1" s="15"/>
      <c r="K1" s="12" t="s">
        <v>4</v>
      </c>
      <c r="L1" s="13"/>
      <c r="M1" s="12"/>
      <c r="N1" s="13"/>
      <c r="O1" s="14">
        <f>O3/(L3+O3)</f>
        <v>7.3333333333333334E-4</v>
      </c>
    </row>
    <row r="2" spans="2:16" ht="33" customHeight="1" x14ac:dyDescent="0.25">
      <c r="B2" s="3" t="str">
        <f>B24</f>
        <v>№</v>
      </c>
      <c r="C2" s="3" t="s">
        <v>1</v>
      </c>
      <c r="D2" s="3" t="s">
        <v>0</v>
      </c>
      <c r="E2" s="3" t="s">
        <v>10</v>
      </c>
      <c r="F2" s="4" t="s">
        <v>12</v>
      </c>
      <c r="H2" s="3" t="s">
        <v>1</v>
      </c>
      <c r="I2" s="3" t="s">
        <v>0</v>
      </c>
      <c r="K2" s="5" t="s">
        <v>1</v>
      </c>
      <c r="L2" s="5" t="s">
        <v>6</v>
      </c>
      <c r="M2" s="6" t="s">
        <v>11</v>
      </c>
      <c r="N2" s="5" t="s">
        <v>7</v>
      </c>
      <c r="O2" s="6" t="str">
        <f>"Отходы
"&amp;IF((L3+O3)&gt;0,TEXT(O3/(L3+O3),"0,00%"),"")</f>
        <v>Отходы
000%</v>
      </c>
    </row>
    <row r="3" spans="2:16" x14ac:dyDescent="0.25">
      <c r="B3" s="27"/>
      <c r="C3" s="27">
        <f>IF(COUNT(C4:C13)=COUNT(D4:D13),SUMPRODUCT(C4:C13,D4:D13),)</f>
        <v>0</v>
      </c>
      <c r="D3" s="23" t="str">
        <f>IF(COUNT(C4:C13)=COUNT(D4:D13),SUM(D4:D13),"много")</f>
        <v>много</v>
      </c>
      <c r="E3" s="23">
        <f>SUM(E4:E13)</f>
        <v>30</v>
      </c>
      <c r="F3" s="23" t="str">
        <f>IF(D3="много","много",D3-E3)</f>
        <v>много</v>
      </c>
      <c r="H3" s="27">
        <f>SUMPRODUCT(H4:H13,I4:I13)</f>
        <v>0</v>
      </c>
      <c r="I3" s="23" t="str">
        <f>IF(COUNT(H4:H13)=COUNT(I4:I13),SUM(I4:I13),"много")</f>
        <v>много</v>
      </c>
      <c r="K3" s="31">
        <f>SUMPRODUCT(K4:K1060,$M4:$M1060)</f>
        <v>180000</v>
      </c>
      <c r="L3" s="31">
        <f>SUMPRODUCT(L4:L1060,$M4:$M1060)</f>
        <v>179868</v>
      </c>
      <c r="M3" s="32">
        <f>SUM(M4:M1060)</f>
        <v>30</v>
      </c>
      <c r="N3" s="33"/>
      <c r="O3" s="31">
        <f t="array" ref="O3">SUM(IF((O4:O1060&lt;D17)+(D17=0),$M4:$M1060*O4:O1060))</f>
        <v>132</v>
      </c>
    </row>
    <row r="4" spans="2:16" x14ac:dyDescent="0.25">
      <c r="B4" s="36">
        <f>IF(N(C4)=0,"",1)</f>
        <v>1</v>
      </c>
      <c r="C4" s="48">
        <v>6000</v>
      </c>
      <c r="D4" s="9"/>
      <c r="E4" s="28">
        <f t="shared" ref="E4:E13" si="0">MIN(SUMIF(K$4:K$1060,C4,M$4:M$1060),D4)</f>
        <v>30</v>
      </c>
      <c r="F4" s="28">
        <f>IF(D4,D4-E4,)</f>
        <v>0</v>
      </c>
      <c r="H4" s="51">
        <v>6000</v>
      </c>
      <c r="I4" s="41"/>
      <c r="K4" s="66">
        <v>6000</v>
      </c>
      <c r="L4" s="65">
        <v>6000</v>
      </c>
      <c r="M4" s="72">
        <v>1</v>
      </c>
      <c r="N4" s="69" t="s">
        <v>45</v>
      </c>
      <c r="O4" s="65">
        <f t="shared" ref="O4:O30" si="1">K4-L4</f>
        <v>0</v>
      </c>
    </row>
    <row r="5" spans="2:16" x14ac:dyDescent="0.25">
      <c r="B5" s="34" t="str">
        <f>IF(N(C5)=0,"",IF(ISNUMBER(MATCH(C5,C$4:C4,)),INDEX(B$4:B4,MATCH(C5,C$4:C4,)),MAX(B$4:B4)+1))</f>
        <v/>
      </c>
      <c r="C5" s="49"/>
      <c r="D5" s="10"/>
      <c r="E5" s="29">
        <f t="shared" si="0"/>
        <v>0</v>
      </c>
      <c r="F5" s="29">
        <f>IF(D5,D5-E5,)</f>
        <v>0</v>
      </c>
      <c r="H5" s="52"/>
      <c r="I5" s="42"/>
      <c r="K5" s="67">
        <v>6000</v>
      </c>
      <c r="L5" s="45">
        <v>6000</v>
      </c>
      <c r="M5" s="73">
        <v>1</v>
      </c>
      <c r="N5" s="70" t="s">
        <v>46</v>
      </c>
      <c r="O5" s="45">
        <f t="shared" si="1"/>
        <v>0</v>
      </c>
    </row>
    <row r="6" spans="2:16" x14ac:dyDescent="0.25">
      <c r="B6" s="34" t="str">
        <f>IF(N(C6)=0,"",IF(ISNUMBER(MATCH(C6,C$4:C5,)),INDEX(B$4:B5,MATCH(C6,C$4:C5,)),MAX(B$4:B5)+1))</f>
        <v/>
      </c>
      <c r="C6" s="49"/>
      <c r="D6" s="10"/>
      <c r="E6" s="29">
        <f t="shared" si="0"/>
        <v>0</v>
      </c>
      <c r="F6" s="29">
        <f t="shared" ref="F6:F11" si="2">IF(D6,D6-E6,)</f>
        <v>0</v>
      </c>
      <c r="H6" s="52"/>
      <c r="I6" s="42"/>
      <c r="K6" s="67">
        <v>6000</v>
      </c>
      <c r="L6" s="45">
        <v>6000</v>
      </c>
      <c r="M6" s="73">
        <v>1</v>
      </c>
      <c r="N6" s="70" t="s">
        <v>47</v>
      </c>
      <c r="O6" s="45">
        <f t="shared" si="1"/>
        <v>0</v>
      </c>
    </row>
    <row r="7" spans="2:16" x14ac:dyDescent="0.25">
      <c r="B7" s="34" t="str">
        <f>IF(N(C7)=0,"",IF(ISNUMBER(MATCH(C7,C$4:C6,)),INDEX(B$4:B6,MATCH(C7,C$4:C6,)),MAX(B$4:B6)+1))</f>
        <v/>
      </c>
      <c r="C7" s="49"/>
      <c r="D7" s="10"/>
      <c r="E7" s="29">
        <f t="shared" si="0"/>
        <v>0</v>
      </c>
      <c r="F7" s="29">
        <f t="shared" si="2"/>
        <v>0</v>
      </c>
      <c r="H7" s="52"/>
      <c r="I7" s="42"/>
      <c r="K7" s="67">
        <v>6000</v>
      </c>
      <c r="L7" s="45">
        <v>6000</v>
      </c>
      <c r="M7" s="73">
        <v>1</v>
      </c>
      <c r="N7" s="70" t="s">
        <v>48</v>
      </c>
      <c r="O7" s="45">
        <f t="shared" si="1"/>
        <v>0</v>
      </c>
    </row>
    <row r="8" spans="2:16" x14ac:dyDescent="0.25">
      <c r="B8" s="34" t="str">
        <f>IF(N(C8)=0,"",IF(ISNUMBER(MATCH(C8,C$4:C7,)),INDEX(B$4:B7,MATCH(C8,C$4:C7,)),MAX(B$4:B7)+1))</f>
        <v/>
      </c>
      <c r="C8" s="49"/>
      <c r="D8" s="10"/>
      <c r="E8" s="29">
        <f t="shared" si="0"/>
        <v>0</v>
      </c>
      <c r="F8" s="29">
        <f t="shared" si="2"/>
        <v>0</v>
      </c>
      <c r="H8" s="52"/>
      <c r="I8" s="42"/>
      <c r="K8" s="67">
        <v>6000</v>
      </c>
      <c r="L8" s="45">
        <v>6000</v>
      </c>
      <c r="M8" s="73">
        <v>1</v>
      </c>
      <c r="N8" s="70" t="s">
        <v>49</v>
      </c>
      <c r="O8" s="45">
        <f t="shared" si="1"/>
        <v>0</v>
      </c>
    </row>
    <row r="9" spans="2:16" x14ac:dyDescent="0.25">
      <c r="B9" s="34" t="str">
        <f>IF(N(C9)=0,"",IF(ISNUMBER(MATCH(C9,C$4:C8,)),INDEX(B$4:B8,MATCH(C9,C$4:C8,)),MAX(B$4:B8)+1))</f>
        <v/>
      </c>
      <c r="C9" s="49"/>
      <c r="D9" s="10"/>
      <c r="E9" s="29">
        <f t="shared" si="0"/>
        <v>0</v>
      </c>
      <c r="F9" s="29">
        <f t="shared" si="2"/>
        <v>0</v>
      </c>
      <c r="H9" s="52"/>
      <c r="I9" s="42"/>
      <c r="K9" s="67">
        <v>6000</v>
      </c>
      <c r="L9" s="45">
        <v>6000</v>
      </c>
      <c r="M9" s="73">
        <v>1</v>
      </c>
      <c r="N9" s="70" t="s">
        <v>50</v>
      </c>
      <c r="O9" s="45">
        <f t="shared" si="1"/>
        <v>0</v>
      </c>
    </row>
    <row r="10" spans="2:16" x14ac:dyDescent="0.25">
      <c r="B10" s="34" t="str">
        <f>IF(N(C10)=0,"",IF(ISNUMBER(MATCH(C10,C$4:C9,)),INDEX(B$4:B9,MATCH(C10,C$4:C9,)),MAX(B$4:B9)+1))</f>
        <v/>
      </c>
      <c r="C10" s="49"/>
      <c r="D10" s="10"/>
      <c r="E10" s="29">
        <f t="shared" si="0"/>
        <v>0</v>
      </c>
      <c r="F10" s="29">
        <f t="shared" si="2"/>
        <v>0</v>
      </c>
      <c r="H10" s="52"/>
      <c r="I10" s="42"/>
      <c r="K10" s="67">
        <v>6000</v>
      </c>
      <c r="L10" s="45">
        <v>6000</v>
      </c>
      <c r="M10" s="73">
        <v>1</v>
      </c>
      <c r="N10" s="70" t="s">
        <v>51</v>
      </c>
      <c r="O10" s="45">
        <f t="shared" si="1"/>
        <v>0</v>
      </c>
    </row>
    <row r="11" spans="2:16" x14ac:dyDescent="0.25">
      <c r="B11" s="34" t="str">
        <f>IF(N(C11)=0,"",IF(ISNUMBER(MATCH(C11,C$4:C10,)),INDEX(B$4:B10,MATCH(C11,C$4:C10,)),MAX(B$4:B10)+1))</f>
        <v/>
      </c>
      <c r="C11" s="49"/>
      <c r="D11" s="10"/>
      <c r="E11" s="29">
        <f t="shared" si="0"/>
        <v>0</v>
      </c>
      <c r="F11" s="29">
        <f t="shared" si="2"/>
        <v>0</v>
      </c>
      <c r="H11" s="52"/>
      <c r="I11" s="42"/>
      <c r="K11" s="67">
        <v>6000</v>
      </c>
      <c r="L11" s="45">
        <v>6000</v>
      </c>
      <c r="M11" s="73">
        <v>1</v>
      </c>
      <c r="N11" s="70" t="s">
        <v>52</v>
      </c>
      <c r="O11" s="45">
        <f t="shared" si="1"/>
        <v>0</v>
      </c>
    </row>
    <row r="12" spans="2:16" x14ac:dyDescent="0.25">
      <c r="B12" s="34" t="str">
        <f>IF(N(C12)=0,"",IF(ISNUMBER(MATCH(C12,C$4:C11,)),INDEX(B$4:B11,MATCH(C12,C$4:C11,)),MAX(B$4:B11)+1))</f>
        <v/>
      </c>
      <c r="C12" s="49"/>
      <c r="D12" s="10"/>
      <c r="E12" s="29">
        <f t="shared" si="0"/>
        <v>0</v>
      </c>
      <c r="F12" s="29">
        <f>IF(D12,D12-E12,)</f>
        <v>0</v>
      </c>
      <c r="H12" s="52"/>
      <c r="I12" s="42"/>
      <c r="K12" s="67">
        <v>6000</v>
      </c>
      <c r="L12" s="45">
        <v>6000</v>
      </c>
      <c r="M12" s="73">
        <v>1</v>
      </c>
      <c r="N12" s="70" t="s">
        <v>53</v>
      </c>
      <c r="O12" s="45">
        <f t="shared" si="1"/>
        <v>0</v>
      </c>
    </row>
    <row r="13" spans="2:16" x14ac:dyDescent="0.25">
      <c r="B13" s="35" t="str">
        <f>IF(N(C13)=0,"",IF(ISNUMBER(MATCH(C13,C$4:C12,)),INDEX(B$4:B12,MATCH(C13,C$4:C12,)),MAX(B$4:B12)+1))</f>
        <v/>
      </c>
      <c r="C13" s="50"/>
      <c r="D13" s="11"/>
      <c r="E13" s="30">
        <f t="shared" si="0"/>
        <v>0</v>
      </c>
      <c r="F13" s="30">
        <f>IF(D13,D13-E13,)</f>
        <v>0</v>
      </c>
      <c r="H13" s="53"/>
      <c r="I13" s="43"/>
      <c r="K13" s="67">
        <v>6000</v>
      </c>
      <c r="L13" s="45">
        <v>6000</v>
      </c>
      <c r="M13" s="73">
        <v>1</v>
      </c>
      <c r="N13" s="70" t="s">
        <v>54</v>
      </c>
      <c r="O13" s="45">
        <f t="shared" si="1"/>
        <v>0</v>
      </c>
    </row>
    <row r="14" spans="2:16" x14ac:dyDescent="0.25">
      <c r="J14" s="15"/>
      <c r="K14" s="67">
        <v>6000</v>
      </c>
      <c r="L14" s="45">
        <v>5998</v>
      </c>
      <c r="M14" s="73">
        <v>1</v>
      </c>
      <c r="N14" s="70" t="s">
        <v>55</v>
      </c>
      <c r="O14" s="45">
        <f t="shared" si="1"/>
        <v>2</v>
      </c>
      <c r="P14" s="15"/>
    </row>
    <row r="15" spans="2:16" x14ac:dyDescent="0.25">
      <c r="B15" s="2" t="s">
        <v>13</v>
      </c>
      <c r="D15" s="37">
        <v>10</v>
      </c>
      <c r="E15" s="21" t="b">
        <v>1</v>
      </c>
      <c r="G15" s="17" t="s">
        <v>40</v>
      </c>
      <c r="H15" s="21">
        <v>5</v>
      </c>
      <c r="I15" s="17"/>
      <c r="J15" s="15"/>
      <c r="K15" s="67">
        <v>6000</v>
      </c>
      <c r="L15" s="45">
        <v>5998</v>
      </c>
      <c r="M15" s="73">
        <v>1</v>
      </c>
      <c r="N15" s="70" t="s">
        <v>56</v>
      </c>
      <c r="O15" s="45">
        <f t="shared" si="1"/>
        <v>2</v>
      </c>
      <c r="P15" s="15"/>
    </row>
    <row r="16" spans="2:16" x14ac:dyDescent="0.25">
      <c r="B16" s="38" t="s">
        <v>17</v>
      </c>
      <c r="C16" s="15"/>
      <c r="D16" s="39">
        <v>10</v>
      </c>
      <c r="E16" s="22" t="b">
        <v>1</v>
      </c>
      <c r="G16" s="17" t="s">
        <v>41</v>
      </c>
      <c r="H16" s="21">
        <v>1</v>
      </c>
      <c r="I16" s="17"/>
      <c r="J16" s="15"/>
      <c r="K16" s="67">
        <v>6000</v>
      </c>
      <c r="L16" s="45">
        <v>5994</v>
      </c>
      <c r="M16" s="73">
        <v>3</v>
      </c>
      <c r="N16" s="70" t="s">
        <v>32</v>
      </c>
      <c r="O16" s="45">
        <f t="shared" si="1"/>
        <v>6</v>
      </c>
      <c r="P16" s="15"/>
    </row>
    <row r="17" spans="1:16" x14ac:dyDescent="0.25">
      <c r="B17" s="38" t="s">
        <v>18</v>
      </c>
      <c r="C17" s="15"/>
      <c r="D17" s="39">
        <v>1000</v>
      </c>
      <c r="E17" s="22" t="b">
        <v>0</v>
      </c>
      <c r="F17" s="22" t="b">
        <v>0</v>
      </c>
      <c r="G17" s="17" t="s">
        <v>42</v>
      </c>
      <c r="I17" s="17"/>
      <c r="J17" s="15"/>
      <c r="K17" s="67">
        <v>6000</v>
      </c>
      <c r="L17" s="45">
        <v>5994</v>
      </c>
      <c r="M17" s="73">
        <v>1</v>
      </c>
      <c r="N17" s="70" t="s">
        <v>33</v>
      </c>
      <c r="O17" s="45">
        <f t="shared" si="1"/>
        <v>6</v>
      </c>
      <c r="P17" s="15"/>
    </row>
    <row r="18" spans="1:16" x14ac:dyDescent="0.25">
      <c r="B18" s="38"/>
      <c r="C18" s="15"/>
      <c r="D18" s="40"/>
      <c r="E18" s="22"/>
      <c r="G18" s="17" t="s">
        <v>43</v>
      </c>
      <c r="H18" s="15"/>
      <c r="I18" s="17"/>
      <c r="J18" s="15"/>
      <c r="K18" s="67">
        <v>6000</v>
      </c>
      <c r="L18" s="45">
        <v>5994</v>
      </c>
      <c r="M18" s="73">
        <v>1</v>
      </c>
      <c r="N18" s="70" t="s">
        <v>57</v>
      </c>
      <c r="O18" s="45">
        <f t="shared" si="1"/>
        <v>6</v>
      </c>
      <c r="P18" s="15"/>
    </row>
    <row r="19" spans="1:16" x14ac:dyDescent="0.25">
      <c r="B19" s="38"/>
      <c r="C19" s="15"/>
      <c r="D19" s="40"/>
      <c r="E19" s="22"/>
      <c r="G19" s="17" t="s">
        <v>44</v>
      </c>
      <c r="H19" s="15"/>
      <c r="I19" s="16"/>
      <c r="J19" s="15"/>
      <c r="K19" s="67">
        <v>6000</v>
      </c>
      <c r="L19" s="45">
        <v>5994</v>
      </c>
      <c r="M19" s="73">
        <v>1</v>
      </c>
      <c r="N19" s="70" t="s">
        <v>58</v>
      </c>
      <c r="O19" s="45">
        <f t="shared" si="1"/>
        <v>6</v>
      </c>
      <c r="P19" s="15"/>
    </row>
    <row r="20" spans="1:16" x14ac:dyDescent="0.25">
      <c r="B20" s="38"/>
      <c r="C20" s="15"/>
      <c r="D20" s="40"/>
      <c r="E20" s="22"/>
      <c r="H20" s="15"/>
      <c r="I20" s="16"/>
      <c r="J20" s="15"/>
      <c r="K20" s="67">
        <v>6000</v>
      </c>
      <c r="L20" s="45">
        <v>5994</v>
      </c>
      <c r="M20" s="73">
        <v>1</v>
      </c>
      <c r="N20" s="70" t="s">
        <v>34</v>
      </c>
      <c r="O20" s="45">
        <f t="shared" si="1"/>
        <v>6</v>
      </c>
      <c r="P20" s="15"/>
    </row>
    <row r="21" spans="1:16" x14ac:dyDescent="0.25">
      <c r="B21" s="38"/>
      <c r="C21" s="15"/>
      <c r="D21" s="40"/>
      <c r="E21" s="22"/>
      <c r="H21" s="15"/>
      <c r="I21" s="16"/>
      <c r="J21" s="15"/>
      <c r="K21" s="67">
        <v>6000</v>
      </c>
      <c r="L21" s="45">
        <v>5994</v>
      </c>
      <c r="M21" s="73">
        <v>1</v>
      </c>
      <c r="N21" s="70" t="s">
        <v>59</v>
      </c>
      <c r="O21" s="45">
        <f t="shared" si="1"/>
        <v>6</v>
      </c>
      <c r="P21" s="15"/>
    </row>
    <row r="22" spans="1:16" x14ac:dyDescent="0.25">
      <c r="B22" s="38"/>
      <c r="C22" s="15"/>
      <c r="D22" s="40"/>
      <c r="E22" s="22"/>
      <c r="H22" s="15"/>
      <c r="I22" s="16"/>
      <c r="J22" s="15"/>
      <c r="K22" s="67">
        <v>6000</v>
      </c>
      <c r="L22" s="45">
        <v>5994</v>
      </c>
      <c r="M22" s="73">
        <v>1</v>
      </c>
      <c r="N22" s="70" t="s">
        <v>60</v>
      </c>
      <c r="O22" s="45">
        <f t="shared" si="1"/>
        <v>6</v>
      </c>
      <c r="P22" s="15"/>
    </row>
    <row r="23" spans="1:16" x14ac:dyDescent="0.25">
      <c r="B23" s="2" t="s">
        <v>2</v>
      </c>
      <c r="H23" s="2" t="s">
        <v>5</v>
      </c>
      <c r="I23" s="2"/>
      <c r="J23" s="15"/>
      <c r="K23" s="67">
        <v>6000</v>
      </c>
      <c r="L23" s="45">
        <v>5994</v>
      </c>
      <c r="M23" s="73">
        <v>1</v>
      </c>
      <c r="N23" s="70" t="s">
        <v>35</v>
      </c>
      <c r="O23" s="45">
        <f t="shared" si="1"/>
        <v>6</v>
      </c>
      <c r="P23" s="15"/>
    </row>
    <row r="24" spans="1:16" x14ac:dyDescent="0.25">
      <c r="B24" s="3" t="s">
        <v>14</v>
      </c>
      <c r="C24" s="3" t="s">
        <v>1</v>
      </c>
      <c r="D24" s="3" t="s">
        <v>0</v>
      </c>
      <c r="E24" s="3" t="s">
        <v>8</v>
      </c>
      <c r="F24" s="4" t="s">
        <v>9</v>
      </c>
      <c r="H24" s="3" t="s">
        <v>1</v>
      </c>
      <c r="I24" s="3" t="s">
        <v>0</v>
      </c>
      <c r="J24" s="15"/>
      <c r="K24" s="67">
        <v>6000</v>
      </c>
      <c r="L24" s="45">
        <v>5994</v>
      </c>
      <c r="M24" s="73">
        <v>1</v>
      </c>
      <c r="N24" s="70" t="s">
        <v>61</v>
      </c>
      <c r="O24" s="45">
        <f t="shared" si="1"/>
        <v>6</v>
      </c>
      <c r="P24" s="15"/>
    </row>
    <row r="25" spans="1:16" x14ac:dyDescent="0.25">
      <c r="B25" s="27"/>
      <c r="C25" s="27">
        <f>IF(D25="много","много",SUMPRODUCT(C26:C115,D26:D115))</f>
        <v>178288</v>
      </c>
      <c r="D25" s="23">
        <f t="array" ref="D25">IF(OR((D26:D115="")+(C26:C115="")=1),"много",SUM(D26:D115))</f>
        <v>128</v>
      </c>
      <c r="E25" s="23">
        <f>SUM(E26:E115)</f>
        <v>128</v>
      </c>
      <c r="F25" s="23">
        <f>IF(D25="много","много",SUM(F26:F115))</f>
        <v>0</v>
      </c>
      <c r="H25" s="27">
        <f>SUMPRODUCT(H26:H115,I26:I115)</f>
        <v>0</v>
      </c>
      <c r="I25" s="23">
        <f>SUM(I26:I115)</f>
        <v>0</v>
      </c>
      <c r="J25" s="15"/>
      <c r="K25" s="67">
        <v>6000</v>
      </c>
      <c r="L25" s="45">
        <v>5994</v>
      </c>
      <c r="M25" s="73">
        <v>2</v>
      </c>
      <c r="N25" s="70" t="s">
        <v>62</v>
      </c>
      <c r="O25" s="45">
        <f t="shared" si="1"/>
        <v>6</v>
      </c>
      <c r="P25" s="15"/>
    </row>
    <row r="26" spans="1:16" x14ac:dyDescent="0.25">
      <c r="A26" s="17">
        <v>2</v>
      </c>
      <c r="B26" s="36">
        <f>IF(N(C26)=0,"",1)</f>
        <v>1</v>
      </c>
      <c r="C26" s="54">
        <v>636</v>
      </c>
      <c r="D26" s="44">
        <v>2</v>
      </c>
      <c r="E26" s="24">
        <f t="shared" ref="E26:E89" si="3">IF($K$3=0,0,IF(ISNA(VLOOKUP(C26,H$26:I$115,2,))*C26,D26,IF(C26="","",IF(D26="",TRUNC($C$3/C26)-VLOOKUP(C26,H$26:I$115,2,),D26-VLOOKUP(C26,H$26:I$115,2,)))))</f>
        <v>2</v>
      </c>
      <c r="F26" s="24">
        <f t="shared" ref="F26:F89" si="4">IF($K$3=0,"",IF(AND(C26&lt;&gt;"",D26&lt;&gt;""),D26-E26,IF(D26="","",TRUNC($C$3/C26)-VLOOKUP(C26,H$26:I$115,2,))))</f>
        <v>0</v>
      </c>
      <c r="G26" s="47">
        <f>--(C26+H26+K26&gt;0)</f>
        <v>1</v>
      </c>
      <c r="H26" s="51"/>
      <c r="I26" s="18"/>
      <c r="J26" s="15"/>
      <c r="K26" s="67">
        <v>6000</v>
      </c>
      <c r="L26" s="45">
        <v>5994</v>
      </c>
      <c r="M26" s="73">
        <v>1</v>
      </c>
      <c r="N26" s="70" t="s">
        <v>36</v>
      </c>
      <c r="O26" s="45">
        <f t="shared" si="1"/>
        <v>6</v>
      </c>
      <c r="P26" s="15"/>
    </row>
    <row r="27" spans="1:16" x14ac:dyDescent="0.25">
      <c r="A27" s="17">
        <v>3</v>
      </c>
      <c r="B27" s="34">
        <f>IF(N(C27)=0,"",IF(ISNUMBER(MATCH(C27,C$26:C26,)),INDEX(B$26:B26,MATCH(C27,C$26:C26,)),MAX(B$26:B26)+1))</f>
        <v>2</v>
      </c>
      <c r="C27" s="55">
        <v>666</v>
      </c>
      <c r="D27" s="7">
        <v>2</v>
      </c>
      <c r="E27" s="25">
        <f t="shared" si="3"/>
        <v>2</v>
      </c>
      <c r="F27" s="25">
        <f t="shared" si="4"/>
        <v>0</v>
      </c>
      <c r="G27" s="47">
        <f t="shared" ref="G27:G90" si="5">--(C27+H27+K27&gt;0)</f>
        <v>1</v>
      </c>
      <c r="H27" s="52"/>
      <c r="I27" s="19"/>
      <c r="J27" s="15"/>
      <c r="K27" s="67">
        <v>6000</v>
      </c>
      <c r="L27" s="45">
        <v>5994</v>
      </c>
      <c r="M27" s="73">
        <v>1</v>
      </c>
      <c r="N27" s="70" t="s">
        <v>63</v>
      </c>
      <c r="O27" s="45">
        <f t="shared" si="1"/>
        <v>6</v>
      </c>
      <c r="P27" s="15"/>
    </row>
    <row r="28" spans="1:16" x14ac:dyDescent="0.25">
      <c r="A28" s="17">
        <v>4</v>
      </c>
      <c r="B28" s="34">
        <f>IF(N(C28)=0,"",IF(ISNUMBER(MATCH(C28,C$26:C27,)),INDEX(B$26:B27,MATCH(C28,C$26:C27,)),MAX(B$26:B27)+1))</f>
        <v>3</v>
      </c>
      <c r="C28" s="55">
        <v>676</v>
      </c>
      <c r="D28" s="7">
        <v>2</v>
      </c>
      <c r="E28" s="25">
        <f t="shared" si="3"/>
        <v>2</v>
      </c>
      <c r="F28" s="25">
        <f t="shared" si="4"/>
        <v>0</v>
      </c>
      <c r="G28" s="47">
        <f t="shared" si="5"/>
        <v>1</v>
      </c>
      <c r="H28" s="52"/>
      <c r="I28" s="19"/>
      <c r="J28" s="15"/>
      <c r="K28" s="67">
        <v>6000</v>
      </c>
      <c r="L28" s="45">
        <v>5994</v>
      </c>
      <c r="M28" s="73">
        <v>1</v>
      </c>
      <c r="N28" s="70" t="s">
        <v>37</v>
      </c>
      <c r="O28" s="45">
        <f t="shared" si="1"/>
        <v>6</v>
      </c>
      <c r="P28" s="15"/>
    </row>
    <row r="29" spans="1:16" x14ac:dyDescent="0.25">
      <c r="A29" s="17">
        <v>5</v>
      </c>
      <c r="B29" s="34">
        <f>IF(N(C29)=0,"",IF(ISNUMBER(MATCH(C29,C$26:C28,)),INDEX(B$26:B28,MATCH(C29,C$26:C28,)),MAX(B$26:B28)+1))</f>
        <v>4</v>
      </c>
      <c r="C29" s="55">
        <v>686</v>
      </c>
      <c r="D29" s="7">
        <v>2</v>
      </c>
      <c r="E29" s="25">
        <f t="shared" si="3"/>
        <v>2</v>
      </c>
      <c r="F29" s="25">
        <f t="shared" si="4"/>
        <v>0</v>
      </c>
      <c r="G29" s="47">
        <f t="shared" si="5"/>
        <v>1</v>
      </c>
      <c r="H29" s="52"/>
      <c r="I29" s="19"/>
      <c r="J29" s="15"/>
      <c r="K29" s="67">
        <v>6000</v>
      </c>
      <c r="L29" s="45">
        <v>5994</v>
      </c>
      <c r="M29" s="73">
        <v>1</v>
      </c>
      <c r="N29" s="70" t="s">
        <v>64</v>
      </c>
      <c r="O29" s="45">
        <f t="shared" si="1"/>
        <v>6</v>
      </c>
      <c r="P29" s="15"/>
    </row>
    <row r="30" spans="1:16" x14ac:dyDescent="0.25">
      <c r="A30" s="17">
        <v>6</v>
      </c>
      <c r="B30" s="34">
        <f>IF(N(C30)=0,"",IF(ISNUMBER(MATCH(C30,C$26:C29,)),INDEX(B$26:B29,MATCH(C30,C$26:C29,)),MAX(B$26:B29)+1))</f>
        <v>5</v>
      </c>
      <c r="C30" s="55">
        <v>696</v>
      </c>
      <c r="D30" s="7">
        <v>2</v>
      </c>
      <c r="E30" s="25">
        <f t="shared" si="3"/>
        <v>2</v>
      </c>
      <c r="F30" s="25">
        <f t="shared" si="4"/>
        <v>0</v>
      </c>
      <c r="G30" s="47">
        <f t="shared" si="5"/>
        <v>1</v>
      </c>
      <c r="H30" s="52"/>
      <c r="I30" s="19"/>
      <c r="J30" s="15"/>
      <c r="K30" s="68">
        <v>6000</v>
      </c>
      <c r="L30" s="46">
        <v>5974</v>
      </c>
      <c r="M30" s="74">
        <v>1</v>
      </c>
      <c r="N30" s="71" t="s">
        <v>39</v>
      </c>
      <c r="O30" s="46">
        <f t="shared" si="1"/>
        <v>26</v>
      </c>
      <c r="P30" s="15"/>
    </row>
    <row r="31" spans="1:16" x14ac:dyDescent="0.25">
      <c r="A31" s="17">
        <v>7</v>
      </c>
      <c r="B31" s="34">
        <f>IF(N(C31)=0,"",IF(ISNUMBER(MATCH(C31,C$26:C30,)),INDEX(B$26:B30,MATCH(C31,C$26:C30,)),MAX(B$26:B30)+1))</f>
        <v>6</v>
      </c>
      <c r="C31" s="55">
        <v>706</v>
      </c>
      <c r="D31" s="7">
        <v>2</v>
      </c>
      <c r="E31" s="25">
        <f t="shared" si="3"/>
        <v>2</v>
      </c>
      <c r="F31" s="25">
        <f t="shared" si="4"/>
        <v>0</v>
      </c>
      <c r="G31" s="47">
        <f t="shared" si="5"/>
        <v>1</v>
      </c>
      <c r="H31" s="52"/>
      <c r="I31" s="19"/>
      <c r="J31" s="15"/>
      <c r="K31"/>
      <c r="L31"/>
      <c r="M31"/>
      <c r="N31"/>
      <c r="O31"/>
      <c r="P31" s="15"/>
    </row>
    <row r="32" spans="1:16" x14ac:dyDescent="0.25">
      <c r="A32" s="17">
        <v>8</v>
      </c>
      <c r="B32" s="34">
        <f>IF(N(C32)=0,"",IF(ISNUMBER(MATCH(C32,C$26:C31,)),INDEX(B$26:B31,MATCH(C32,C$26:C31,)),MAX(B$26:B31)+1))</f>
        <v>7</v>
      </c>
      <c r="C32" s="55">
        <v>866</v>
      </c>
      <c r="D32" s="7">
        <v>2</v>
      </c>
      <c r="E32" s="25">
        <f t="shared" si="3"/>
        <v>2</v>
      </c>
      <c r="F32" s="25">
        <f t="shared" si="4"/>
        <v>0</v>
      </c>
      <c r="G32" s="47">
        <f t="shared" si="5"/>
        <v>1</v>
      </c>
      <c r="H32" s="52"/>
      <c r="I32" s="19"/>
      <c r="J32" s="15"/>
      <c r="K32"/>
      <c r="L32"/>
      <c r="M32"/>
      <c r="N32"/>
      <c r="O32"/>
      <c r="P32" s="15"/>
    </row>
    <row r="33" spans="1:16" x14ac:dyDescent="0.25">
      <c r="A33" s="17">
        <v>16</v>
      </c>
      <c r="B33" s="34">
        <f>IF(N(C33)=0,"",IF(ISNUMBER(MATCH(C33,C$26:C32,)),INDEX(B$26:B32,MATCH(C33,C$26:C32,)),MAX(B$26:B32)+1))</f>
        <v>8</v>
      </c>
      <c r="C33" s="55">
        <v>1066</v>
      </c>
      <c r="D33" s="7">
        <v>6</v>
      </c>
      <c r="E33" s="25">
        <f t="shared" si="3"/>
        <v>6</v>
      </c>
      <c r="F33" s="25">
        <f t="shared" si="4"/>
        <v>0</v>
      </c>
      <c r="G33" s="47">
        <f t="shared" si="5"/>
        <v>1</v>
      </c>
      <c r="H33" s="52"/>
      <c r="I33" s="19"/>
      <c r="J33" s="15"/>
      <c r="K33"/>
      <c r="L33"/>
      <c r="M33"/>
      <c r="N33"/>
      <c r="O33"/>
      <c r="P33" s="15"/>
    </row>
    <row r="34" spans="1:16" x14ac:dyDescent="0.25">
      <c r="A34" s="17">
        <v>17</v>
      </c>
      <c r="B34" s="34">
        <f>IF(N(C34)=0,"",IF(ISNUMBER(MATCH(C34,C$26:C33,)),INDEX(B$26:B33,MATCH(C34,C$26:C33,)),MAX(B$26:B33)+1))</f>
        <v>9</v>
      </c>
      <c r="C34" s="55">
        <v>1126</v>
      </c>
      <c r="D34" s="7">
        <v>2</v>
      </c>
      <c r="E34" s="25">
        <f t="shared" si="3"/>
        <v>2</v>
      </c>
      <c r="F34" s="25">
        <f t="shared" si="4"/>
        <v>0</v>
      </c>
      <c r="G34" s="47">
        <f t="shared" si="5"/>
        <v>1</v>
      </c>
      <c r="H34" s="52"/>
      <c r="I34" s="19"/>
      <c r="J34" s="15"/>
      <c r="K34"/>
      <c r="L34"/>
      <c r="M34"/>
      <c r="N34"/>
      <c r="O34"/>
      <c r="P34" s="15"/>
    </row>
    <row r="35" spans="1:16" x14ac:dyDescent="0.25">
      <c r="A35" s="17">
        <v>18</v>
      </c>
      <c r="B35" s="34">
        <f>IF(N(C35)=0,"",IF(ISNUMBER(MATCH(C35,C$26:C34,)),INDEX(B$26:B34,MATCH(C35,C$26:C34,)),MAX(B$26:B34)+1))</f>
        <v>10</v>
      </c>
      <c r="C35" s="55">
        <v>1136</v>
      </c>
      <c r="D35" s="7">
        <v>2</v>
      </c>
      <c r="E35" s="25">
        <f t="shared" si="3"/>
        <v>2</v>
      </c>
      <c r="F35" s="25">
        <f t="shared" si="4"/>
        <v>0</v>
      </c>
      <c r="G35" s="47">
        <f t="shared" si="5"/>
        <v>1</v>
      </c>
      <c r="H35" s="52"/>
      <c r="I35" s="19"/>
      <c r="J35" s="15"/>
      <c r="K35"/>
      <c r="L35"/>
      <c r="M35"/>
      <c r="N35"/>
      <c r="O35"/>
      <c r="P35" s="15"/>
    </row>
    <row r="36" spans="1:16" x14ac:dyDescent="0.25">
      <c r="A36" s="17">
        <v>19</v>
      </c>
      <c r="B36" s="34">
        <f>IF(N(C36)=0,"",IF(ISNUMBER(MATCH(C36,C$26:C35,)),INDEX(B$26:B35,MATCH(C36,C$26:C35,)),MAX(B$26:B35)+1))</f>
        <v>11</v>
      </c>
      <c r="C36" s="55">
        <v>1166</v>
      </c>
      <c r="D36" s="7">
        <v>2</v>
      </c>
      <c r="E36" s="25">
        <f t="shared" si="3"/>
        <v>2</v>
      </c>
      <c r="F36" s="25">
        <f t="shared" si="4"/>
        <v>0</v>
      </c>
      <c r="G36" s="47">
        <f t="shared" si="5"/>
        <v>1</v>
      </c>
      <c r="H36" s="52"/>
      <c r="I36" s="19"/>
      <c r="J36" s="15"/>
      <c r="K36"/>
      <c r="L36"/>
      <c r="M36"/>
      <c r="N36"/>
      <c r="O36"/>
      <c r="P36" s="15"/>
    </row>
    <row r="37" spans="1:16" x14ac:dyDescent="0.25">
      <c r="A37" s="17">
        <v>20</v>
      </c>
      <c r="B37" s="34">
        <f>IF(N(C37)=0,"",IF(ISNUMBER(MATCH(C37,C$26:C36,)),INDEX(B$26:B36,MATCH(C37,C$26:C36,)),MAX(B$26:B36)+1))</f>
        <v>12</v>
      </c>
      <c r="C37" s="55">
        <v>1256</v>
      </c>
      <c r="D37" s="7">
        <v>2</v>
      </c>
      <c r="E37" s="25">
        <f t="shared" si="3"/>
        <v>2</v>
      </c>
      <c r="F37" s="25">
        <f t="shared" si="4"/>
        <v>0</v>
      </c>
      <c r="G37" s="47">
        <f t="shared" si="5"/>
        <v>1</v>
      </c>
      <c r="H37" s="52"/>
      <c r="I37" s="19"/>
      <c r="J37" s="15"/>
      <c r="K37"/>
      <c r="L37"/>
      <c r="M37"/>
      <c r="N37"/>
      <c r="O37"/>
      <c r="P37" s="15"/>
    </row>
    <row r="38" spans="1:16" x14ac:dyDescent="0.25">
      <c r="A38" s="17">
        <v>21</v>
      </c>
      <c r="B38" s="34">
        <f>IF(N(C38)=0,"",IF(ISNUMBER(MATCH(C38,C$26:C37,)),INDEX(B$26:B37,MATCH(C38,C$26:C37,)),MAX(B$26:B37)+1))</f>
        <v>13</v>
      </c>
      <c r="C38" s="55">
        <v>1266</v>
      </c>
      <c r="D38" s="7">
        <v>2</v>
      </c>
      <c r="E38" s="25">
        <f t="shared" si="3"/>
        <v>2</v>
      </c>
      <c r="F38" s="25">
        <f t="shared" si="4"/>
        <v>0</v>
      </c>
      <c r="G38" s="47">
        <f t="shared" si="5"/>
        <v>1</v>
      </c>
      <c r="H38" s="52"/>
      <c r="I38" s="19"/>
      <c r="J38" s="15"/>
      <c r="K38"/>
      <c r="L38"/>
      <c r="M38"/>
      <c r="N38"/>
      <c r="O38"/>
      <c r="P38" s="15"/>
    </row>
    <row r="39" spans="1:16" x14ac:dyDescent="0.25">
      <c r="A39" s="17">
        <v>22</v>
      </c>
      <c r="B39" s="34">
        <f>IF(N(C39)=0,"",IF(ISNUMBER(MATCH(C39,C$26:C38,)),INDEX(B$26:B38,MATCH(C39,C$26:C38,)),MAX(B$26:B38)+1))</f>
        <v>14</v>
      </c>
      <c r="C39" s="55">
        <v>1276</v>
      </c>
      <c r="D39" s="7">
        <v>2</v>
      </c>
      <c r="E39" s="25">
        <f t="shared" si="3"/>
        <v>2</v>
      </c>
      <c r="F39" s="25">
        <f t="shared" si="4"/>
        <v>0</v>
      </c>
      <c r="G39" s="47">
        <f t="shared" si="5"/>
        <v>1</v>
      </c>
      <c r="H39" s="52"/>
      <c r="I39" s="19"/>
      <c r="J39" s="15"/>
      <c r="K39"/>
      <c r="L39"/>
      <c r="M39"/>
      <c r="N39"/>
      <c r="O39"/>
      <c r="P39" s="15"/>
    </row>
    <row r="40" spans="1:16" x14ac:dyDescent="0.25">
      <c r="A40" s="17">
        <v>23</v>
      </c>
      <c r="B40" s="34">
        <f>IF(N(C40)=0,"",IF(ISNUMBER(MATCH(C40,C$26:C39,)),INDEX(B$26:B39,MATCH(C40,C$26:C39,)),MAX(B$26:B39)+1))</f>
        <v>15</v>
      </c>
      <c r="C40" s="55">
        <v>1306</v>
      </c>
      <c r="D40" s="7">
        <v>10</v>
      </c>
      <c r="E40" s="25">
        <f t="shared" si="3"/>
        <v>10</v>
      </c>
      <c r="F40" s="25">
        <f t="shared" si="4"/>
        <v>0</v>
      </c>
      <c r="G40" s="47">
        <f t="shared" si="5"/>
        <v>1</v>
      </c>
      <c r="H40" s="52"/>
      <c r="I40" s="19"/>
      <c r="J40" s="15"/>
      <c r="K40"/>
      <c r="L40"/>
      <c r="M40"/>
      <c r="N40"/>
      <c r="O40"/>
      <c r="P40" s="15"/>
    </row>
    <row r="41" spans="1:16" x14ac:dyDescent="0.25">
      <c r="A41" s="17">
        <v>24</v>
      </c>
      <c r="B41" s="34">
        <f>IF(N(C41)=0,"",IF(ISNUMBER(MATCH(C41,C$26:C40,)),INDEX(B$26:B40,MATCH(C41,C$26:C40,)),MAX(B$26:B40)+1))</f>
        <v>16</v>
      </c>
      <c r="C41" s="55">
        <v>1316</v>
      </c>
      <c r="D41" s="7">
        <v>2</v>
      </c>
      <c r="E41" s="25">
        <f t="shared" si="3"/>
        <v>2</v>
      </c>
      <c r="F41" s="25">
        <f t="shared" si="4"/>
        <v>0</v>
      </c>
      <c r="G41" s="47">
        <f t="shared" si="5"/>
        <v>1</v>
      </c>
      <c r="H41" s="52"/>
      <c r="I41" s="19"/>
      <c r="J41" s="15"/>
      <c r="K41"/>
      <c r="L41"/>
      <c r="M41"/>
      <c r="N41"/>
      <c r="O41"/>
      <c r="P41" s="15"/>
    </row>
    <row r="42" spans="1:16" x14ac:dyDescent="0.25">
      <c r="A42" s="17">
        <v>25</v>
      </c>
      <c r="B42" s="34">
        <f>IF(N(C42)=0,"",IF(ISNUMBER(MATCH(C42,C$26:C41,)),INDEX(B$26:B41,MATCH(C42,C$26:C41,)),MAX(B$26:B41)+1))</f>
        <v>17</v>
      </c>
      <c r="C42" s="55">
        <v>1326</v>
      </c>
      <c r="D42" s="7">
        <v>10</v>
      </c>
      <c r="E42" s="25">
        <f t="shared" si="3"/>
        <v>10</v>
      </c>
      <c r="F42" s="25">
        <f t="shared" si="4"/>
        <v>0</v>
      </c>
      <c r="G42" s="47">
        <f t="shared" si="5"/>
        <v>1</v>
      </c>
      <c r="H42" s="52"/>
      <c r="I42" s="19"/>
      <c r="J42" s="15"/>
      <c r="K42"/>
      <c r="L42"/>
      <c r="M42"/>
      <c r="N42"/>
      <c r="O42"/>
      <c r="P42" s="15"/>
    </row>
    <row r="43" spans="1:16" x14ac:dyDescent="0.25">
      <c r="A43" s="17">
        <v>26</v>
      </c>
      <c r="B43" s="34">
        <f>IF(N(C43)=0,"",IF(ISNUMBER(MATCH(C43,C$26:C42,)),INDEX(B$26:B42,MATCH(C43,C$26:C42,)),MAX(B$26:B42)+1))</f>
        <v>18</v>
      </c>
      <c r="C43" s="55">
        <v>1336</v>
      </c>
      <c r="D43" s="7">
        <v>12</v>
      </c>
      <c r="E43" s="25">
        <f t="shared" si="3"/>
        <v>12</v>
      </c>
      <c r="F43" s="25">
        <f t="shared" si="4"/>
        <v>0</v>
      </c>
      <c r="G43" s="47">
        <f t="shared" si="5"/>
        <v>1</v>
      </c>
      <c r="H43" s="52"/>
      <c r="I43" s="19"/>
      <c r="J43" s="15"/>
      <c r="K43"/>
      <c r="L43"/>
      <c r="M43"/>
      <c r="N43"/>
      <c r="O43"/>
      <c r="P43" s="15"/>
    </row>
    <row r="44" spans="1:16" x14ac:dyDescent="0.25">
      <c r="A44" s="17">
        <v>27</v>
      </c>
      <c r="B44" s="34">
        <f>IF(N(C44)=0,"",IF(ISNUMBER(MATCH(C44,C$26:C43,)),INDEX(B$26:B43,MATCH(C44,C$26:C43,)),MAX(B$26:B43)+1))</f>
        <v>19</v>
      </c>
      <c r="C44" s="55">
        <v>1346</v>
      </c>
      <c r="D44" s="7">
        <v>2</v>
      </c>
      <c r="E44" s="25">
        <f t="shared" si="3"/>
        <v>2</v>
      </c>
      <c r="F44" s="25">
        <f t="shared" si="4"/>
        <v>0</v>
      </c>
      <c r="G44" s="47">
        <f t="shared" si="5"/>
        <v>1</v>
      </c>
      <c r="H44" s="52"/>
      <c r="I44" s="19"/>
      <c r="J44" s="15"/>
      <c r="K44"/>
      <c r="L44"/>
      <c r="M44"/>
      <c r="N44"/>
      <c r="O44"/>
      <c r="P44" s="15"/>
    </row>
    <row r="45" spans="1:16" x14ac:dyDescent="0.25">
      <c r="A45" s="17">
        <v>28</v>
      </c>
      <c r="B45" s="34">
        <f>IF(N(C45)=0,"",IF(ISNUMBER(MATCH(C45,C$26:C44,)),INDEX(B$26:B44,MATCH(C45,C$26:C44,)),MAX(B$26:B44)+1))</f>
        <v>20</v>
      </c>
      <c r="C45" s="55">
        <v>1376</v>
      </c>
      <c r="D45" s="7">
        <v>2</v>
      </c>
      <c r="E45" s="25">
        <f t="shared" si="3"/>
        <v>2</v>
      </c>
      <c r="F45" s="25">
        <f t="shared" si="4"/>
        <v>0</v>
      </c>
      <c r="G45" s="47">
        <f t="shared" si="5"/>
        <v>1</v>
      </c>
      <c r="H45" s="52"/>
      <c r="I45" s="19"/>
      <c r="J45" s="15"/>
      <c r="K45"/>
      <c r="L45"/>
      <c r="M45"/>
      <c r="N45"/>
      <c r="O45"/>
      <c r="P45" s="15"/>
    </row>
    <row r="46" spans="1:16" x14ac:dyDescent="0.25">
      <c r="A46" s="17">
        <v>29</v>
      </c>
      <c r="B46" s="34">
        <f>IF(N(C46)=0,"",IF(ISNUMBER(MATCH(C46,C$26:C45,)),INDEX(B$26:B45,MATCH(C46,C$26:C45,)),MAX(B$26:B45)+1))</f>
        <v>21</v>
      </c>
      <c r="C46" s="55">
        <v>1396</v>
      </c>
      <c r="D46" s="7">
        <v>8</v>
      </c>
      <c r="E46" s="25">
        <f t="shared" si="3"/>
        <v>8</v>
      </c>
      <c r="F46" s="25">
        <f t="shared" si="4"/>
        <v>0</v>
      </c>
      <c r="G46" s="47">
        <f t="shared" si="5"/>
        <v>1</v>
      </c>
      <c r="H46" s="52"/>
      <c r="I46" s="19"/>
      <c r="J46" s="15"/>
      <c r="K46"/>
      <c r="L46"/>
      <c r="M46"/>
      <c r="N46"/>
      <c r="O46"/>
      <c r="P46" s="15"/>
    </row>
    <row r="47" spans="1:16" x14ac:dyDescent="0.25">
      <c r="A47" s="17">
        <v>30</v>
      </c>
      <c r="B47" s="34">
        <f>IF(N(C47)=0,"",IF(ISNUMBER(MATCH(C47,C$26:C46,)),INDEX(B$26:B46,MATCH(C47,C$26:C46,)),MAX(B$26:B46)+1))</f>
        <v>22</v>
      </c>
      <c r="C47" s="55">
        <v>1406</v>
      </c>
      <c r="D47" s="7">
        <v>10</v>
      </c>
      <c r="E47" s="25">
        <f t="shared" si="3"/>
        <v>10</v>
      </c>
      <c r="F47" s="25">
        <f t="shared" si="4"/>
        <v>0</v>
      </c>
      <c r="G47" s="47">
        <f t="shared" si="5"/>
        <v>1</v>
      </c>
      <c r="H47" s="52"/>
      <c r="I47" s="19"/>
      <c r="J47" s="15"/>
      <c r="K47"/>
      <c r="L47"/>
      <c r="M47"/>
      <c r="N47"/>
      <c r="O47"/>
      <c r="P47" s="15"/>
    </row>
    <row r="48" spans="1:16" x14ac:dyDescent="0.25">
      <c r="A48" s="17">
        <v>31</v>
      </c>
      <c r="B48" s="34">
        <f>IF(N(C48)=0,"",IF(ISNUMBER(MATCH(C48,C$26:C47,)),INDEX(B$26:B47,MATCH(C48,C$26:C47,)),MAX(B$26:B47)+1))</f>
        <v>23</v>
      </c>
      <c r="C48" s="55">
        <v>1416</v>
      </c>
      <c r="D48" s="7">
        <v>4</v>
      </c>
      <c r="E48" s="25">
        <f t="shared" si="3"/>
        <v>4</v>
      </c>
      <c r="F48" s="25">
        <f t="shared" si="4"/>
        <v>0</v>
      </c>
      <c r="G48" s="47">
        <f t="shared" si="5"/>
        <v>1</v>
      </c>
      <c r="H48" s="52"/>
      <c r="I48" s="19"/>
      <c r="J48" s="15"/>
      <c r="K48"/>
      <c r="L48"/>
      <c r="M48"/>
      <c r="N48"/>
      <c r="O48"/>
      <c r="P48" s="15"/>
    </row>
    <row r="49" spans="1:16" x14ac:dyDescent="0.25">
      <c r="A49" s="17">
        <v>32</v>
      </c>
      <c r="B49" s="34">
        <f>IF(N(C49)=0,"",IF(ISNUMBER(MATCH(C49,C$26:C48,)),INDEX(B$26:B48,MATCH(C49,C$26:C48,)),MAX(B$26:B48)+1))</f>
        <v>24</v>
      </c>
      <c r="C49" s="55">
        <v>1436</v>
      </c>
      <c r="D49" s="7">
        <v>2</v>
      </c>
      <c r="E49" s="25">
        <f t="shared" si="3"/>
        <v>2</v>
      </c>
      <c r="F49" s="25">
        <f t="shared" si="4"/>
        <v>0</v>
      </c>
      <c r="G49" s="47">
        <f t="shared" si="5"/>
        <v>1</v>
      </c>
      <c r="H49" s="52"/>
      <c r="I49" s="19"/>
      <c r="J49" s="15"/>
      <c r="K49"/>
      <c r="L49"/>
      <c r="M49"/>
      <c r="N49"/>
      <c r="O49"/>
      <c r="P49" s="15"/>
    </row>
    <row r="50" spans="1:16" x14ac:dyDescent="0.25">
      <c r="A50" s="17">
        <v>33</v>
      </c>
      <c r="B50" s="34">
        <f>IF(N(C50)=0,"",IF(ISNUMBER(MATCH(C50,C$26:C49,)),INDEX(B$26:B49,MATCH(C50,C$26:C49,)),MAX(B$26:B49)+1))</f>
        <v>25</v>
      </c>
      <c r="C50" s="55">
        <v>1506</v>
      </c>
      <c r="D50" s="7">
        <v>6</v>
      </c>
      <c r="E50" s="25">
        <f t="shared" si="3"/>
        <v>6</v>
      </c>
      <c r="F50" s="25">
        <f t="shared" si="4"/>
        <v>0</v>
      </c>
      <c r="G50" s="47">
        <f t="shared" si="5"/>
        <v>1</v>
      </c>
      <c r="H50" s="52"/>
      <c r="I50" s="19"/>
      <c r="J50" s="15"/>
      <c r="K50"/>
      <c r="L50"/>
      <c r="M50"/>
      <c r="N50"/>
      <c r="O50"/>
      <c r="P50" s="15"/>
    </row>
    <row r="51" spans="1:16" x14ac:dyDescent="0.25">
      <c r="A51" s="17">
        <v>34</v>
      </c>
      <c r="B51" s="34">
        <f>IF(N(C51)=0,"",IF(ISNUMBER(MATCH(C51,C$26:C50,)),INDEX(B$26:B50,MATCH(C51,C$26:C50,)),MAX(B$26:B50)+1))</f>
        <v>26</v>
      </c>
      <c r="C51" s="55">
        <v>1526</v>
      </c>
      <c r="D51" s="7">
        <v>8</v>
      </c>
      <c r="E51" s="25">
        <f t="shared" si="3"/>
        <v>8</v>
      </c>
      <c r="F51" s="25">
        <f t="shared" si="4"/>
        <v>0</v>
      </c>
      <c r="G51" s="47">
        <f t="shared" si="5"/>
        <v>1</v>
      </c>
      <c r="H51" s="52"/>
      <c r="I51" s="19"/>
      <c r="J51" s="15"/>
      <c r="K51"/>
      <c r="L51"/>
      <c r="M51"/>
      <c r="N51"/>
      <c r="O51"/>
      <c r="P51" s="15"/>
    </row>
    <row r="52" spans="1:16" x14ac:dyDescent="0.25">
      <c r="A52" s="17">
        <v>35</v>
      </c>
      <c r="B52" s="34">
        <f>IF(N(C52)=0,"",IF(ISNUMBER(MATCH(C52,C$26:C51,)),INDEX(B$26:B51,MATCH(C52,C$26:C51,)),MAX(B$26:B51)+1))</f>
        <v>27</v>
      </c>
      <c r="C52" s="55">
        <v>1836</v>
      </c>
      <c r="D52" s="7">
        <v>2</v>
      </c>
      <c r="E52" s="25">
        <f t="shared" si="3"/>
        <v>2</v>
      </c>
      <c r="F52" s="25">
        <f t="shared" si="4"/>
        <v>0</v>
      </c>
      <c r="G52" s="47">
        <f t="shared" si="5"/>
        <v>1</v>
      </c>
      <c r="H52" s="52"/>
      <c r="I52" s="19"/>
      <c r="J52" s="15"/>
      <c r="K52"/>
      <c r="L52"/>
      <c r="M52"/>
      <c r="N52"/>
      <c r="O52"/>
      <c r="P52" s="15"/>
    </row>
    <row r="53" spans="1:16" x14ac:dyDescent="0.25">
      <c r="A53" s="17">
        <v>36</v>
      </c>
      <c r="B53" s="34">
        <f>IF(N(C53)=0,"",IF(ISNUMBER(MATCH(C53,C$26:C52,)),INDEX(B$26:B52,MATCH(C53,C$26:C52,)),MAX(B$26:B52)+1))</f>
        <v>28</v>
      </c>
      <c r="C53" s="55">
        <v>1906</v>
      </c>
      <c r="D53" s="7">
        <v>2</v>
      </c>
      <c r="E53" s="25">
        <f t="shared" si="3"/>
        <v>2</v>
      </c>
      <c r="F53" s="25">
        <f t="shared" si="4"/>
        <v>0</v>
      </c>
      <c r="G53" s="47">
        <f t="shared" si="5"/>
        <v>1</v>
      </c>
      <c r="H53" s="52"/>
      <c r="I53" s="19"/>
      <c r="J53" s="15"/>
      <c r="K53"/>
      <c r="L53"/>
      <c r="M53"/>
      <c r="N53"/>
      <c r="O53"/>
      <c r="P53" s="15"/>
    </row>
    <row r="54" spans="1:16" x14ac:dyDescent="0.25">
      <c r="A54" s="17">
        <v>37</v>
      </c>
      <c r="B54" s="34">
        <f>IF(N(C54)=0,"",IF(ISNUMBER(MATCH(C54,C$26:C53,)),INDEX(B$26:B53,MATCH(C54,C$26:C53,)),MAX(B$26:B53)+1))</f>
        <v>29</v>
      </c>
      <c r="C54" s="55">
        <v>2066</v>
      </c>
      <c r="D54" s="7">
        <v>2</v>
      </c>
      <c r="E54" s="25">
        <f t="shared" si="3"/>
        <v>2</v>
      </c>
      <c r="F54" s="25">
        <f t="shared" si="4"/>
        <v>0</v>
      </c>
      <c r="G54" s="47">
        <f t="shared" si="5"/>
        <v>1</v>
      </c>
      <c r="H54" s="52"/>
      <c r="I54" s="19"/>
      <c r="J54" s="15"/>
      <c r="K54"/>
      <c r="L54"/>
      <c r="M54"/>
      <c r="N54"/>
      <c r="O54"/>
      <c r="P54" s="15"/>
    </row>
    <row r="55" spans="1:16" x14ac:dyDescent="0.25">
      <c r="A55" s="17">
        <v>38</v>
      </c>
      <c r="B55" s="34">
        <f>IF(N(C55)=0,"",IF(ISNUMBER(MATCH(C55,C$26:C54,)),INDEX(B$26:B54,MATCH(C55,C$26:C54,)),MAX(B$26:B54)+1))</f>
        <v>30</v>
      </c>
      <c r="C55" s="55">
        <v>2086</v>
      </c>
      <c r="D55" s="7">
        <v>2</v>
      </c>
      <c r="E55" s="25">
        <f t="shared" si="3"/>
        <v>2</v>
      </c>
      <c r="F55" s="25">
        <f t="shared" si="4"/>
        <v>0</v>
      </c>
      <c r="G55" s="47">
        <f t="shared" si="5"/>
        <v>1</v>
      </c>
      <c r="H55" s="52"/>
      <c r="I55" s="19"/>
      <c r="J55" s="15"/>
      <c r="K55"/>
      <c r="L55"/>
      <c r="M55"/>
      <c r="N55"/>
      <c r="O55"/>
      <c r="P55" s="15"/>
    </row>
    <row r="56" spans="1:16" x14ac:dyDescent="0.25">
      <c r="A56" s="17">
        <v>39</v>
      </c>
      <c r="B56" s="34">
        <f>IF(N(C56)=0,"",IF(ISNUMBER(MATCH(C56,C$26:C55,)),INDEX(B$26:B55,MATCH(C56,C$26:C55,)),MAX(B$26:B55)+1))</f>
        <v>31</v>
      </c>
      <c r="C56" s="55">
        <v>2106</v>
      </c>
      <c r="D56" s="7">
        <v>2</v>
      </c>
      <c r="E56" s="25">
        <f t="shared" si="3"/>
        <v>2</v>
      </c>
      <c r="F56" s="25">
        <f t="shared" si="4"/>
        <v>0</v>
      </c>
      <c r="G56" s="47">
        <f t="shared" si="5"/>
        <v>1</v>
      </c>
      <c r="H56" s="52"/>
      <c r="I56" s="19"/>
      <c r="J56" s="15"/>
      <c r="K56"/>
      <c r="L56"/>
      <c r="M56"/>
      <c r="N56"/>
      <c r="O56"/>
      <c r="P56" s="15"/>
    </row>
    <row r="57" spans="1:16" x14ac:dyDescent="0.25">
      <c r="A57" s="17">
        <v>40</v>
      </c>
      <c r="B57" s="34">
        <f>IF(N(C57)=0,"",IF(ISNUMBER(MATCH(C57,C$26:C56,)),INDEX(B$26:B56,MATCH(C57,C$26:C56,)),MAX(B$26:B56)+1))</f>
        <v>32</v>
      </c>
      <c r="C57" s="55">
        <v>2126</v>
      </c>
      <c r="D57" s="7">
        <v>2</v>
      </c>
      <c r="E57" s="25">
        <f t="shared" si="3"/>
        <v>2</v>
      </c>
      <c r="F57" s="25">
        <f t="shared" si="4"/>
        <v>0</v>
      </c>
      <c r="G57" s="47">
        <f t="shared" si="5"/>
        <v>1</v>
      </c>
      <c r="H57" s="52"/>
      <c r="I57" s="19"/>
      <c r="J57" s="15"/>
      <c r="K57"/>
      <c r="L57"/>
      <c r="M57"/>
      <c r="N57"/>
      <c r="O57"/>
      <c r="P57" s="15"/>
    </row>
    <row r="58" spans="1:16" x14ac:dyDescent="0.25">
      <c r="A58" s="17">
        <v>41</v>
      </c>
      <c r="B58" s="34">
        <f>IF(N(C58)=0,"",IF(ISNUMBER(MATCH(C58,C$26:C57,)),INDEX(B$26:B57,MATCH(C58,C$26:C57,)),MAX(B$26:B57)+1))</f>
        <v>33</v>
      </c>
      <c r="C58" s="55">
        <v>2136</v>
      </c>
      <c r="D58" s="7">
        <v>2</v>
      </c>
      <c r="E58" s="25">
        <f t="shared" si="3"/>
        <v>2</v>
      </c>
      <c r="F58" s="25">
        <f t="shared" si="4"/>
        <v>0</v>
      </c>
      <c r="G58" s="47">
        <f t="shared" si="5"/>
        <v>1</v>
      </c>
      <c r="H58" s="52"/>
      <c r="I58" s="19"/>
      <c r="J58" s="15"/>
      <c r="K58"/>
      <c r="L58"/>
      <c r="M58"/>
      <c r="N58"/>
      <c r="O58"/>
      <c r="P58" s="15"/>
    </row>
    <row r="59" spans="1:16" x14ac:dyDescent="0.25">
      <c r="A59" s="17">
        <v>42</v>
      </c>
      <c r="B59" s="34">
        <f>IF(N(C59)=0,"",IF(ISNUMBER(MATCH(C59,C$26:C58,)),INDEX(B$26:B58,MATCH(C59,C$26:C58,)),MAX(B$26:B58)+1))</f>
        <v>34</v>
      </c>
      <c r="C59" s="55">
        <v>2176</v>
      </c>
      <c r="D59" s="7">
        <v>2</v>
      </c>
      <c r="E59" s="25">
        <f t="shared" si="3"/>
        <v>2</v>
      </c>
      <c r="F59" s="25">
        <f t="shared" si="4"/>
        <v>0</v>
      </c>
      <c r="G59" s="47">
        <f t="shared" si="5"/>
        <v>1</v>
      </c>
      <c r="H59" s="52"/>
      <c r="I59" s="19"/>
      <c r="J59" s="15"/>
      <c r="K59"/>
      <c r="L59"/>
      <c r="M59"/>
      <c r="N59"/>
      <c r="O59"/>
      <c r="P59" s="15"/>
    </row>
    <row r="60" spans="1:16" x14ac:dyDescent="0.25">
      <c r="A60" s="17">
        <v>43</v>
      </c>
      <c r="B60" s="34">
        <f>IF(N(C60)=0,"",IF(ISNUMBER(MATCH(C60,C$26:C59,)),INDEX(B$26:B59,MATCH(C60,C$26:C59,)),MAX(B$26:B59)+1))</f>
        <v>35</v>
      </c>
      <c r="C60" s="55">
        <v>2286</v>
      </c>
      <c r="D60" s="7">
        <v>2</v>
      </c>
      <c r="E60" s="25">
        <f t="shared" si="3"/>
        <v>2</v>
      </c>
      <c r="F60" s="25">
        <f t="shared" si="4"/>
        <v>0</v>
      </c>
      <c r="G60" s="47">
        <f t="shared" si="5"/>
        <v>1</v>
      </c>
      <c r="H60" s="52"/>
      <c r="I60" s="19"/>
      <c r="J60" s="15"/>
      <c r="K60"/>
      <c r="L60"/>
      <c r="M60"/>
      <c r="N60"/>
      <c r="O60"/>
      <c r="P60" s="15"/>
    </row>
    <row r="61" spans="1:16" x14ac:dyDescent="0.25">
      <c r="A61" s="17">
        <v>44</v>
      </c>
      <c r="B61" s="34">
        <f>IF(N(C61)=0,"",IF(ISNUMBER(MATCH(C61,C$26:C60,)),INDEX(B$26:B60,MATCH(C61,C$26:C60,)),MAX(B$26:B60)+1))</f>
        <v>36</v>
      </c>
      <c r="C61" s="55">
        <v>2346</v>
      </c>
      <c r="D61" s="7">
        <v>2</v>
      </c>
      <c r="E61" s="25">
        <f t="shared" si="3"/>
        <v>2</v>
      </c>
      <c r="F61" s="25">
        <f t="shared" si="4"/>
        <v>0</v>
      </c>
      <c r="G61" s="47">
        <f t="shared" si="5"/>
        <v>1</v>
      </c>
      <c r="H61" s="52"/>
      <c r="I61" s="19"/>
      <c r="J61" s="15"/>
      <c r="K61"/>
      <c r="L61"/>
      <c r="M61"/>
      <c r="N61"/>
      <c r="O61"/>
      <c r="P61" s="15"/>
    </row>
    <row r="62" spans="1:16" x14ac:dyDescent="0.25">
      <c r="A62" s="17">
        <v>45</v>
      </c>
      <c r="B62" s="34" t="str">
        <f>IF(N(C62)=0,"",IF(ISNUMBER(MATCH(C62,C$26:C61,)),INDEX(B$26:B61,MATCH(C62,C$26:C61,)),MAX(B$26:B61)+1))</f>
        <v/>
      </c>
      <c r="C62" s="55"/>
      <c r="D62" s="7"/>
      <c r="E62" s="25" t="str">
        <f t="shared" si="3"/>
        <v/>
      </c>
      <c r="F62" s="25" t="str">
        <f t="shared" si="4"/>
        <v/>
      </c>
      <c r="G62" s="47">
        <f t="shared" si="5"/>
        <v>0</v>
      </c>
      <c r="H62" s="52"/>
      <c r="I62" s="19"/>
      <c r="J62" s="15"/>
      <c r="K62"/>
      <c r="L62"/>
      <c r="M62"/>
      <c r="N62"/>
      <c r="O62"/>
      <c r="P62" s="15"/>
    </row>
    <row r="63" spans="1:16" x14ac:dyDescent="0.25">
      <c r="A63" s="17">
        <v>46</v>
      </c>
      <c r="B63" s="34" t="str">
        <f>IF(N(C63)=0,"",IF(ISNUMBER(MATCH(C63,C$26:C62,)),INDEX(B$26:B62,MATCH(C63,C$26:C62,)),MAX(B$26:B62)+1))</f>
        <v/>
      </c>
      <c r="C63" s="55"/>
      <c r="D63" s="7"/>
      <c r="E63" s="25" t="str">
        <f t="shared" si="3"/>
        <v/>
      </c>
      <c r="F63" s="25" t="str">
        <f t="shared" si="4"/>
        <v/>
      </c>
      <c r="G63" s="47">
        <f t="shared" si="5"/>
        <v>0</v>
      </c>
      <c r="H63" s="52"/>
      <c r="I63" s="19"/>
      <c r="J63" s="15"/>
      <c r="K63"/>
      <c r="L63"/>
      <c r="M63"/>
      <c r="N63"/>
      <c r="O63"/>
      <c r="P63" s="15"/>
    </row>
    <row r="64" spans="1:16" x14ac:dyDescent="0.25">
      <c r="A64" s="17">
        <v>47</v>
      </c>
      <c r="B64" s="34" t="str">
        <f>IF(N(C64)=0,"",IF(ISNUMBER(MATCH(C64,C$26:C63,)),INDEX(B$26:B63,MATCH(C64,C$26:C63,)),MAX(B$26:B63)+1))</f>
        <v/>
      </c>
      <c r="C64" s="55"/>
      <c r="D64" s="7"/>
      <c r="E64" s="25" t="str">
        <f t="shared" si="3"/>
        <v/>
      </c>
      <c r="F64" s="25" t="str">
        <f t="shared" si="4"/>
        <v/>
      </c>
      <c r="G64" s="47">
        <f t="shared" si="5"/>
        <v>0</v>
      </c>
      <c r="H64" s="52"/>
      <c r="I64" s="19"/>
      <c r="J64" s="15"/>
      <c r="K64"/>
      <c r="L64"/>
      <c r="M64"/>
      <c r="N64"/>
      <c r="O64"/>
      <c r="P64" s="15"/>
    </row>
    <row r="65" spans="1:16" x14ac:dyDescent="0.25">
      <c r="A65" s="17">
        <v>48</v>
      </c>
      <c r="B65" s="34" t="str">
        <f>IF(N(C65)=0,"",IF(ISNUMBER(MATCH(C65,C$26:C64,)),INDEX(B$26:B64,MATCH(C65,C$26:C64,)),MAX(B$26:B64)+1))</f>
        <v/>
      </c>
      <c r="C65" s="55"/>
      <c r="D65" s="7"/>
      <c r="E65" s="25" t="str">
        <f t="shared" si="3"/>
        <v/>
      </c>
      <c r="F65" s="25" t="str">
        <f t="shared" si="4"/>
        <v/>
      </c>
      <c r="G65" s="47">
        <f t="shared" si="5"/>
        <v>0</v>
      </c>
      <c r="H65" s="52"/>
      <c r="I65" s="19"/>
      <c r="J65" s="15"/>
      <c r="K65"/>
      <c r="L65"/>
      <c r="M65"/>
      <c r="N65"/>
      <c r="O65"/>
      <c r="P65" s="15"/>
    </row>
    <row r="66" spans="1:16" x14ac:dyDescent="0.25">
      <c r="A66" s="17">
        <v>49</v>
      </c>
      <c r="B66" s="34" t="str">
        <f>IF(N(C66)=0,"",IF(ISNUMBER(MATCH(C66,C$26:C65,)),INDEX(B$26:B65,MATCH(C66,C$26:C65,)),MAX(B$26:B65)+1))</f>
        <v/>
      </c>
      <c r="C66" s="55"/>
      <c r="D66" s="7"/>
      <c r="E66" s="25" t="str">
        <f t="shared" si="3"/>
        <v/>
      </c>
      <c r="F66" s="25" t="str">
        <f t="shared" si="4"/>
        <v/>
      </c>
      <c r="G66" s="47">
        <f t="shared" si="5"/>
        <v>0</v>
      </c>
      <c r="H66" s="52"/>
      <c r="I66" s="19"/>
      <c r="J66" s="15"/>
      <c r="K66"/>
      <c r="L66"/>
      <c r="M66"/>
      <c r="N66"/>
      <c r="O66"/>
      <c r="P66" s="15"/>
    </row>
    <row r="67" spans="1:16" x14ac:dyDescent="0.25">
      <c r="A67" s="17">
        <v>50</v>
      </c>
      <c r="B67" s="34" t="str">
        <f>IF(N(C67)=0,"",IF(ISNUMBER(MATCH(C67,C$26:C66,)),INDEX(B$26:B66,MATCH(C67,C$26:C66,)),MAX(B$26:B66)+1))</f>
        <v/>
      </c>
      <c r="C67" s="55"/>
      <c r="D67" s="7"/>
      <c r="E67" s="25" t="str">
        <f t="shared" si="3"/>
        <v/>
      </c>
      <c r="F67" s="25" t="str">
        <f t="shared" si="4"/>
        <v/>
      </c>
      <c r="G67" s="47">
        <f t="shared" si="5"/>
        <v>0</v>
      </c>
      <c r="H67" s="52"/>
      <c r="I67" s="19"/>
      <c r="J67" s="15"/>
      <c r="K67"/>
      <c r="L67"/>
      <c r="M67"/>
      <c r="N67"/>
      <c r="O67"/>
      <c r="P67" s="15"/>
    </row>
    <row r="68" spans="1:16" x14ac:dyDescent="0.25">
      <c r="A68" s="17">
        <v>51</v>
      </c>
      <c r="B68" s="34" t="str">
        <f>IF(N(C68)=0,"",IF(ISNUMBER(MATCH(C68,C$26:C67,)),INDEX(B$26:B67,MATCH(C68,C$26:C67,)),MAX(B$26:B67)+1))</f>
        <v/>
      </c>
      <c r="C68" s="55"/>
      <c r="D68" s="7"/>
      <c r="E68" s="25" t="str">
        <f t="shared" si="3"/>
        <v/>
      </c>
      <c r="F68" s="25" t="str">
        <f t="shared" si="4"/>
        <v/>
      </c>
      <c r="G68" s="47">
        <f t="shared" si="5"/>
        <v>0</v>
      </c>
      <c r="H68" s="52"/>
      <c r="I68" s="19"/>
      <c r="J68" s="15"/>
      <c r="K68"/>
      <c r="L68"/>
      <c r="M68"/>
      <c r="N68"/>
      <c r="O68"/>
      <c r="P68" s="15"/>
    </row>
    <row r="69" spans="1:16" x14ac:dyDescent="0.25">
      <c r="A69" s="17">
        <v>52</v>
      </c>
      <c r="B69" s="34" t="str">
        <f>IF(N(C69)=0,"",IF(ISNUMBER(MATCH(C69,C$26:C68,)),INDEX(B$26:B68,MATCH(C69,C$26:C68,)),MAX(B$26:B68)+1))</f>
        <v/>
      </c>
      <c r="C69" s="55"/>
      <c r="D69" s="7"/>
      <c r="E69" s="25" t="str">
        <f t="shared" si="3"/>
        <v/>
      </c>
      <c r="F69" s="25" t="str">
        <f t="shared" si="4"/>
        <v/>
      </c>
      <c r="G69" s="47">
        <f t="shared" si="5"/>
        <v>0</v>
      </c>
      <c r="H69" s="52"/>
      <c r="I69" s="19"/>
      <c r="J69" s="15"/>
      <c r="K69"/>
      <c r="L69"/>
      <c r="M69"/>
      <c r="N69"/>
      <c r="O69"/>
      <c r="P69" s="15"/>
    </row>
    <row r="70" spans="1:16" x14ac:dyDescent="0.25">
      <c r="A70" s="17">
        <v>53</v>
      </c>
      <c r="B70" s="34" t="str">
        <f>IF(N(C70)=0,"",IF(ISNUMBER(MATCH(C70,C$26:C69,)),INDEX(B$26:B69,MATCH(C70,C$26:C69,)),MAX(B$26:B69)+1))</f>
        <v/>
      </c>
      <c r="C70" s="55"/>
      <c r="D70" s="7"/>
      <c r="E70" s="25" t="str">
        <f t="shared" si="3"/>
        <v/>
      </c>
      <c r="F70" s="25" t="str">
        <f t="shared" si="4"/>
        <v/>
      </c>
      <c r="G70" s="47">
        <f t="shared" si="5"/>
        <v>0</v>
      </c>
      <c r="H70" s="52"/>
      <c r="I70" s="19"/>
      <c r="J70" s="15"/>
      <c r="K70"/>
      <c r="L70"/>
      <c r="M70"/>
      <c r="N70"/>
      <c r="O70"/>
      <c r="P70" s="15"/>
    </row>
    <row r="71" spans="1:16" x14ac:dyDescent="0.25">
      <c r="A71" s="17">
        <v>54</v>
      </c>
      <c r="B71" s="34" t="str">
        <f>IF(N(C71)=0,"",IF(ISNUMBER(MATCH(C71,C$26:C70,)),INDEX(B$26:B70,MATCH(C71,C$26:C70,)),MAX(B$26:B70)+1))</f>
        <v/>
      </c>
      <c r="C71" s="55"/>
      <c r="D71" s="7"/>
      <c r="E71" s="25" t="str">
        <f t="shared" si="3"/>
        <v/>
      </c>
      <c r="F71" s="25" t="str">
        <f t="shared" si="4"/>
        <v/>
      </c>
      <c r="G71" s="47">
        <f t="shared" si="5"/>
        <v>0</v>
      </c>
      <c r="H71" s="52"/>
      <c r="I71" s="19"/>
      <c r="J71" s="15"/>
      <c r="K71"/>
      <c r="L71"/>
      <c r="M71"/>
      <c r="N71"/>
      <c r="O71"/>
      <c r="P71" s="15"/>
    </row>
    <row r="72" spans="1:16" x14ac:dyDescent="0.25">
      <c r="A72" s="17">
        <v>55</v>
      </c>
      <c r="B72" s="34" t="str">
        <f>IF(N(C72)=0,"",IF(ISNUMBER(MATCH(C72,C$26:C71,)),INDEX(B$26:B71,MATCH(C72,C$26:C71,)),MAX(B$26:B71)+1))</f>
        <v/>
      </c>
      <c r="C72" s="55"/>
      <c r="D72" s="7"/>
      <c r="E72" s="25" t="str">
        <f t="shared" si="3"/>
        <v/>
      </c>
      <c r="F72" s="25" t="str">
        <f t="shared" si="4"/>
        <v/>
      </c>
      <c r="G72" s="47">
        <f t="shared" si="5"/>
        <v>0</v>
      </c>
      <c r="H72" s="52"/>
      <c r="I72" s="19"/>
      <c r="J72" s="15"/>
      <c r="K72"/>
      <c r="L72"/>
      <c r="M72"/>
      <c r="N72"/>
      <c r="O72"/>
      <c r="P72" s="15"/>
    </row>
    <row r="73" spans="1:16" x14ac:dyDescent="0.25">
      <c r="A73" s="17">
        <v>56</v>
      </c>
      <c r="B73" s="34" t="str">
        <f>IF(N(C73)=0,"",IF(ISNUMBER(MATCH(C73,C$26:C72,)),INDEX(B$26:B72,MATCH(C73,C$26:C72,)),MAX(B$26:B72)+1))</f>
        <v/>
      </c>
      <c r="C73" s="55"/>
      <c r="D73" s="7"/>
      <c r="E73" s="25" t="str">
        <f t="shared" si="3"/>
        <v/>
      </c>
      <c r="F73" s="25" t="str">
        <f t="shared" si="4"/>
        <v/>
      </c>
      <c r="G73" s="47">
        <f t="shared" si="5"/>
        <v>0</v>
      </c>
      <c r="H73" s="52"/>
      <c r="I73" s="19"/>
      <c r="J73" s="15"/>
      <c r="K73"/>
      <c r="L73"/>
      <c r="M73"/>
      <c r="N73"/>
      <c r="O73"/>
      <c r="P73" s="15"/>
    </row>
    <row r="74" spans="1:16" x14ac:dyDescent="0.25">
      <c r="A74" s="17">
        <v>57</v>
      </c>
      <c r="B74" s="34" t="str">
        <f>IF(N(C74)=0,"",IF(ISNUMBER(MATCH(C74,C$26:C73,)),INDEX(B$26:B73,MATCH(C74,C$26:C73,)),MAX(B$26:B73)+1))</f>
        <v/>
      </c>
      <c r="C74" s="55"/>
      <c r="D74" s="7"/>
      <c r="E74" s="25" t="str">
        <f t="shared" si="3"/>
        <v/>
      </c>
      <c r="F74" s="25" t="str">
        <f t="shared" si="4"/>
        <v/>
      </c>
      <c r="G74" s="47">
        <f t="shared" si="5"/>
        <v>0</v>
      </c>
      <c r="H74" s="52"/>
      <c r="I74" s="19"/>
      <c r="J74" s="15"/>
      <c r="K74"/>
      <c r="L74"/>
      <c r="M74"/>
      <c r="N74"/>
      <c r="O74"/>
      <c r="P74" s="15"/>
    </row>
    <row r="75" spans="1:16" x14ac:dyDescent="0.25">
      <c r="A75" s="17">
        <v>58</v>
      </c>
      <c r="B75" s="34" t="str">
        <f>IF(N(C75)=0,"",IF(ISNUMBER(MATCH(C75,C$26:C74,)),INDEX(B$26:B74,MATCH(C75,C$26:C74,)),MAX(B$26:B74)+1))</f>
        <v/>
      </c>
      <c r="C75" s="55"/>
      <c r="D75" s="7"/>
      <c r="E75" s="25" t="str">
        <f t="shared" si="3"/>
        <v/>
      </c>
      <c r="F75" s="25" t="str">
        <f t="shared" si="4"/>
        <v/>
      </c>
      <c r="G75" s="47">
        <f t="shared" si="5"/>
        <v>0</v>
      </c>
      <c r="H75" s="52"/>
      <c r="I75" s="19"/>
      <c r="J75" s="15"/>
      <c r="K75"/>
      <c r="L75"/>
      <c r="M75"/>
      <c r="N75"/>
      <c r="O75"/>
      <c r="P75" s="15"/>
    </row>
    <row r="76" spans="1:16" x14ac:dyDescent="0.25">
      <c r="A76" s="17">
        <v>59</v>
      </c>
      <c r="B76" s="34" t="str">
        <f>IF(N(C76)=0,"",IF(ISNUMBER(MATCH(C76,C$26:C75,)),INDEX(B$26:B75,MATCH(C76,C$26:C75,)),MAX(B$26:B75)+1))</f>
        <v/>
      </c>
      <c r="C76" s="55"/>
      <c r="D76" s="7"/>
      <c r="E76" s="25" t="str">
        <f t="shared" si="3"/>
        <v/>
      </c>
      <c r="F76" s="25" t="str">
        <f t="shared" si="4"/>
        <v/>
      </c>
      <c r="G76" s="47">
        <f t="shared" si="5"/>
        <v>0</v>
      </c>
      <c r="H76" s="52"/>
      <c r="I76" s="19"/>
      <c r="J76" s="15"/>
      <c r="K76"/>
      <c r="L76"/>
      <c r="M76"/>
      <c r="N76"/>
      <c r="O76"/>
      <c r="P76" s="15"/>
    </row>
    <row r="77" spans="1:16" x14ac:dyDescent="0.25">
      <c r="A77" s="17">
        <v>60</v>
      </c>
      <c r="B77" s="34" t="str">
        <f>IF(N(C77)=0,"",IF(ISNUMBER(MATCH(C77,C$26:C76,)),INDEX(B$26:B76,MATCH(C77,C$26:C76,)),MAX(B$26:B76)+1))</f>
        <v/>
      </c>
      <c r="C77" s="55"/>
      <c r="D77" s="7"/>
      <c r="E77" s="25" t="str">
        <f t="shared" si="3"/>
        <v/>
      </c>
      <c r="F77" s="25" t="str">
        <f t="shared" si="4"/>
        <v/>
      </c>
      <c r="G77" s="47">
        <f t="shared" si="5"/>
        <v>0</v>
      </c>
      <c r="H77" s="52"/>
      <c r="I77" s="19"/>
      <c r="J77" s="15"/>
      <c r="K77"/>
      <c r="L77"/>
      <c r="M77"/>
      <c r="N77"/>
      <c r="O77"/>
      <c r="P77" s="15"/>
    </row>
    <row r="78" spans="1:16" x14ac:dyDescent="0.25">
      <c r="A78" s="17">
        <v>61</v>
      </c>
      <c r="B78" s="34" t="str">
        <f>IF(N(C78)=0,"",IF(ISNUMBER(MATCH(C78,C$26:C77,)),INDEX(B$26:B77,MATCH(C78,C$26:C77,)),MAX(B$26:B77)+1))</f>
        <v/>
      </c>
      <c r="C78" s="55"/>
      <c r="D78" s="7"/>
      <c r="E78" s="25" t="str">
        <f t="shared" si="3"/>
        <v/>
      </c>
      <c r="F78" s="25" t="str">
        <f t="shared" si="4"/>
        <v/>
      </c>
      <c r="G78" s="47">
        <f t="shared" si="5"/>
        <v>0</v>
      </c>
      <c r="H78" s="52"/>
      <c r="I78" s="19"/>
      <c r="J78" s="15"/>
      <c r="K78"/>
      <c r="L78"/>
      <c r="M78"/>
      <c r="N78"/>
      <c r="O78"/>
      <c r="P78" s="15"/>
    </row>
    <row r="79" spans="1:16" x14ac:dyDescent="0.25">
      <c r="A79" s="17">
        <v>62</v>
      </c>
      <c r="B79" s="34" t="str">
        <f>IF(N(C79)=0,"",IF(ISNUMBER(MATCH(C79,C$26:C78,)),INDEX(B$26:B78,MATCH(C79,C$26:C78,)),MAX(B$26:B78)+1))</f>
        <v/>
      </c>
      <c r="C79" s="55"/>
      <c r="D79" s="7"/>
      <c r="E79" s="25" t="str">
        <f t="shared" si="3"/>
        <v/>
      </c>
      <c r="F79" s="25" t="str">
        <f t="shared" si="4"/>
        <v/>
      </c>
      <c r="G79" s="47">
        <f t="shared" si="5"/>
        <v>0</v>
      </c>
      <c r="H79" s="52"/>
      <c r="I79" s="19"/>
      <c r="J79" s="15"/>
      <c r="K79"/>
      <c r="L79"/>
      <c r="M79"/>
      <c r="N79"/>
      <c r="O79"/>
      <c r="P79" s="15"/>
    </row>
    <row r="80" spans="1:16" x14ac:dyDescent="0.25">
      <c r="A80" s="17">
        <v>63</v>
      </c>
      <c r="B80" s="34" t="str">
        <f>IF(N(C80)=0,"",IF(ISNUMBER(MATCH(C80,C$26:C79,)),INDEX(B$26:B79,MATCH(C80,C$26:C79,)),MAX(B$26:B79)+1))</f>
        <v/>
      </c>
      <c r="C80" s="55"/>
      <c r="D80" s="7"/>
      <c r="E80" s="25" t="str">
        <f t="shared" si="3"/>
        <v/>
      </c>
      <c r="F80" s="25" t="str">
        <f t="shared" si="4"/>
        <v/>
      </c>
      <c r="G80" s="47">
        <f t="shared" si="5"/>
        <v>0</v>
      </c>
      <c r="H80" s="52"/>
      <c r="I80" s="19"/>
      <c r="J80" s="15"/>
      <c r="K80"/>
      <c r="L80"/>
      <c r="M80"/>
      <c r="N80"/>
      <c r="O80"/>
      <c r="P80" s="15"/>
    </row>
    <row r="81" spans="1:16" x14ac:dyDescent="0.25">
      <c r="A81" s="17">
        <v>64</v>
      </c>
      <c r="B81" s="34" t="str">
        <f>IF(N(C81)=0,"",IF(ISNUMBER(MATCH(C81,C$26:C80,)),INDEX(B$26:B80,MATCH(C81,C$26:C80,)),MAX(B$26:B80)+1))</f>
        <v/>
      </c>
      <c r="C81" s="55"/>
      <c r="D81" s="7"/>
      <c r="E81" s="25" t="str">
        <f t="shared" si="3"/>
        <v/>
      </c>
      <c r="F81" s="25" t="str">
        <f t="shared" si="4"/>
        <v/>
      </c>
      <c r="G81" s="47">
        <f t="shared" si="5"/>
        <v>0</v>
      </c>
      <c r="H81" s="52"/>
      <c r="I81" s="19"/>
      <c r="J81" s="15"/>
      <c r="K81"/>
      <c r="L81"/>
      <c r="M81"/>
      <c r="N81"/>
      <c r="O81"/>
      <c r="P81" s="15"/>
    </row>
    <row r="82" spans="1:16" x14ac:dyDescent="0.25">
      <c r="A82" s="17">
        <v>65</v>
      </c>
      <c r="B82" s="34" t="str">
        <f>IF(N(C82)=0,"",IF(ISNUMBER(MATCH(C82,C$26:C81,)),INDEX(B$26:B81,MATCH(C82,C$26:C81,)),MAX(B$26:B81)+1))</f>
        <v/>
      </c>
      <c r="C82" s="55"/>
      <c r="D82" s="7"/>
      <c r="E82" s="25" t="str">
        <f t="shared" si="3"/>
        <v/>
      </c>
      <c r="F82" s="25" t="str">
        <f t="shared" si="4"/>
        <v/>
      </c>
      <c r="G82" s="47">
        <f t="shared" si="5"/>
        <v>0</v>
      </c>
      <c r="H82" s="52"/>
      <c r="I82" s="19"/>
      <c r="J82" s="15"/>
      <c r="K82"/>
      <c r="L82"/>
      <c r="M82"/>
      <c r="N82"/>
      <c r="O82"/>
      <c r="P82" s="15"/>
    </row>
    <row r="83" spans="1:16" x14ac:dyDescent="0.25">
      <c r="A83" s="17">
        <v>66</v>
      </c>
      <c r="B83" s="34" t="str">
        <f>IF(N(C83)=0,"",IF(ISNUMBER(MATCH(C83,C$26:C82,)),INDEX(B$26:B82,MATCH(C83,C$26:C82,)),MAX(B$26:B82)+1))</f>
        <v/>
      </c>
      <c r="C83" s="55"/>
      <c r="D83" s="7"/>
      <c r="E83" s="25" t="str">
        <f t="shared" si="3"/>
        <v/>
      </c>
      <c r="F83" s="25" t="str">
        <f t="shared" si="4"/>
        <v/>
      </c>
      <c r="G83" s="47">
        <f t="shared" si="5"/>
        <v>0</v>
      </c>
      <c r="H83" s="52"/>
      <c r="I83" s="19"/>
      <c r="J83" s="15"/>
      <c r="K83"/>
      <c r="L83"/>
      <c r="M83"/>
      <c r="N83"/>
      <c r="O83"/>
      <c r="P83" s="15"/>
    </row>
    <row r="84" spans="1:16" x14ac:dyDescent="0.25">
      <c r="A84" s="17">
        <v>67</v>
      </c>
      <c r="B84" s="34" t="str">
        <f>IF(N(C84)=0,"",IF(ISNUMBER(MATCH(C84,C$26:C83,)),INDEX(B$26:B83,MATCH(C84,C$26:C83,)),MAX(B$26:B83)+1))</f>
        <v/>
      </c>
      <c r="C84" s="55"/>
      <c r="D84" s="7"/>
      <c r="E84" s="25" t="str">
        <f t="shared" si="3"/>
        <v/>
      </c>
      <c r="F84" s="25" t="str">
        <f t="shared" si="4"/>
        <v/>
      </c>
      <c r="G84" s="47">
        <f t="shared" si="5"/>
        <v>0</v>
      </c>
      <c r="H84" s="52"/>
      <c r="I84" s="19"/>
      <c r="J84" s="15"/>
      <c r="K84"/>
      <c r="L84"/>
      <c r="M84"/>
      <c r="N84"/>
      <c r="O84"/>
      <c r="P84" s="15"/>
    </row>
    <row r="85" spans="1:16" x14ac:dyDescent="0.25">
      <c r="A85" s="17">
        <v>68</v>
      </c>
      <c r="B85" s="34" t="str">
        <f>IF(N(C85)=0,"",IF(ISNUMBER(MATCH(C85,C$26:C84,)),INDEX(B$26:B84,MATCH(C85,C$26:C84,)),MAX(B$26:B84)+1))</f>
        <v/>
      </c>
      <c r="C85" s="55"/>
      <c r="D85" s="7"/>
      <c r="E85" s="25" t="str">
        <f t="shared" si="3"/>
        <v/>
      </c>
      <c r="F85" s="25" t="str">
        <f t="shared" si="4"/>
        <v/>
      </c>
      <c r="G85" s="47">
        <f t="shared" si="5"/>
        <v>0</v>
      </c>
      <c r="H85" s="52"/>
      <c r="I85" s="19"/>
      <c r="J85" s="15"/>
      <c r="K85"/>
      <c r="L85"/>
      <c r="M85"/>
      <c r="N85"/>
      <c r="O85"/>
    </row>
    <row r="86" spans="1:16" x14ac:dyDescent="0.25">
      <c r="A86" s="17">
        <v>69</v>
      </c>
      <c r="B86" s="34" t="str">
        <f>IF(N(C86)=0,"",IF(ISNUMBER(MATCH(C86,C$26:C85,)),INDEX(B$26:B85,MATCH(C86,C$26:C85,)),MAX(B$26:B85)+1))</f>
        <v/>
      </c>
      <c r="C86" s="55"/>
      <c r="D86" s="7"/>
      <c r="E86" s="25" t="str">
        <f t="shared" si="3"/>
        <v/>
      </c>
      <c r="F86" s="25" t="str">
        <f t="shared" si="4"/>
        <v/>
      </c>
      <c r="G86" s="47">
        <f t="shared" si="5"/>
        <v>0</v>
      </c>
      <c r="H86" s="52"/>
      <c r="I86" s="19"/>
      <c r="J86" s="15"/>
      <c r="K86"/>
      <c r="L86"/>
      <c r="M86"/>
      <c r="N86"/>
      <c r="O86"/>
    </row>
    <row r="87" spans="1:16" x14ac:dyDescent="0.25">
      <c r="A87" s="17">
        <v>70</v>
      </c>
      <c r="B87" s="34" t="str">
        <f>IF(N(C87)=0,"",IF(ISNUMBER(MATCH(C87,C$26:C86,)),INDEX(B$26:B86,MATCH(C87,C$26:C86,)),MAX(B$26:B86)+1))</f>
        <v/>
      </c>
      <c r="C87" s="55"/>
      <c r="D87" s="7"/>
      <c r="E87" s="25" t="str">
        <f t="shared" si="3"/>
        <v/>
      </c>
      <c r="F87" s="25" t="str">
        <f t="shared" si="4"/>
        <v/>
      </c>
      <c r="G87" s="47">
        <f t="shared" si="5"/>
        <v>0</v>
      </c>
      <c r="H87" s="52"/>
      <c r="I87" s="19"/>
      <c r="J87" s="15"/>
      <c r="K87"/>
      <c r="L87"/>
      <c r="M87"/>
      <c r="N87"/>
      <c r="O87"/>
    </row>
    <row r="88" spans="1:16" x14ac:dyDescent="0.25">
      <c r="A88" s="17">
        <v>71</v>
      </c>
      <c r="B88" s="34" t="str">
        <f>IF(N(C88)=0,"",IF(ISNUMBER(MATCH(C88,C$26:C87,)),INDEX(B$26:B87,MATCH(C88,C$26:C87,)),MAX(B$26:B87)+1))</f>
        <v/>
      </c>
      <c r="C88" s="55"/>
      <c r="D88" s="7"/>
      <c r="E88" s="25" t="str">
        <f t="shared" si="3"/>
        <v/>
      </c>
      <c r="F88" s="25" t="str">
        <f t="shared" si="4"/>
        <v/>
      </c>
      <c r="G88" s="47">
        <f t="shared" si="5"/>
        <v>0</v>
      </c>
      <c r="H88" s="52"/>
      <c r="I88" s="19"/>
      <c r="J88" s="15"/>
      <c r="K88"/>
      <c r="L88"/>
      <c r="M88"/>
      <c r="N88"/>
      <c r="O88"/>
    </row>
    <row r="89" spans="1:16" x14ac:dyDescent="0.25">
      <c r="A89" s="17">
        <v>72</v>
      </c>
      <c r="B89" s="34" t="str">
        <f>IF(N(C89)=0,"",IF(ISNUMBER(MATCH(C89,C$26:C88,)),INDEX(B$26:B88,MATCH(C89,C$26:C88,)),MAX(B$26:B88)+1))</f>
        <v/>
      </c>
      <c r="C89" s="55"/>
      <c r="D89" s="7"/>
      <c r="E89" s="25" t="str">
        <f t="shared" si="3"/>
        <v/>
      </c>
      <c r="F89" s="25" t="str">
        <f t="shared" si="4"/>
        <v/>
      </c>
      <c r="G89" s="47">
        <f t="shared" si="5"/>
        <v>0</v>
      </c>
      <c r="H89" s="52"/>
      <c r="I89" s="19"/>
      <c r="J89" s="15"/>
      <c r="K89"/>
      <c r="L89"/>
      <c r="M89"/>
      <c r="N89"/>
      <c r="O89"/>
    </row>
    <row r="90" spans="1:16" x14ac:dyDescent="0.25">
      <c r="A90" s="17">
        <v>73</v>
      </c>
      <c r="B90" s="34" t="str">
        <f>IF(N(C90)=0,"",IF(ISNUMBER(MATCH(C90,C$26:C89,)),INDEX(B$26:B89,MATCH(C90,C$26:C89,)),MAX(B$26:B89)+1))</f>
        <v/>
      </c>
      <c r="C90" s="55"/>
      <c r="D90" s="7"/>
      <c r="E90" s="25" t="str">
        <f t="shared" ref="E90:E115" si="6">IF($K$3=0,0,IF(ISNA(VLOOKUP(C90,H$26:I$115,2,))*C90,D90,IF(C90="","",IF(D90="",TRUNC($C$3/C90)-VLOOKUP(C90,H$26:I$115,2,),D90-VLOOKUP(C90,H$26:I$115,2,)))))</f>
        <v/>
      </c>
      <c r="F90" s="25" t="str">
        <f t="shared" ref="F90:F115" si="7">IF($K$3=0,"",IF(AND(C90&lt;&gt;"",D90&lt;&gt;""),D90-E90,IF(D90="","",TRUNC($C$3/C90)-VLOOKUP(C90,H$26:I$115,2,))))</f>
        <v/>
      </c>
      <c r="G90" s="47">
        <f t="shared" si="5"/>
        <v>0</v>
      </c>
      <c r="H90" s="52"/>
      <c r="I90" s="19"/>
      <c r="J90" s="15"/>
      <c r="K90"/>
      <c r="L90"/>
      <c r="M90"/>
      <c r="N90"/>
      <c r="O90"/>
    </row>
    <row r="91" spans="1:16" x14ac:dyDescent="0.25">
      <c r="A91" s="17">
        <v>74</v>
      </c>
      <c r="B91" s="34" t="str">
        <f>IF(N(C91)=0,"",IF(ISNUMBER(MATCH(C91,C$26:C90,)),INDEX(B$26:B90,MATCH(C91,C$26:C90,)),MAX(B$26:B90)+1))</f>
        <v/>
      </c>
      <c r="C91" s="55"/>
      <c r="D91" s="7"/>
      <c r="E91" s="25" t="str">
        <f t="shared" si="6"/>
        <v/>
      </c>
      <c r="F91" s="25" t="str">
        <f t="shared" si="7"/>
        <v/>
      </c>
      <c r="G91" s="47">
        <f t="shared" ref="G91:G114" si="8">--(C91+H91+K91&gt;0)</f>
        <v>0</v>
      </c>
      <c r="H91" s="52"/>
      <c r="I91" s="19"/>
      <c r="J91" s="15"/>
      <c r="K91"/>
      <c r="L91"/>
      <c r="M91"/>
      <c r="N91"/>
      <c r="O91"/>
    </row>
    <row r="92" spans="1:16" x14ac:dyDescent="0.25">
      <c r="A92" s="17">
        <v>75</v>
      </c>
      <c r="B92" s="34" t="str">
        <f>IF(N(C92)=0,"",IF(ISNUMBER(MATCH(C92,C$26:C91,)),INDEX(B$26:B91,MATCH(C92,C$26:C91,)),MAX(B$26:B91)+1))</f>
        <v/>
      </c>
      <c r="C92" s="55"/>
      <c r="D92" s="7"/>
      <c r="E92" s="25" t="str">
        <f t="shared" si="6"/>
        <v/>
      </c>
      <c r="F92" s="25" t="str">
        <f t="shared" si="7"/>
        <v/>
      </c>
      <c r="G92" s="47">
        <f t="shared" si="8"/>
        <v>0</v>
      </c>
      <c r="H92" s="52"/>
      <c r="I92" s="19"/>
      <c r="J92" s="15"/>
      <c r="K92"/>
      <c r="L92"/>
      <c r="M92"/>
      <c r="N92"/>
      <c r="O92"/>
    </row>
    <row r="93" spans="1:16" x14ac:dyDescent="0.25">
      <c r="A93" s="17">
        <v>76</v>
      </c>
      <c r="B93" s="34" t="str">
        <f>IF(N(C93)=0,"",IF(ISNUMBER(MATCH(C93,C$26:C92,)),INDEX(B$26:B92,MATCH(C93,C$26:C92,)),MAX(B$26:B92)+1))</f>
        <v/>
      </c>
      <c r="C93" s="55"/>
      <c r="D93" s="7"/>
      <c r="E93" s="25" t="str">
        <f t="shared" si="6"/>
        <v/>
      </c>
      <c r="F93" s="25" t="str">
        <f t="shared" si="7"/>
        <v/>
      </c>
      <c r="G93" s="47">
        <f t="shared" si="8"/>
        <v>0</v>
      </c>
      <c r="H93" s="52"/>
      <c r="I93" s="19"/>
      <c r="J93" s="15"/>
      <c r="K93"/>
      <c r="L93"/>
      <c r="M93"/>
      <c r="N93"/>
      <c r="O93"/>
    </row>
    <row r="94" spans="1:16" x14ac:dyDescent="0.25">
      <c r="A94" s="17">
        <v>77</v>
      </c>
      <c r="B94" s="34" t="str">
        <f>IF(N(C94)=0,"",IF(ISNUMBER(MATCH(C94,C$26:C93,)),INDEX(B$26:B93,MATCH(C94,C$26:C93,)),MAX(B$26:B93)+1))</f>
        <v/>
      </c>
      <c r="C94" s="55"/>
      <c r="D94" s="7"/>
      <c r="E94" s="25" t="str">
        <f t="shared" si="6"/>
        <v/>
      </c>
      <c r="F94" s="25" t="str">
        <f t="shared" si="7"/>
        <v/>
      </c>
      <c r="G94" s="47">
        <f t="shared" si="8"/>
        <v>0</v>
      </c>
      <c r="H94" s="52"/>
      <c r="I94" s="19"/>
      <c r="J94" s="15"/>
      <c r="K94"/>
      <c r="L94"/>
      <c r="M94"/>
      <c r="N94"/>
      <c r="O94"/>
    </row>
    <row r="95" spans="1:16" x14ac:dyDescent="0.25">
      <c r="A95" s="17">
        <v>78</v>
      </c>
      <c r="B95" s="34" t="str">
        <f>IF(N(C95)=0,"",IF(ISNUMBER(MATCH(C95,C$26:C94,)),INDEX(B$26:B94,MATCH(C95,C$26:C94,)),MAX(B$26:B94)+1))</f>
        <v/>
      </c>
      <c r="C95" s="55"/>
      <c r="D95" s="7"/>
      <c r="E95" s="25" t="str">
        <f t="shared" si="6"/>
        <v/>
      </c>
      <c r="F95" s="25" t="str">
        <f t="shared" si="7"/>
        <v/>
      </c>
      <c r="G95" s="47">
        <f t="shared" si="8"/>
        <v>0</v>
      </c>
      <c r="H95" s="52"/>
      <c r="I95" s="19"/>
      <c r="J95" s="15"/>
      <c r="K95"/>
      <c r="L95"/>
      <c r="M95"/>
      <c r="N95"/>
      <c r="O95"/>
    </row>
    <row r="96" spans="1:16" x14ac:dyDescent="0.25">
      <c r="A96" s="17">
        <v>79</v>
      </c>
      <c r="B96" s="34" t="str">
        <f>IF(N(C96)=0,"",IF(ISNUMBER(MATCH(C96,C$26:C95,)),INDEX(B$26:B95,MATCH(C96,C$26:C95,)),MAX(B$26:B95)+1))</f>
        <v/>
      </c>
      <c r="C96" s="55"/>
      <c r="D96" s="7"/>
      <c r="E96" s="25" t="str">
        <f t="shared" si="6"/>
        <v/>
      </c>
      <c r="F96" s="25" t="str">
        <f t="shared" si="7"/>
        <v/>
      </c>
      <c r="G96" s="47">
        <f t="shared" si="8"/>
        <v>0</v>
      </c>
      <c r="H96" s="52"/>
      <c r="I96" s="19"/>
      <c r="J96" s="15"/>
      <c r="K96"/>
      <c r="L96"/>
      <c r="M96"/>
      <c r="N96"/>
      <c r="O96"/>
    </row>
    <row r="97" spans="1:15" x14ac:dyDescent="0.25">
      <c r="A97" s="17">
        <v>80</v>
      </c>
      <c r="B97" s="34" t="str">
        <f>IF(N(C97)=0,"",IF(ISNUMBER(MATCH(C97,C$26:C96,)),INDEX(B$26:B96,MATCH(C97,C$26:C96,)),MAX(B$26:B96)+1))</f>
        <v/>
      </c>
      <c r="C97" s="55"/>
      <c r="D97" s="7"/>
      <c r="E97" s="25" t="str">
        <f t="shared" si="6"/>
        <v/>
      </c>
      <c r="F97" s="25" t="str">
        <f t="shared" si="7"/>
        <v/>
      </c>
      <c r="G97" s="47">
        <f t="shared" si="8"/>
        <v>0</v>
      </c>
      <c r="H97" s="52"/>
      <c r="I97" s="19"/>
      <c r="J97" s="17" t="s">
        <v>15</v>
      </c>
      <c r="K97"/>
      <c r="L97"/>
      <c r="M97"/>
      <c r="N97"/>
      <c r="O97"/>
    </row>
    <row r="98" spans="1:15" x14ac:dyDescent="0.25">
      <c r="A98" s="17">
        <v>81</v>
      </c>
      <c r="B98" s="34" t="str">
        <f>IF(N(C98)=0,"",IF(ISNUMBER(MATCH(C98,C$26:C97,)),INDEX(B$26:B97,MATCH(C98,C$26:C97,)),MAX(B$26:B97)+1))</f>
        <v/>
      </c>
      <c r="C98" s="55"/>
      <c r="D98" s="7"/>
      <c r="E98" s="25" t="str">
        <f t="shared" si="6"/>
        <v/>
      </c>
      <c r="F98" s="25" t="str">
        <f t="shared" si="7"/>
        <v/>
      </c>
      <c r="G98" s="47">
        <f t="shared" si="8"/>
        <v>0</v>
      </c>
      <c r="H98" s="52"/>
      <c r="I98" s="19"/>
      <c r="J98" s="17" t="s">
        <v>16</v>
      </c>
      <c r="K98"/>
      <c r="L98"/>
      <c r="M98"/>
      <c r="N98"/>
      <c r="O98"/>
    </row>
    <row r="99" spans="1:15" x14ac:dyDescent="0.25">
      <c r="A99" s="17">
        <v>82</v>
      </c>
      <c r="B99" s="34" t="str">
        <f>IF(N(C99)=0,"",IF(ISNUMBER(MATCH(C99,C$26:C98,)),INDEX(B$26:B98,MATCH(C99,C$26:C98,)),MAX(B$26:B98)+1))</f>
        <v/>
      </c>
      <c r="C99" s="55"/>
      <c r="D99" s="7"/>
      <c r="E99" s="25" t="str">
        <f t="shared" si="6"/>
        <v/>
      </c>
      <c r="F99" s="25" t="str">
        <f t="shared" si="7"/>
        <v/>
      </c>
      <c r="G99" s="47">
        <f t="shared" si="8"/>
        <v>0</v>
      </c>
      <c r="H99" s="52"/>
      <c r="I99" s="19"/>
      <c r="J99" s="15"/>
      <c r="K99"/>
      <c r="L99"/>
      <c r="M99"/>
      <c r="N99"/>
      <c r="O99"/>
    </row>
    <row r="100" spans="1:15" x14ac:dyDescent="0.25">
      <c r="A100" s="17">
        <v>83</v>
      </c>
      <c r="B100" s="34" t="str">
        <f>IF(N(C100)=0,"",IF(ISNUMBER(MATCH(C100,C$26:C99,)),INDEX(B$26:B99,MATCH(C100,C$26:C99,)),MAX(B$26:B99)+1))</f>
        <v/>
      </c>
      <c r="C100" s="55"/>
      <c r="D100" s="7"/>
      <c r="E100" s="25" t="str">
        <f t="shared" si="6"/>
        <v/>
      </c>
      <c r="F100" s="25" t="str">
        <f t="shared" si="7"/>
        <v/>
      </c>
      <c r="G100" s="47">
        <f t="shared" si="8"/>
        <v>0</v>
      </c>
      <c r="H100" s="52"/>
      <c r="I100" s="19"/>
      <c r="J100" s="15"/>
      <c r="K100"/>
      <c r="L100"/>
      <c r="M100"/>
      <c r="N100"/>
      <c r="O100"/>
    </row>
    <row r="101" spans="1:15" x14ac:dyDescent="0.25">
      <c r="A101" s="17">
        <v>84</v>
      </c>
      <c r="B101" s="34" t="str">
        <f>IF(N(C101)=0,"",IF(ISNUMBER(MATCH(C101,C$26:C100,)),INDEX(B$26:B100,MATCH(C101,C$26:C100,)),MAX(B$26:B100)+1))</f>
        <v/>
      </c>
      <c r="C101" s="55"/>
      <c r="D101" s="7"/>
      <c r="E101" s="25" t="str">
        <f t="shared" si="6"/>
        <v/>
      </c>
      <c r="F101" s="25" t="str">
        <f t="shared" si="7"/>
        <v/>
      </c>
      <c r="G101" s="47">
        <f t="shared" si="8"/>
        <v>0</v>
      </c>
      <c r="H101" s="52"/>
      <c r="I101" s="19"/>
      <c r="J101" s="15"/>
      <c r="K101"/>
      <c r="L101"/>
      <c r="M101"/>
      <c r="N101"/>
      <c r="O101"/>
    </row>
    <row r="102" spans="1:15" x14ac:dyDescent="0.25">
      <c r="A102" s="17">
        <v>85</v>
      </c>
      <c r="B102" s="34" t="str">
        <f>IF(N(C102)=0,"",IF(ISNUMBER(MATCH(C102,C$26:C101,)),INDEX(B$26:B101,MATCH(C102,C$26:C101,)),MAX(B$26:B101)+1))</f>
        <v/>
      </c>
      <c r="C102" s="55"/>
      <c r="D102" s="7"/>
      <c r="E102" s="25" t="str">
        <f t="shared" si="6"/>
        <v/>
      </c>
      <c r="F102" s="25" t="str">
        <f t="shared" si="7"/>
        <v/>
      </c>
      <c r="G102" s="47">
        <f t="shared" si="8"/>
        <v>0</v>
      </c>
      <c r="H102" s="52"/>
      <c r="I102" s="19"/>
      <c r="J102" s="15"/>
      <c r="K102"/>
      <c r="L102"/>
      <c r="M102"/>
      <c r="N102"/>
      <c r="O102"/>
    </row>
    <row r="103" spans="1:15" x14ac:dyDescent="0.25">
      <c r="A103" s="17">
        <v>86</v>
      </c>
      <c r="B103" s="34" t="str">
        <f>IF(N(C103)=0,"",IF(ISNUMBER(MATCH(C103,C$26:C102,)),INDEX(B$26:B102,MATCH(C103,C$26:C102,)),MAX(B$26:B102)+1))</f>
        <v/>
      </c>
      <c r="C103" s="55"/>
      <c r="D103" s="7"/>
      <c r="E103" s="25" t="str">
        <f t="shared" si="6"/>
        <v/>
      </c>
      <c r="F103" s="25" t="str">
        <f t="shared" si="7"/>
        <v/>
      </c>
      <c r="G103" s="47">
        <f t="shared" si="8"/>
        <v>0</v>
      </c>
      <c r="H103" s="52"/>
      <c r="I103" s="19"/>
      <c r="J103" s="15"/>
      <c r="K103"/>
      <c r="L103"/>
      <c r="M103"/>
      <c r="N103"/>
      <c r="O103"/>
    </row>
    <row r="104" spans="1:15" x14ac:dyDescent="0.25">
      <c r="A104" s="17">
        <v>87</v>
      </c>
      <c r="B104" s="34" t="str">
        <f>IF(N(C104)=0,"",IF(ISNUMBER(MATCH(C104,C$26:C103,)),INDEX(B$26:B103,MATCH(C104,C$26:C103,)),MAX(B$26:B103)+1))</f>
        <v/>
      </c>
      <c r="C104" s="55"/>
      <c r="D104" s="7"/>
      <c r="E104" s="25" t="str">
        <f t="shared" si="6"/>
        <v/>
      </c>
      <c r="F104" s="25" t="str">
        <f t="shared" si="7"/>
        <v/>
      </c>
      <c r="G104" s="47">
        <f t="shared" si="8"/>
        <v>0</v>
      </c>
      <c r="H104" s="52"/>
      <c r="I104" s="19"/>
      <c r="K104"/>
      <c r="L104"/>
      <c r="M104"/>
      <c r="N104"/>
      <c r="O104"/>
    </row>
    <row r="105" spans="1:15" x14ac:dyDescent="0.25">
      <c r="A105" s="17">
        <v>88</v>
      </c>
      <c r="B105" s="34" t="str">
        <f>IF(N(C105)=0,"",IF(ISNUMBER(MATCH(C105,C$26:C104,)),INDEX(B$26:B104,MATCH(C105,C$26:C104,)),MAX(B$26:B104)+1))</f>
        <v/>
      </c>
      <c r="C105" s="55"/>
      <c r="D105" s="7"/>
      <c r="E105" s="25" t="str">
        <f t="shared" si="6"/>
        <v/>
      </c>
      <c r="F105" s="25" t="str">
        <f t="shared" si="7"/>
        <v/>
      </c>
      <c r="G105" s="47">
        <f t="shared" si="8"/>
        <v>0</v>
      </c>
      <c r="H105" s="52"/>
      <c r="I105" s="19"/>
      <c r="K105"/>
      <c r="L105"/>
      <c r="M105"/>
      <c r="N105"/>
      <c r="O105"/>
    </row>
    <row r="106" spans="1:15" x14ac:dyDescent="0.25">
      <c r="A106" s="17">
        <v>89</v>
      </c>
      <c r="B106" s="34" t="str">
        <f>IF(N(C106)=0,"",IF(ISNUMBER(MATCH(C106,C$26:C105,)),INDEX(B$26:B105,MATCH(C106,C$26:C105,)),MAX(B$26:B105)+1))</f>
        <v/>
      </c>
      <c r="C106" s="55"/>
      <c r="D106" s="7"/>
      <c r="E106" s="25" t="str">
        <f t="shared" si="6"/>
        <v/>
      </c>
      <c r="F106" s="25" t="str">
        <f t="shared" si="7"/>
        <v/>
      </c>
      <c r="G106" s="47">
        <f t="shared" si="8"/>
        <v>0</v>
      </c>
      <c r="H106" s="52"/>
      <c r="I106" s="19"/>
      <c r="K106"/>
      <c r="L106"/>
      <c r="M106"/>
      <c r="N106"/>
      <c r="O106"/>
    </row>
    <row r="107" spans="1:15" x14ac:dyDescent="0.25">
      <c r="A107" s="17">
        <v>90</v>
      </c>
      <c r="B107" s="34" t="str">
        <f>IF(N(C107)=0,"",IF(ISNUMBER(MATCH(C107,C$26:C106,)),INDEX(B$26:B106,MATCH(C107,C$26:C106,)),MAX(B$26:B106)+1))</f>
        <v/>
      </c>
      <c r="C107" s="55"/>
      <c r="D107" s="7"/>
      <c r="E107" s="25" t="str">
        <f t="shared" si="6"/>
        <v/>
      </c>
      <c r="F107" s="25" t="str">
        <f t="shared" si="7"/>
        <v/>
      </c>
      <c r="G107" s="47">
        <f t="shared" si="8"/>
        <v>0</v>
      </c>
      <c r="H107" s="52"/>
      <c r="I107" s="19"/>
      <c r="K107"/>
      <c r="L107"/>
      <c r="M107"/>
      <c r="N107"/>
      <c r="O107"/>
    </row>
    <row r="108" spans="1:15" x14ac:dyDescent="0.25">
      <c r="A108" s="17">
        <v>91</v>
      </c>
      <c r="B108" s="34" t="str">
        <f>IF(N(C108)=0,"",IF(ISNUMBER(MATCH(C108,C$26:C107,)),INDEX(B$26:B107,MATCH(C108,C$26:C107,)),MAX(B$26:B107)+1))</f>
        <v/>
      </c>
      <c r="C108" s="55"/>
      <c r="D108" s="7"/>
      <c r="E108" s="25" t="str">
        <f t="shared" si="6"/>
        <v/>
      </c>
      <c r="F108" s="25" t="str">
        <f t="shared" si="7"/>
        <v/>
      </c>
      <c r="G108" s="47">
        <f t="shared" si="8"/>
        <v>0</v>
      </c>
      <c r="H108" s="52"/>
      <c r="I108" s="19"/>
      <c r="K108"/>
      <c r="L108"/>
      <c r="M108"/>
      <c r="N108"/>
      <c r="O108"/>
    </row>
    <row r="109" spans="1:15" x14ac:dyDescent="0.25">
      <c r="A109" s="17">
        <v>92</v>
      </c>
      <c r="B109" s="34" t="str">
        <f>IF(N(C109)=0,"",IF(ISNUMBER(MATCH(C109,C$26:C108,)),INDEX(B$26:B108,MATCH(C109,C$26:C108,)),MAX(B$26:B108)+1))</f>
        <v/>
      </c>
      <c r="C109" s="55"/>
      <c r="D109" s="7"/>
      <c r="E109" s="25" t="str">
        <f t="shared" si="6"/>
        <v/>
      </c>
      <c r="F109" s="25" t="str">
        <f t="shared" si="7"/>
        <v/>
      </c>
      <c r="G109" s="47">
        <f t="shared" si="8"/>
        <v>0</v>
      </c>
      <c r="H109" s="52"/>
      <c r="I109" s="19"/>
      <c r="K109"/>
      <c r="L109"/>
      <c r="M109"/>
      <c r="N109"/>
      <c r="O109"/>
    </row>
    <row r="110" spans="1:15" x14ac:dyDescent="0.25">
      <c r="A110" s="17">
        <v>93</v>
      </c>
      <c r="B110" s="34" t="str">
        <f>IF(N(C110)=0,"",IF(ISNUMBER(MATCH(C110,C$26:C109,)),INDEX(B$26:B109,MATCH(C110,C$26:C109,)),MAX(B$26:B109)+1))</f>
        <v/>
      </c>
      <c r="C110" s="55"/>
      <c r="D110" s="7"/>
      <c r="E110" s="25" t="str">
        <f t="shared" si="6"/>
        <v/>
      </c>
      <c r="F110" s="25" t="str">
        <f t="shared" si="7"/>
        <v/>
      </c>
      <c r="G110" s="47">
        <f t="shared" si="8"/>
        <v>0</v>
      </c>
      <c r="H110" s="52"/>
      <c r="I110" s="19"/>
      <c r="K110"/>
      <c r="L110"/>
      <c r="M110"/>
      <c r="N110"/>
      <c r="O110"/>
    </row>
    <row r="111" spans="1:15" x14ac:dyDescent="0.25">
      <c r="A111" s="17">
        <v>94</v>
      </c>
      <c r="B111" s="34" t="str">
        <f>IF(N(C111)=0,"",IF(ISNUMBER(MATCH(C111,C$26:C110,)),INDEX(B$26:B110,MATCH(C111,C$26:C110,)),MAX(B$26:B110)+1))</f>
        <v/>
      </c>
      <c r="C111" s="55"/>
      <c r="D111" s="7"/>
      <c r="E111" s="25" t="str">
        <f t="shared" si="6"/>
        <v/>
      </c>
      <c r="F111" s="25" t="str">
        <f t="shared" si="7"/>
        <v/>
      </c>
      <c r="G111" s="47">
        <f t="shared" si="8"/>
        <v>0</v>
      </c>
      <c r="H111" s="52"/>
      <c r="I111" s="19"/>
      <c r="K111"/>
      <c r="L111"/>
      <c r="M111"/>
      <c r="N111"/>
      <c r="O111"/>
    </row>
    <row r="112" spans="1:15" x14ac:dyDescent="0.25">
      <c r="A112" s="17">
        <v>95</v>
      </c>
      <c r="B112" s="34" t="str">
        <f>IF(N(C112)=0,"",IF(ISNUMBER(MATCH(C112,C$26:C111,)),INDEX(B$26:B111,MATCH(C112,C$26:C111,)),MAX(B$26:B111)+1))</f>
        <v/>
      </c>
      <c r="C112" s="55"/>
      <c r="D112" s="7"/>
      <c r="E112" s="25" t="str">
        <f t="shared" si="6"/>
        <v/>
      </c>
      <c r="F112" s="25" t="str">
        <f t="shared" si="7"/>
        <v/>
      </c>
      <c r="G112" s="47">
        <f t="shared" si="8"/>
        <v>0</v>
      </c>
      <c r="H112" s="52"/>
      <c r="I112" s="19"/>
      <c r="K112"/>
      <c r="L112"/>
      <c r="M112"/>
      <c r="N112"/>
      <c r="O112"/>
    </row>
    <row r="113" spans="1:15" x14ac:dyDescent="0.25">
      <c r="A113" s="17">
        <v>96</v>
      </c>
      <c r="B113" s="34" t="str">
        <f>IF(N(C113)=0,"",IF(ISNUMBER(MATCH(C113,C$26:C112,)),INDEX(B$26:B112,MATCH(C113,C$26:C112,)),MAX(B$26:B112)+1))</f>
        <v/>
      </c>
      <c r="C113" s="55"/>
      <c r="D113" s="7"/>
      <c r="E113" s="25" t="str">
        <f t="shared" si="6"/>
        <v/>
      </c>
      <c r="F113" s="25" t="str">
        <f t="shared" si="7"/>
        <v/>
      </c>
      <c r="G113" s="47">
        <f t="shared" si="8"/>
        <v>0</v>
      </c>
      <c r="H113" s="52"/>
      <c r="I113" s="19"/>
      <c r="K113"/>
      <c r="L113"/>
      <c r="M113"/>
      <c r="N113"/>
      <c r="O113"/>
    </row>
    <row r="114" spans="1:15" x14ac:dyDescent="0.25">
      <c r="A114" s="17">
        <v>97</v>
      </c>
      <c r="B114" s="34" t="str">
        <f>IF(N(C114)=0,"",IF(ISNUMBER(MATCH(C114,C$26:C113,)),INDEX(B$26:B113,MATCH(C114,C$26:C113,)),MAX(B$26:B113)+1))</f>
        <v/>
      </c>
      <c r="C114" s="55"/>
      <c r="D114" s="7"/>
      <c r="E114" s="25" t="str">
        <f t="shared" si="6"/>
        <v/>
      </c>
      <c r="F114" s="25" t="str">
        <f t="shared" si="7"/>
        <v/>
      </c>
      <c r="G114" s="47">
        <f t="shared" si="8"/>
        <v>0</v>
      </c>
      <c r="H114" s="52"/>
      <c r="I114" s="19"/>
      <c r="K114"/>
      <c r="L114"/>
      <c r="M114"/>
      <c r="N114"/>
      <c r="O114"/>
    </row>
    <row r="115" spans="1:15" x14ac:dyDescent="0.25">
      <c r="A115" s="17">
        <v>98</v>
      </c>
      <c r="B115" s="35" t="str">
        <f>IF(N(C115)=0,"",IF(ISNUMBER(MATCH(C115,C$26:C114,)),INDEX(B$26:B114,MATCH(C115,C$26:C114,)),MAX(B$26:B114)+1))</f>
        <v/>
      </c>
      <c r="C115" s="56"/>
      <c r="D115" s="8"/>
      <c r="E115" s="26" t="str">
        <f t="shared" si="6"/>
        <v/>
      </c>
      <c r="F115" s="26" t="str">
        <f t="shared" si="7"/>
        <v/>
      </c>
      <c r="G115" s="47">
        <v>1</v>
      </c>
      <c r="H115" s="53"/>
      <c r="I115" s="20"/>
      <c r="K115"/>
      <c r="L115"/>
      <c r="M115"/>
      <c r="N115"/>
      <c r="O115"/>
    </row>
    <row r="116" spans="1:15" x14ac:dyDescent="0.25">
      <c r="K116"/>
      <c r="L116"/>
      <c r="M116"/>
      <c r="N116"/>
      <c r="O116"/>
    </row>
    <row r="117" spans="1:15" x14ac:dyDescent="0.25">
      <c r="K117"/>
      <c r="L117"/>
      <c r="M117"/>
      <c r="N117"/>
      <c r="O117"/>
    </row>
    <row r="118" spans="1:15" x14ac:dyDescent="0.25">
      <c r="K118"/>
      <c r="L118"/>
      <c r="M118"/>
      <c r="N118"/>
      <c r="O118"/>
    </row>
    <row r="119" spans="1:15" x14ac:dyDescent="0.25">
      <c r="K119"/>
      <c r="L119"/>
      <c r="M119"/>
      <c r="N119"/>
      <c r="O119"/>
    </row>
    <row r="120" spans="1:15" x14ac:dyDescent="0.25">
      <c r="K120"/>
      <c r="L120"/>
      <c r="M120"/>
      <c r="N120"/>
      <c r="O120"/>
    </row>
    <row r="121" spans="1:15" x14ac:dyDescent="0.25">
      <c r="K121"/>
      <c r="L121"/>
      <c r="M121"/>
      <c r="N121"/>
      <c r="O121"/>
    </row>
    <row r="122" spans="1:15" x14ac:dyDescent="0.25">
      <c r="K122"/>
      <c r="L122"/>
      <c r="M122"/>
      <c r="N122"/>
      <c r="O122"/>
    </row>
    <row r="123" spans="1:15" x14ac:dyDescent="0.25">
      <c r="K123"/>
      <c r="L123"/>
      <c r="M123"/>
      <c r="N123"/>
      <c r="O123"/>
    </row>
    <row r="124" spans="1:15" x14ac:dyDescent="0.25">
      <c r="K124"/>
      <c r="L124"/>
      <c r="M124"/>
      <c r="N124"/>
      <c r="O124"/>
    </row>
    <row r="125" spans="1:15" x14ac:dyDescent="0.25">
      <c r="K125"/>
      <c r="L125"/>
      <c r="M125"/>
      <c r="N125"/>
      <c r="O125"/>
    </row>
    <row r="126" spans="1:15" x14ac:dyDescent="0.25">
      <c r="K126"/>
      <c r="L126"/>
      <c r="M126"/>
      <c r="N126"/>
      <c r="O126"/>
    </row>
    <row r="127" spans="1:15" x14ac:dyDescent="0.25">
      <c r="K127"/>
      <c r="L127"/>
      <c r="M127"/>
      <c r="N127"/>
      <c r="O127"/>
    </row>
    <row r="128" spans="1:15" x14ac:dyDescent="0.25">
      <c r="K128"/>
      <c r="L128"/>
      <c r="M128"/>
      <c r="N128"/>
      <c r="O128"/>
    </row>
    <row r="129" spans="11:15" x14ac:dyDescent="0.25">
      <c r="K129"/>
      <c r="L129"/>
      <c r="M129"/>
      <c r="N129"/>
      <c r="O129"/>
    </row>
    <row r="130" spans="11:15" x14ac:dyDescent="0.25">
      <c r="K130"/>
      <c r="L130"/>
      <c r="M130"/>
      <c r="N130"/>
      <c r="O130"/>
    </row>
    <row r="131" spans="11:15" x14ac:dyDescent="0.25">
      <c r="K131"/>
      <c r="L131"/>
      <c r="M131"/>
      <c r="N131"/>
      <c r="O131"/>
    </row>
    <row r="132" spans="11:15" x14ac:dyDescent="0.25">
      <c r="K132"/>
      <c r="L132"/>
      <c r="M132"/>
      <c r="N132"/>
      <c r="O132"/>
    </row>
    <row r="133" spans="11:15" x14ac:dyDescent="0.25">
      <c r="K133"/>
      <c r="L133"/>
      <c r="M133"/>
      <c r="N133"/>
      <c r="O133"/>
    </row>
    <row r="134" spans="11:15" x14ac:dyDescent="0.25">
      <c r="K134"/>
      <c r="L134"/>
      <c r="M134"/>
      <c r="N134"/>
      <c r="O134"/>
    </row>
    <row r="135" spans="11:15" x14ac:dyDescent="0.25">
      <c r="K135"/>
      <c r="L135"/>
      <c r="M135"/>
      <c r="N135"/>
      <c r="O135"/>
    </row>
    <row r="136" spans="11:15" x14ac:dyDescent="0.25">
      <c r="K136"/>
      <c r="L136"/>
      <c r="M136"/>
      <c r="N136"/>
      <c r="O136"/>
    </row>
    <row r="137" spans="11:15" x14ac:dyDescent="0.25">
      <c r="K137"/>
      <c r="L137"/>
      <c r="M137"/>
      <c r="N137"/>
      <c r="O137"/>
    </row>
    <row r="138" spans="11:15" x14ac:dyDescent="0.25">
      <c r="K138"/>
      <c r="L138"/>
      <c r="M138"/>
      <c r="N138"/>
      <c r="O138"/>
    </row>
    <row r="139" spans="11:15" x14ac:dyDescent="0.25">
      <c r="K139"/>
      <c r="L139"/>
      <c r="M139"/>
      <c r="N139"/>
      <c r="O139"/>
    </row>
    <row r="140" spans="11:15" x14ac:dyDescent="0.25">
      <c r="K140"/>
      <c r="L140"/>
      <c r="M140"/>
      <c r="N140"/>
      <c r="O140"/>
    </row>
    <row r="141" spans="11:15" x14ac:dyDescent="0.25">
      <c r="K141"/>
      <c r="L141"/>
      <c r="M141"/>
      <c r="N141"/>
      <c r="O141"/>
    </row>
    <row r="142" spans="11:15" x14ac:dyDescent="0.25">
      <c r="K142"/>
      <c r="L142"/>
      <c r="M142"/>
      <c r="N142"/>
      <c r="O142"/>
    </row>
    <row r="143" spans="11:15" x14ac:dyDescent="0.25">
      <c r="K143"/>
      <c r="L143"/>
      <c r="M143"/>
      <c r="N143"/>
      <c r="O143"/>
    </row>
    <row r="144" spans="11:15" x14ac:dyDescent="0.25">
      <c r="K144"/>
      <c r="L144"/>
      <c r="M144"/>
      <c r="N144"/>
      <c r="O144"/>
    </row>
    <row r="145" spans="11:15" x14ac:dyDescent="0.25">
      <c r="K145"/>
      <c r="L145"/>
      <c r="M145"/>
      <c r="N145"/>
      <c r="O145"/>
    </row>
    <row r="146" spans="11:15" x14ac:dyDescent="0.25">
      <c r="K146"/>
      <c r="L146"/>
      <c r="M146"/>
      <c r="N146"/>
      <c r="O146"/>
    </row>
    <row r="147" spans="11:15" x14ac:dyDescent="0.25">
      <c r="K147"/>
      <c r="L147"/>
      <c r="M147"/>
      <c r="N147"/>
      <c r="O147"/>
    </row>
    <row r="148" spans="11:15" x14ac:dyDescent="0.25">
      <c r="K148"/>
      <c r="L148"/>
      <c r="M148"/>
      <c r="N148"/>
      <c r="O148"/>
    </row>
    <row r="149" spans="11:15" x14ac:dyDescent="0.25">
      <c r="K149"/>
      <c r="L149"/>
      <c r="M149"/>
      <c r="N149"/>
      <c r="O149"/>
    </row>
    <row r="150" spans="11:15" x14ac:dyDescent="0.25">
      <c r="K150"/>
      <c r="L150"/>
      <c r="M150"/>
      <c r="N150"/>
      <c r="O150"/>
    </row>
    <row r="151" spans="11:15" x14ac:dyDescent="0.25">
      <c r="K151"/>
      <c r="L151"/>
      <c r="M151"/>
      <c r="N151"/>
      <c r="O151"/>
    </row>
    <row r="152" spans="11:15" x14ac:dyDescent="0.25">
      <c r="K152"/>
      <c r="L152"/>
      <c r="M152"/>
      <c r="N152"/>
      <c r="O152"/>
    </row>
    <row r="153" spans="11:15" x14ac:dyDescent="0.25">
      <c r="K153"/>
      <c r="L153"/>
      <c r="M153"/>
      <c r="N153"/>
      <c r="O153"/>
    </row>
    <row r="154" spans="11:15" x14ac:dyDescent="0.25">
      <c r="K154"/>
      <c r="L154"/>
      <c r="M154"/>
      <c r="N154"/>
      <c r="O154"/>
    </row>
    <row r="155" spans="11:15" x14ac:dyDescent="0.25">
      <c r="K155"/>
      <c r="L155"/>
      <c r="M155"/>
      <c r="N155"/>
      <c r="O155"/>
    </row>
    <row r="156" spans="11:15" x14ac:dyDescent="0.25">
      <c r="K156"/>
      <c r="L156"/>
      <c r="M156"/>
      <c r="N156"/>
      <c r="O156"/>
    </row>
    <row r="157" spans="11:15" x14ac:dyDescent="0.25">
      <c r="K157"/>
      <c r="L157"/>
      <c r="M157"/>
      <c r="N157"/>
      <c r="O157"/>
    </row>
    <row r="158" spans="11:15" x14ac:dyDescent="0.25">
      <c r="K158"/>
      <c r="L158"/>
      <c r="M158"/>
      <c r="N158"/>
      <c r="O158"/>
    </row>
    <row r="159" spans="11:15" x14ac:dyDescent="0.25">
      <c r="K159"/>
      <c r="L159"/>
      <c r="M159"/>
      <c r="N159"/>
      <c r="O159"/>
    </row>
    <row r="160" spans="11:15" x14ac:dyDescent="0.25">
      <c r="K160"/>
      <c r="L160"/>
      <c r="M160"/>
      <c r="N160"/>
      <c r="O160"/>
    </row>
    <row r="161" spans="11:15" x14ac:dyDescent="0.25">
      <c r="K161"/>
      <c r="L161"/>
      <c r="M161"/>
      <c r="N161"/>
      <c r="O161"/>
    </row>
    <row r="162" spans="11:15" x14ac:dyDescent="0.25">
      <c r="K162"/>
      <c r="L162"/>
      <c r="M162"/>
      <c r="N162"/>
      <c r="O162"/>
    </row>
    <row r="163" spans="11:15" x14ac:dyDescent="0.25">
      <c r="K163"/>
      <c r="L163"/>
      <c r="M163"/>
      <c r="N163"/>
      <c r="O163"/>
    </row>
    <row r="164" spans="11:15" x14ac:dyDescent="0.25">
      <c r="K164"/>
      <c r="L164"/>
      <c r="M164"/>
      <c r="N164"/>
      <c r="O164"/>
    </row>
    <row r="165" spans="11:15" x14ac:dyDescent="0.25">
      <c r="K165"/>
      <c r="L165"/>
      <c r="M165"/>
      <c r="N165"/>
      <c r="O165"/>
    </row>
    <row r="166" spans="11:15" x14ac:dyDescent="0.25">
      <c r="K166"/>
      <c r="L166"/>
      <c r="M166"/>
      <c r="N166"/>
      <c r="O166"/>
    </row>
    <row r="167" spans="11:15" x14ac:dyDescent="0.25">
      <c r="K167"/>
      <c r="L167"/>
      <c r="M167"/>
      <c r="N167"/>
      <c r="O167"/>
    </row>
    <row r="168" spans="11:15" x14ac:dyDescent="0.25">
      <c r="K168"/>
      <c r="L168"/>
      <c r="M168"/>
      <c r="N168"/>
      <c r="O168"/>
    </row>
    <row r="169" spans="11:15" x14ac:dyDescent="0.25">
      <c r="K169"/>
      <c r="L169"/>
      <c r="M169"/>
      <c r="N169"/>
      <c r="O169"/>
    </row>
    <row r="170" spans="11:15" x14ac:dyDescent="0.25">
      <c r="K170"/>
      <c r="L170"/>
      <c r="M170"/>
      <c r="N170"/>
      <c r="O170"/>
    </row>
    <row r="171" spans="11:15" x14ac:dyDescent="0.25">
      <c r="K171"/>
      <c r="L171"/>
      <c r="M171"/>
      <c r="N171"/>
      <c r="O171"/>
    </row>
    <row r="172" spans="11:15" x14ac:dyDescent="0.25">
      <c r="K172"/>
      <c r="L172"/>
      <c r="M172"/>
      <c r="N172"/>
      <c r="O172"/>
    </row>
    <row r="173" spans="11:15" x14ac:dyDescent="0.25">
      <c r="K173"/>
      <c r="L173"/>
      <c r="M173"/>
      <c r="N173"/>
      <c r="O173"/>
    </row>
    <row r="174" spans="11:15" x14ac:dyDescent="0.25">
      <c r="K174"/>
      <c r="L174"/>
      <c r="M174"/>
      <c r="N174"/>
      <c r="O174"/>
    </row>
    <row r="175" spans="11:15" x14ac:dyDescent="0.25">
      <c r="K175"/>
      <c r="L175"/>
      <c r="M175"/>
      <c r="N175"/>
      <c r="O175"/>
    </row>
    <row r="176" spans="11:15" x14ac:dyDescent="0.25">
      <c r="K176"/>
      <c r="L176"/>
      <c r="M176"/>
      <c r="N176"/>
      <c r="O176"/>
    </row>
    <row r="177" spans="11:15" x14ac:dyDescent="0.25">
      <c r="K177"/>
      <c r="L177"/>
      <c r="M177"/>
      <c r="N177"/>
      <c r="O177"/>
    </row>
    <row r="178" spans="11:15" x14ac:dyDescent="0.25">
      <c r="K178"/>
      <c r="L178"/>
      <c r="M178"/>
      <c r="N178"/>
      <c r="O178"/>
    </row>
    <row r="179" spans="11:15" x14ac:dyDescent="0.25">
      <c r="K179"/>
      <c r="L179"/>
      <c r="M179"/>
      <c r="N179"/>
      <c r="O179"/>
    </row>
    <row r="180" spans="11:15" x14ac:dyDescent="0.25">
      <c r="K180"/>
      <c r="L180"/>
      <c r="M180"/>
      <c r="N180"/>
      <c r="O180"/>
    </row>
    <row r="181" spans="11:15" x14ac:dyDescent="0.25">
      <c r="K181"/>
      <c r="L181"/>
      <c r="M181"/>
      <c r="N181"/>
      <c r="O181"/>
    </row>
    <row r="182" spans="11:15" x14ac:dyDescent="0.25">
      <c r="K182"/>
      <c r="L182"/>
      <c r="M182"/>
      <c r="N182"/>
      <c r="O182"/>
    </row>
    <row r="183" spans="11:15" x14ac:dyDescent="0.25">
      <c r="K183"/>
      <c r="L183"/>
      <c r="M183"/>
      <c r="N183"/>
      <c r="O183"/>
    </row>
    <row r="184" spans="11:15" x14ac:dyDescent="0.25">
      <c r="K184"/>
      <c r="L184"/>
      <c r="M184"/>
      <c r="N184"/>
      <c r="O184"/>
    </row>
    <row r="185" spans="11:15" x14ac:dyDescent="0.25">
      <c r="K185"/>
      <c r="L185"/>
      <c r="M185"/>
      <c r="N185"/>
      <c r="O185"/>
    </row>
    <row r="186" spans="11:15" x14ac:dyDescent="0.25">
      <c r="K186"/>
      <c r="L186"/>
      <c r="M186"/>
      <c r="N186"/>
      <c r="O186"/>
    </row>
    <row r="187" spans="11:15" x14ac:dyDescent="0.25">
      <c r="K187"/>
      <c r="L187"/>
      <c r="M187"/>
      <c r="N187"/>
      <c r="O187"/>
    </row>
    <row r="188" spans="11:15" x14ac:dyDescent="0.25">
      <c r="K188"/>
      <c r="L188"/>
      <c r="M188"/>
      <c r="N188"/>
      <c r="O188"/>
    </row>
    <row r="189" spans="11:15" x14ac:dyDescent="0.25">
      <c r="K189"/>
      <c r="L189"/>
      <c r="M189"/>
      <c r="N189"/>
      <c r="O189"/>
    </row>
    <row r="190" spans="11:15" x14ac:dyDescent="0.25">
      <c r="K190"/>
      <c r="L190"/>
      <c r="M190"/>
      <c r="N190"/>
      <c r="O190"/>
    </row>
    <row r="191" spans="11:15" x14ac:dyDescent="0.25">
      <c r="K191"/>
      <c r="L191"/>
      <c r="M191"/>
      <c r="N191"/>
      <c r="O191"/>
    </row>
    <row r="192" spans="11:15" x14ac:dyDescent="0.25">
      <c r="K192"/>
      <c r="L192"/>
      <c r="M192"/>
      <c r="N192"/>
      <c r="O192"/>
    </row>
    <row r="193" spans="11:15" x14ac:dyDescent="0.25">
      <c r="K193"/>
      <c r="L193"/>
      <c r="M193"/>
      <c r="N193"/>
      <c r="O193"/>
    </row>
    <row r="194" spans="11:15" x14ac:dyDescent="0.25">
      <c r="K194"/>
      <c r="L194"/>
      <c r="M194"/>
      <c r="N194"/>
      <c r="O194"/>
    </row>
    <row r="195" spans="11:15" x14ac:dyDescent="0.25">
      <c r="K195"/>
      <c r="L195"/>
      <c r="M195"/>
      <c r="N195"/>
      <c r="O195"/>
    </row>
    <row r="196" spans="11:15" x14ac:dyDescent="0.25">
      <c r="K196"/>
      <c r="L196"/>
      <c r="M196"/>
      <c r="N196"/>
      <c r="O196"/>
    </row>
    <row r="197" spans="11:15" x14ac:dyDescent="0.25">
      <c r="K197"/>
      <c r="L197"/>
      <c r="M197"/>
      <c r="N197"/>
      <c r="O197"/>
    </row>
    <row r="198" spans="11:15" x14ac:dyDescent="0.25">
      <c r="K198"/>
      <c r="L198"/>
      <c r="M198"/>
      <c r="N198"/>
      <c r="O198"/>
    </row>
    <row r="199" spans="11:15" x14ac:dyDescent="0.25">
      <c r="K199"/>
      <c r="L199"/>
      <c r="M199"/>
      <c r="N199"/>
      <c r="O199"/>
    </row>
    <row r="200" spans="11:15" x14ac:dyDescent="0.25">
      <c r="K200"/>
      <c r="L200"/>
      <c r="M200"/>
      <c r="N200"/>
      <c r="O200"/>
    </row>
    <row r="201" spans="11:15" x14ac:dyDescent="0.25">
      <c r="K201"/>
      <c r="L201"/>
      <c r="M201"/>
      <c r="N201"/>
      <c r="O201"/>
    </row>
    <row r="202" spans="11:15" x14ac:dyDescent="0.25">
      <c r="K202"/>
      <c r="L202"/>
      <c r="M202"/>
      <c r="N202"/>
      <c r="O202"/>
    </row>
    <row r="203" spans="11:15" x14ac:dyDescent="0.25">
      <c r="K203"/>
      <c r="L203"/>
      <c r="M203"/>
      <c r="N203"/>
      <c r="O203"/>
    </row>
    <row r="204" spans="11:15" x14ac:dyDescent="0.25">
      <c r="K204"/>
      <c r="L204"/>
      <c r="M204"/>
      <c r="N204"/>
      <c r="O204"/>
    </row>
    <row r="205" spans="11:15" x14ac:dyDescent="0.25">
      <c r="K205"/>
      <c r="L205"/>
      <c r="M205"/>
      <c r="N205"/>
      <c r="O205"/>
    </row>
    <row r="206" spans="11:15" x14ac:dyDescent="0.25">
      <c r="K206"/>
      <c r="L206"/>
      <c r="M206"/>
      <c r="N206"/>
      <c r="O206"/>
    </row>
    <row r="207" spans="11:15" x14ac:dyDescent="0.25">
      <c r="K207"/>
      <c r="L207"/>
      <c r="M207"/>
      <c r="N207"/>
      <c r="O207"/>
    </row>
    <row r="208" spans="11:15" x14ac:dyDescent="0.25">
      <c r="K208"/>
      <c r="L208"/>
      <c r="M208"/>
      <c r="N208"/>
      <c r="O208"/>
    </row>
    <row r="209" spans="11:15" x14ac:dyDescent="0.25">
      <c r="K209"/>
      <c r="L209"/>
      <c r="M209"/>
      <c r="N209"/>
      <c r="O209"/>
    </row>
    <row r="210" spans="11:15" x14ac:dyDescent="0.25">
      <c r="K210"/>
      <c r="L210"/>
      <c r="M210"/>
      <c r="N210"/>
      <c r="O210"/>
    </row>
    <row r="211" spans="11:15" x14ac:dyDescent="0.25">
      <c r="K211"/>
      <c r="L211"/>
      <c r="M211"/>
      <c r="N211"/>
      <c r="O211"/>
    </row>
    <row r="212" spans="11:15" x14ac:dyDescent="0.25">
      <c r="K212"/>
      <c r="L212"/>
      <c r="M212"/>
      <c r="N212"/>
      <c r="O212"/>
    </row>
    <row r="213" spans="11:15" x14ac:dyDescent="0.25">
      <c r="K213"/>
      <c r="L213"/>
      <c r="M213"/>
      <c r="N213"/>
      <c r="O213"/>
    </row>
    <row r="214" spans="11:15" x14ac:dyDescent="0.25">
      <c r="K214"/>
      <c r="L214"/>
      <c r="M214"/>
      <c r="N214"/>
      <c r="O214"/>
    </row>
    <row r="215" spans="11:15" x14ac:dyDescent="0.25">
      <c r="K215"/>
      <c r="L215"/>
      <c r="M215"/>
      <c r="N215"/>
      <c r="O215"/>
    </row>
    <row r="216" spans="11:15" x14ac:dyDescent="0.25">
      <c r="K216"/>
      <c r="L216"/>
      <c r="M216"/>
      <c r="N216"/>
      <c r="O216"/>
    </row>
    <row r="217" spans="11:15" x14ac:dyDescent="0.25">
      <c r="K217"/>
      <c r="L217"/>
      <c r="M217"/>
      <c r="N217"/>
      <c r="O217"/>
    </row>
    <row r="218" spans="11:15" x14ac:dyDescent="0.25">
      <c r="K218"/>
      <c r="L218"/>
      <c r="M218"/>
      <c r="N218"/>
      <c r="O218"/>
    </row>
    <row r="219" spans="11:15" x14ac:dyDescent="0.25">
      <c r="K219"/>
      <c r="L219"/>
      <c r="M219"/>
      <c r="N219"/>
      <c r="O219"/>
    </row>
    <row r="220" spans="11:15" x14ac:dyDescent="0.25">
      <c r="K220"/>
      <c r="L220"/>
      <c r="M220"/>
      <c r="N220"/>
      <c r="O220"/>
    </row>
    <row r="221" spans="11:15" x14ac:dyDescent="0.25">
      <c r="K221"/>
      <c r="L221"/>
      <c r="M221"/>
      <c r="N221"/>
      <c r="O221"/>
    </row>
    <row r="222" spans="11:15" x14ac:dyDescent="0.25">
      <c r="K222"/>
      <c r="L222"/>
      <c r="M222"/>
      <c r="N222"/>
      <c r="O222"/>
    </row>
    <row r="223" spans="11:15" x14ac:dyDescent="0.25">
      <c r="K223"/>
      <c r="L223"/>
      <c r="M223"/>
      <c r="N223"/>
      <c r="O223"/>
    </row>
    <row r="224" spans="11:15" x14ac:dyDescent="0.25">
      <c r="K224"/>
      <c r="L224"/>
      <c r="M224"/>
      <c r="N224"/>
      <c r="O224"/>
    </row>
    <row r="225" spans="11:15" x14ac:dyDescent="0.25">
      <c r="K225"/>
      <c r="L225"/>
      <c r="M225"/>
      <c r="N225"/>
      <c r="O225"/>
    </row>
    <row r="226" spans="11:15" x14ac:dyDescent="0.25">
      <c r="K226"/>
      <c r="L226"/>
      <c r="M226"/>
      <c r="N226"/>
      <c r="O226"/>
    </row>
    <row r="227" spans="11:15" x14ac:dyDescent="0.25">
      <c r="K227"/>
      <c r="L227"/>
      <c r="M227"/>
      <c r="N227"/>
      <c r="O227"/>
    </row>
    <row r="228" spans="11:15" x14ac:dyDescent="0.25">
      <c r="K228"/>
      <c r="L228"/>
      <c r="M228"/>
      <c r="N228"/>
      <c r="O228"/>
    </row>
    <row r="229" spans="11:15" x14ac:dyDescent="0.25">
      <c r="K229"/>
      <c r="L229"/>
      <c r="M229"/>
      <c r="N229"/>
      <c r="O229"/>
    </row>
    <row r="230" spans="11:15" x14ac:dyDescent="0.25">
      <c r="K230"/>
      <c r="L230"/>
      <c r="M230"/>
      <c r="N230"/>
      <c r="O230"/>
    </row>
    <row r="231" spans="11:15" x14ac:dyDescent="0.25">
      <c r="K231"/>
      <c r="L231"/>
      <c r="M231"/>
      <c r="N231"/>
      <c r="O231"/>
    </row>
    <row r="232" spans="11:15" x14ac:dyDescent="0.25">
      <c r="K232"/>
      <c r="L232"/>
      <c r="M232"/>
      <c r="N232"/>
      <c r="O232"/>
    </row>
    <row r="233" spans="11:15" x14ac:dyDescent="0.25">
      <c r="K233"/>
      <c r="L233"/>
      <c r="M233"/>
      <c r="N233"/>
      <c r="O233"/>
    </row>
    <row r="234" spans="11:15" x14ac:dyDescent="0.25">
      <c r="K234"/>
      <c r="L234"/>
      <c r="M234"/>
      <c r="N234"/>
      <c r="O234"/>
    </row>
    <row r="235" spans="11:15" x14ac:dyDescent="0.25">
      <c r="K235"/>
      <c r="L235"/>
      <c r="M235"/>
      <c r="N235"/>
      <c r="O235"/>
    </row>
    <row r="236" spans="11:15" x14ac:dyDescent="0.25">
      <c r="K236"/>
      <c r="L236"/>
      <c r="M236"/>
      <c r="N236"/>
      <c r="O236"/>
    </row>
    <row r="237" spans="11:15" x14ac:dyDescent="0.25">
      <c r="K237"/>
      <c r="L237"/>
      <c r="M237"/>
      <c r="N237"/>
      <c r="O237"/>
    </row>
    <row r="238" spans="11:15" x14ac:dyDescent="0.25">
      <c r="K238"/>
      <c r="L238"/>
      <c r="M238"/>
      <c r="N238"/>
      <c r="O238"/>
    </row>
    <row r="239" spans="11:15" x14ac:dyDescent="0.25">
      <c r="K239"/>
      <c r="L239"/>
      <c r="M239"/>
      <c r="N239"/>
      <c r="O239"/>
    </row>
    <row r="240" spans="11:15" x14ac:dyDescent="0.25">
      <c r="K240"/>
      <c r="L240"/>
      <c r="M240"/>
      <c r="N240"/>
      <c r="O240"/>
    </row>
    <row r="241" spans="11:15" x14ac:dyDescent="0.25">
      <c r="K241"/>
      <c r="L241"/>
      <c r="M241"/>
      <c r="N241"/>
      <c r="O241"/>
    </row>
    <row r="242" spans="11:15" x14ac:dyDescent="0.25">
      <c r="K242"/>
      <c r="L242"/>
      <c r="M242"/>
      <c r="N242"/>
      <c r="O242"/>
    </row>
    <row r="243" spans="11:15" x14ac:dyDescent="0.25">
      <c r="K243"/>
      <c r="L243"/>
      <c r="M243"/>
      <c r="N243"/>
      <c r="O243"/>
    </row>
    <row r="244" spans="11:15" x14ac:dyDescent="0.25">
      <c r="K244"/>
      <c r="L244"/>
      <c r="M244"/>
      <c r="N244"/>
      <c r="O244"/>
    </row>
    <row r="245" spans="11:15" x14ac:dyDescent="0.25">
      <c r="K245"/>
      <c r="L245"/>
      <c r="M245"/>
      <c r="N245"/>
      <c r="O245"/>
    </row>
    <row r="246" spans="11:15" x14ac:dyDescent="0.25">
      <c r="K246"/>
      <c r="L246"/>
      <c r="M246"/>
      <c r="N246"/>
      <c r="O246"/>
    </row>
    <row r="247" spans="11:15" x14ac:dyDescent="0.25">
      <c r="K247"/>
      <c r="L247"/>
      <c r="M247"/>
      <c r="N247"/>
      <c r="O247"/>
    </row>
    <row r="248" spans="11:15" x14ac:dyDescent="0.25">
      <c r="K248"/>
      <c r="L248"/>
      <c r="M248"/>
      <c r="N248"/>
      <c r="O248"/>
    </row>
    <row r="249" spans="11:15" x14ac:dyDescent="0.25">
      <c r="K249"/>
      <c r="L249"/>
      <c r="M249"/>
      <c r="N249"/>
      <c r="O249"/>
    </row>
    <row r="250" spans="11:15" x14ac:dyDescent="0.25">
      <c r="K250"/>
      <c r="L250"/>
      <c r="M250"/>
      <c r="N250"/>
      <c r="O250"/>
    </row>
    <row r="251" spans="11:15" x14ac:dyDescent="0.25">
      <c r="K251"/>
      <c r="L251"/>
      <c r="M251"/>
      <c r="N251"/>
      <c r="O251"/>
    </row>
    <row r="252" spans="11:15" x14ac:dyDescent="0.25">
      <c r="K252"/>
      <c r="L252"/>
      <c r="M252"/>
      <c r="N252"/>
      <c r="O252"/>
    </row>
    <row r="253" spans="11:15" x14ac:dyDescent="0.25">
      <c r="K253"/>
      <c r="L253"/>
      <c r="M253"/>
      <c r="N253"/>
      <c r="O253"/>
    </row>
    <row r="254" spans="11:15" x14ac:dyDescent="0.25">
      <c r="K254"/>
      <c r="L254"/>
      <c r="M254"/>
      <c r="N254"/>
      <c r="O254"/>
    </row>
    <row r="255" spans="11:15" x14ac:dyDescent="0.25">
      <c r="K255"/>
      <c r="L255"/>
      <c r="M255"/>
      <c r="N255"/>
      <c r="O255"/>
    </row>
    <row r="256" spans="11:15" x14ac:dyDescent="0.25">
      <c r="K256"/>
      <c r="L256"/>
      <c r="M256"/>
      <c r="N256"/>
      <c r="O256"/>
    </row>
    <row r="257" spans="11:15" x14ac:dyDescent="0.25">
      <c r="K257"/>
      <c r="L257"/>
      <c r="M257"/>
      <c r="N257"/>
      <c r="O257"/>
    </row>
    <row r="258" spans="11:15" x14ac:dyDescent="0.25">
      <c r="K258"/>
      <c r="L258"/>
      <c r="M258"/>
      <c r="N258"/>
      <c r="O258"/>
    </row>
    <row r="259" spans="11:15" x14ac:dyDescent="0.25">
      <c r="K259"/>
      <c r="L259"/>
      <c r="M259"/>
      <c r="N259"/>
      <c r="O259"/>
    </row>
    <row r="260" spans="11:15" x14ac:dyDescent="0.25">
      <c r="K260"/>
      <c r="L260"/>
      <c r="M260"/>
      <c r="N260"/>
      <c r="O260"/>
    </row>
    <row r="261" spans="11:15" x14ac:dyDescent="0.25">
      <c r="K261"/>
      <c r="L261"/>
      <c r="M261"/>
      <c r="N261"/>
      <c r="O261"/>
    </row>
    <row r="262" spans="11:15" x14ac:dyDescent="0.25">
      <c r="K262"/>
      <c r="L262"/>
      <c r="M262"/>
      <c r="N262"/>
      <c r="O262"/>
    </row>
    <row r="263" spans="11:15" x14ac:dyDescent="0.25">
      <c r="K263"/>
      <c r="L263"/>
      <c r="M263"/>
      <c r="N263"/>
      <c r="O263"/>
    </row>
    <row r="264" spans="11:15" x14ac:dyDescent="0.25">
      <c r="K264"/>
      <c r="L264"/>
      <c r="M264"/>
      <c r="N264"/>
      <c r="O264"/>
    </row>
    <row r="265" spans="11:15" x14ac:dyDescent="0.25">
      <c r="K265"/>
      <c r="L265"/>
      <c r="M265"/>
      <c r="N265"/>
      <c r="O265"/>
    </row>
    <row r="266" spans="11:15" x14ac:dyDescent="0.25">
      <c r="K266"/>
      <c r="L266"/>
      <c r="M266"/>
      <c r="N266"/>
      <c r="O266"/>
    </row>
    <row r="267" spans="11:15" x14ac:dyDescent="0.25">
      <c r="K267"/>
      <c r="L267"/>
      <c r="M267"/>
      <c r="N267"/>
      <c r="O267"/>
    </row>
    <row r="268" spans="11:15" x14ac:dyDescent="0.25">
      <c r="K268"/>
      <c r="L268"/>
      <c r="M268"/>
      <c r="N268"/>
      <c r="O268"/>
    </row>
    <row r="269" spans="11:15" x14ac:dyDescent="0.25">
      <c r="K269"/>
      <c r="L269"/>
      <c r="M269"/>
      <c r="N269"/>
      <c r="O269"/>
    </row>
    <row r="270" spans="11:15" x14ac:dyDescent="0.25">
      <c r="K270"/>
      <c r="L270"/>
      <c r="M270"/>
      <c r="N270"/>
      <c r="O270"/>
    </row>
    <row r="271" spans="11:15" x14ac:dyDescent="0.25">
      <c r="K271"/>
      <c r="L271"/>
      <c r="M271"/>
      <c r="N271"/>
      <c r="O271"/>
    </row>
    <row r="272" spans="11:15" x14ac:dyDescent="0.25">
      <c r="K272"/>
      <c r="L272"/>
      <c r="M272"/>
      <c r="N272"/>
      <c r="O272"/>
    </row>
    <row r="273" spans="11:15" x14ac:dyDescent="0.25">
      <c r="K273"/>
      <c r="L273"/>
      <c r="M273"/>
      <c r="N273"/>
      <c r="O273"/>
    </row>
    <row r="274" spans="11:15" x14ac:dyDescent="0.25">
      <c r="K274"/>
      <c r="L274"/>
      <c r="M274"/>
      <c r="N274"/>
      <c r="O274"/>
    </row>
    <row r="275" spans="11:15" x14ac:dyDescent="0.25">
      <c r="K275"/>
      <c r="L275"/>
      <c r="M275"/>
      <c r="N275"/>
      <c r="O275"/>
    </row>
    <row r="276" spans="11:15" x14ac:dyDescent="0.25">
      <c r="K276"/>
      <c r="L276"/>
      <c r="M276"/>
      <c r="N276"/>
      <c r="O276"/>
    </row>
    <row r="277" spans="11:15" x14ac:dyDescent="0.25">
      <c r="K277"/>
      <c r="L277"/>
      <c r="M277"/>
      <c r="N277"/>
      <c r="O277"/>
    </row>
    <row r="278" spans="11:15" x14ac:dyDescent="0.25">
      <c r="K278"/>
      <c r="L278"/>
      <c r="M278"/>
      <c r="N278"/>
      <c r="O278"/>
    </row>
    <row r="279" spans="11:15" x14ac:dyDescent="0.25">
      <c r="K279"/>
      <c r="L279"/>
      <c r="M279"/>
      <c r="N279"/>
      <c r="O279"/>
    </row>
    <row r="280" spans="11:15" x14ac:dyDescent="0.25">
      <c r="K280"/>
      <c r="L280"/>
      <c r="M280"/>
      <c r="N280"/>
      <c r="O280"/>
    </row>
    <row r="281" spans="11:15" x14ac:dyDescent="0.25">
      <c r="K281"/>
      <c r="L281"/>
      <c r="M281"/>
      <c r="N281"/>
      <c r="O281"/>
    </row>
    <row r="282" spans="11:15" x14ac:dyDescent="0.25">
      <c r="K282"/>
      <c r="L282"/>
      <c r="M282"/>
      <c r="N282"/>
      <c r="O282"/>
    </row>
    <row r="283" spans="11:15" x14ac:dyDescent="0.25">
      <c r="K283"/>
      <c r="L283"/>
      <c r="M283"/>
      <c r="N283"/>
      <c r="O283"/>
    </row>
    <row r="284" spans="11:15" x14ac:dyDescent="0.25">
      <c r="K284"/>
      <c r="L284"/>
      <c r="M284"/>
      <c r="N284"/>
      <c r="O284"/>
    </row>
    <row r="285" spans="11:15" x14ac:dyDescent="0.25">
      <c r="K285"/>
      <c r="L285"/>
      <c r="M285"/>
      <c r="N285"/>
      <c r="O285"/>
    </row>
    <row r="286" spans="11:15" x14ac:dyDescent="0.25">
      <c r="K286"/>
      <c r="L286"/>
      <c r="M286"/>
      <c r="N286"/>
      <c r="O286"/>
    </row>
    <row r="287" spans="11:15" x14ac:dyDescent="0.25">
      <c r="K287"/>
      <c r="L287"/>
      <c r="M287"/>
      <c r="N287"/>
      <c r="O287"/>
    </row>
    <row r="288" spans="11:15" x14ac:dyDescent="0.25">
      <c r="K288"/>
      <c r="L288"/>
      <c r="M288"/>
      <c r="N288"/>
      <c r="O288"/>
    </row>
    <row r="289" spans="11:15" x14ac:dyDescent="0.25">
      <c r="K289"/>
      <c r="L289"/>
      <c r="M289"/>
      <c r="N289"/>
      <c r="O289"/>
    </row>
    <row r="290" spans="11:15" x14ac:dyDescent="0.25">
      <c r="K290"/>
      <c r="L290"/>
      <c r="M290"/>
      <c r="N290"/>
      <c r="O290"/>
    </row>
    <row r="291" spans="11:15" x14ac:dyDescent="0.25">
      <c r="K291"/>
      <c r="L291"/>
      <c r="M291"/>
      <c r="N291"/>
      <c r="O291"/>
    </row>
    <row r="292" spans="11:15" x14ac:dyDescent="0.25">
      <c r="K292"/>
      <c r="L292"/>
      <c r="M292"/>
      <c r="N292"/>
      <c r="O292"/>
    </row>
    <row r="293" spans="11:15" x14ac:dyDescent="0.25">
      <c r="K293"/>
      <c r="L293"/>
      <c r="M293"/>
      <c r="N293"/>
      <c r="O293"/>
    </row>
    <row r="294" spans="11:15" x14ac:dyDescent="0.25">
      <c r="K294"/>
      <c r="L294"/>
      <c r="M294"/>
      <c r="N294"/>
      <c r="O294"/>
    </row>
    <row r="295" spans="11:15" x14ac:dyDescent="0.25">
      <c r="K295"/>
      <c r="L295"/>
      <c r="M295"/>
      <c r="N295"/>
      <c r="O295"/>
    </row>
    <row r="296" spans="11:15" x14ac:dyDescent="0.25">
      <c r="K296"/>
      <c r="L296"/>
      <c r="M296"/>
      <c r="N296"/>
      <c r="O296"/>
    </row>
    <row r="297" spans="11:15" x14ac:dyDescent="0.25">
      <c r="K297"/>
      <c r="L297"/>
      <c r="M297"/>
      <c r="N297"/>
      <c r="O297"/>
    </row>
    <row r="298" spans="11:15" x14ac:dyDescent="0.25">
      <c r="K298"/>
      <c r="L298"/>
      <c r="M298"/>
      <c r="N298"/>
      <c r="O298"/>
    </row>
    <row r="299" spans="11:15" x14ac:dyDescent="0.25">
      <c r="K299"/>
      <c r="L299"/>
      <c r="M299"/>
      <c r="N299"/>
      <c r="O299"/>
    </row>
    <row r="300" spans="11:15" x14ac:dyDescent="0.25">
      <c r="K300"/>
      <c r="L300"/>
      <c r="M300"/>
      <c r="N300"/>
      <c r="O300"/>
    </row>
    <row r="301" spans="11:15" x14ac:dyDescent="0.25">
      <c r="K301"/>
      <c r="L301"/>
      <c r="M301"/>
      <c r="N301"/>
      <c r="O301"/>
    </row>
    <row r="302" spans="11:15" x14ac:dyDescent="0.25">
      <c r="K302"/>
      <c r="L302"/>
      <c r="M302"/>
      <c r="N302"/>
      <c r="O302"/>
    </row>
    <row r="303" spans="11:15" x14ac:dyDescent="0.25">
      <c r="K303"/>
      <c r="L303"/>
      <c r="M303"/>
      <c r="N303"/>
      <c r="O303"/>
    </row>
    <row r="304" spans="11:15" x14ac:dyDescent="0.25">
      <c r="K304"/>
      <c r="L304"/>
      <c r="M304"/>
      <c r="N304"/>
      <c r="O304"/>
    </row>
    <row r="305" spans="11:15" x14ac:dyDescent="0.25">
      <c r="K305"/>
      <c r="L305"/>
      <c r="M305"/>
      <c r="N305"/>
      <c r="O305"/>
    </row>
    <row r="306" spans="11:15" x14ac:dyDescent="0.25">
      <c r="K306"/>
      <c r="L306"/>
      <c r="M306"/>
      <c r="N306"/>
      <c r="O306"/>
    </row>
    <row r="307" spans="11:15" x14ac:dyDescent="0.25">
      <c r="K307"/>
      <c r="L307"/>
      <c r="M307"/>
      <c r="N307"/>
      <c r="O307"/>
    </row>
    <row r="308" spans="11:15" x14ac:dyDescent="0.25">
      <c r="K308"/>
      <c r="L308"/>
      <c r="M308"/>
      <c r="N308"/>
      <c r="O308"/>
    </row>
    <row r="309" spans="11:15" x14ac:dyDescent="0.25">
      <c r="K309"/>
      <c r="L309"/>
      <c r="M309"/>
      <c r="N309"/>
      <c r="O309"/>
    </row>
    <row r="310" spans="11:15" x14ac:dyDescent="0.25">
      <c r="K310"/>
      <c r="L310"/>
      <c r="M310"/>
      <c r="N310"/>
      <c r="O310"/>
    </row>
    <row r="311" spans="11:15" x14ac:dyDescent="0.25">
      <c r="K311"/>
      <c r="L311"/>
      <c r="M311"/>
      <c r="N311"/>
      <c r="O311"/>
    </row>
    <row r="312" spans="11:15" x14ac:dyDescent="0.25">
      <c r="K312"/>
      <c r="L312"/>
      <c r="M312"/>
      <c r="N312"/>
      <c r="O312"/>
    </row>
    <row r="313" spans="11:15" x14ac:dyDescent="0.25">
      <c r="K313"/>
      <c r="L313"/>
      <c r="M313"/>
      <c r="N313"/>
      <c r="O313"/>
    </row>
    <row r="314" spans="11:15" x14ac:dyDescent="0.25">
      <c r="K314"/>
      <c r="L314"/>
      <c r="M314"/>
      <c r="N314"/>
      <c r="O314"/>
    </row>
    <row r="315" spans="11:15" x14ac:dyDescent="0.25">
      <c r="K315"/>
      <c r="L315"/>
      <c r="M315"/>
      <c r="N315"/>
      <c r="O315"/>
    </row>
    <row r="316" spans="11:15" x14ac:dyDescent="0.25">
      <c r="K316"/>
      <c r="L316"/>
      <c r="M316"/>
      <c r="N316"/>
      <c r="O316"/>
    </row>
    <row r="317" spans="11:15" x14ac:dyDescent="0.25">
      <c r="K317"/>
      <c r="L317"/>
      <c r="M317"/>
      <c r="N317"/>
      <c r="O317"/>
    </row>
    <row r="318" spans="11:15" x14ac:dyDescent="0.25">
      <c r="K318"/>
      <c r="L318"/>
      <c r="M318"/>
      <c r="N318"/>
      <c r="O318"/>
    </row>
    <row r="319" spans="11:15" x14ac:dyDescent="0.25">
      <c r="K319"/>
      <c r="L319"/>
      <c r="M319"/>
      <c r="N319"/>
      <c r="O319"/>
    </row>
    <row r="320" spans="11:15" x14ac:dyDescent="0.25">
      <c r="K320"/>
      <c r="L320"/>
      <c r="M320"/>
      <c r="N320"/>
      <c r="O320"/>
    </row>
    <row r="321" spans="11:15" x14ac:dyDescent="0.25">
      <c r="K321"/>
      <c r="L321"/>
      <c r="M321"/>
      <c r="N321"/>
      <c r="O321"/>
    </row>
    <row r="322" spans="11:15" x14ac:dyDescent="0.25">
      <c r="K322"/>
      <c r="L322"/>
      <c r="M322"/>
      <c r="N322"/>
      <c r="O322"/>
    </row>
    <row r="323" spans="11:15" x14ac:dyDescent="0.25">
      <c r="K323"/>
      <c r="L323"/>
      <c r="M323"/>
      <c r="N323"/>
      <c r="O323"/>
    </row>
    <row r="324" spans="11:15" x14ac:dyDescent="0.25">
      <c r="K324"/>
      <c r="L324"/>
      <c r="M324"/>
      <c r="N324"/>
      <c r="O324"/>
    </row>
    <row r="325" spans="11:15" x14ac:dyDescent="0.25">
      <c r="K325"/>
      <c r="L325"/>
      <c r="M325"/>
      <c r="N325"/>
      <c r="O325"/>
    </row>
    <row r="326" spans="11:15" x14ac:dyDescent="0.25">
      <c r="K326"/>
      <c r="L326"/>
      <c r="M326"/>
      <c r="N326"/>
      <c r="O326"/>
    </row>
    <row r="327" spans="11:15" x14ac:dyDescent="0.25">
      <c r="K327"/>
      <c r="L327"/>
      <c r="M327"/>
      <c r="N327"/>
      <c r="O327"/>
    </row>
    <row r="328" spans="11:15" x14ac:dyDescent="0.25">
      <c r="K328"/>
      <c r="L328"/>
      <c r="M328"/>
      <c r="N328"/>
      <c r="O328"/>
    </row>
    <row r="329" spans="11:15" x14ac:dyDescent="0.25">
      <c r="K329"/>
      <c r="L329"/>
      <c r="M329"/>
      <c r="N329"/>
      <c r="O329"/>
    </row>
    <row r="330" spans="11:15" x14ac:dyDescent="0.25">
      <c r="K330"/>
      <c r="L330"/>
      <c r="M330"/>
      <c r="N330"/>
      <c r="O330"/>
    </row>
    <row r="331" spans="11:15" x14ac:dyDescent="0.25">
      <c r="K331"/>
      <c r="L331"/>
      <c r="M331"/>
      <c r="N331"/>
      <c r="O331"/>
    </row>
    <row r="332" spans="11:15" x14ac:dyDescent="0.25">
      <c r="K332"/>
      <c r="L332"/>
      <c r="M332"/>
      <c r="N332"/>
      <c r="O332"/>
    </row>
    <row r="333" spans="11:15" x14ac:dyDescent="0.25">
      <c r="K333"/>
      <c r="L333"/>
      <c r="M333"/>
      <c r="N333"/>
      <c r="O333"/>
    </row>
    <row r="334" spans="11:15" x14ac:dyDescent="0.25">
      <c r="K334"/>
      <c r="L334"/>
      <c r="M334"/>
      <c r="N334"/>
      <c r="O334"/>
    </row>
    <row r="335" spans="11:15" x14ac:dyDescent="0.25">
      <c r="K335"/>
      <c r="L335"/>
      <c r="M335"/>
      <c r="N335"/>
      <c r="O335"/>
    </row>
    <row r="336" spans="11:15" x14ac:dyDescent="0.25">
      <c r="K336"/>
      <c r="L336"/>
      <c r="M336"/>
      <c r="N336"/>
      <c r="O336"/>
    </row>
    <row r="337" spans="11:15" x14ac:dyDescent="0.25">
      <c r="K337"/>
      <c r="L337"/>
      <c r="M337"/>
      <c r="N337"/>
      <c r="O337"/>
    </row>
    <row r="338" spans="11:15" x14ac:dyDescent="0.25">
      <c r="K338"/>
      <c r="L338"/>
      <c r="M338"/>
      <c r="N338"/>
      <c r="O338"/>
    </row>
    <row r="339" spans="11:15" x14ac:dyDescent="0.25">
      <c r="K339"/>
      <c r="L339"/>
      <c r="M339"/>
      <c r="N339"/>
      <c r="O339"/>
    </row>
    <row r="340" spans="11:15" x14ac:dyDescent="0.25">
      <c r="K340"/>
      <c r="L340"/>
      <c r="M340"/>
      <c r="N340"/>
      <c r="O340"/>
    </row>
    <row r="341" spans="11:15" x14ac:dyDescent="0.25">
      <c r="K341"/>
      <c r="L341"/>
      <c r="M341"/>
      <c r="N341"/>
      <c r="O341"/>
    </row>
    <row r="342" spans="11:15" x14ac:dyDescent="0.25">
      <c r="K342"/>
      <c r="L342"/>
      <c r="M342"/>
      <c r="N342"/>
      <c r="O342"/>
    </row>
    <row r="343" spans="11:15" x14ac:dyDescent="0.25">
      <c r="K343"/>
      <c r="L343"/>
      <c r="M343"/>
      <c r="N343"/>
      <c r="O343"/>
    </row>
    <row r="344" spans="11:15" x14ac:dyDescent="0.25">
      <c r="K344"/>
      <c r="L344"/>
      <c r="M344"/>
      <c r="N344"/>
      <c r="O344"/>
    </row>
    <row r="345" spans="11:15" x14ac:dyDescent="0.25">
      <c r="K345"/>
      <c r="L345"/>
      <c r="M345"/>
      <c r="N345"/>
      <c r="O345"/>
    </row>
    <row r="346" spans="11:15" x14ac:dyDescent="0.25">
      <c r="K346"/>
      <c r="L346"/>
      <c r="M346"/>
      <c r="N346"/>
      <c r="O346"/>
    </row>
    <row r="347" spans="11:15" x14ac:dyDescent="0.25">
      <c r="K347"/>
      <c r="L347"/>
      <c r="M347"/>
      <c r="N347"/>
      <c r="O347"/>
    </row>
    <row r="348" spans="11:15" x14ac:dyDescent="0.25">
      <c r="K348"/>
      <c r="L348"/>
      <c r="M348"/>
      <c r="N348"/>
      <c r="O348"/>
    </row>
    <row r="349" spans="11:15" x14ac:dyDescent="0.25">
      <c r="K349"/>
      <c r="L349"/>
      <c r="M349"/>
      <c r="N349"/>
      <c r="O349"/>
    </row>
    <row r="350" spans="11:15" x14ac:dyDescent="0.25">
      <c r="K350"/>
      <c r="L350"/>
      <c r="M350"/>
      <c r="N350"/>
      <c r="O350"/>
    </row>
    <row r="351" spans="11:15" x14ac:dyDescent="0.25">
      <c r="K351"/>
      <c r="L351"/>
      <c r="M351"/>
      <c r="N351"/>
      <c r="O351"/>
    </row>
    <row r="352" spans="11:15" x14ac:dyDescent="0.25">
      <c r="K352"/>
      <c r="L352"/>
      <c r="M352"/>
      <c r="N352"/>
      <c r="O352"/>
    </row>
    <row r="353" spans="11:15" x14ac:dyDescent="0.25">
      <c r="K353"/>
      <c r="L353"/>
      <c r="M353"/>
      <c r="N353"/>
      <c r="O353"/>
    </row>
    <row r="354" spans="11:15" x14ac:dyDescent="0.25">
      <c r="K354"/>
      <c r="L354"/>
      <c r="M354"/>
      <c r="N354"/>
      <c r="O354"/>
    </row>
    <row r="355" spans="11:15" x14ac:dyDescent="0.25">
      <c r="K355"/>
      <c r="L355"/>
      <c r="M355"/>
      <c r="N355"/>
      <c r="O355"/>
    </row>
    <row r="356" spans="11:15" x14ac:dyDescent="0.25">
      <c r="K356"/>
      <c r="L356"/>
      <c r="M356"/>
      <c r="N356"/>
      <c r="O356"/>
    </row>
    <row r="357" spans="11:15" x14ac:dyDescent="0.25">
      <c r="K357"/>
      <c r="L357"/>
      <c r="M357"/>
      <c r="N357"/>
      <c r="O357"/>
    </row>
    <row r="358" spans="11:15" x14ac:dyDescent="0.25">
      <c r="K358"/>
      <c r="L358"/>
      <c r="M358"/>
      <c r="N358"/>
      <c r="O358"/>
    </row>
    <row r="359" spans="11:15" x14ac:dyDescent="0.25">
      <c r="K359"/>
      <c r="L359"/>
      <c r="M359"/>
      <c r="N359"/>
      <c r="O359"/>
    </row>
    <row r="360" spans="11:15" x14ac:dyDescent="0.25">
      <c r="K360"/>
      <c r="L360"/>
      <c r="M360"/>
      <c r="N360"/>
      <c r="O360"/>
    </row>
    <row r="361" spans="11:15" x14ac:dyDescent="0.25">
      <c r="K361"/>
      <c r="L361"/>
      <c r="M361"/>
      <c r="N361"/>
      <c r="O361"/>
    </row>
    <row r="362" spans="11:15" x14ac:dyDescent="0.25">
      <c r="K362"/>
      <c r="L362"/>
      <c r="M362"/>
      <c r="N362"/>
      <c r="O362"/>
    </row>
    <row r="363" spans="11:15" x14ac:dyDescent="0.25">
      <c r="K363"/>
      <c r="L363"/>
      <c r="M363"/>
      <c r="N363"/>
      <c r="O363"/>
    </row>
    <row r="364" spans="11:15" x14ac:dyDescent="0.25">
      <c r="K364"/>
      <c r="L364"/>
      <c r="M364"/>
      <c r="N364"/>
      <c r="O364"/>
    </row>
    <row r="365" spans="11:15" x14ac:dyDescent="0.25">
      <c r="K365"/>
      <c r="L365"/>
      <c r="M365"/>
      <c r="N365"/>
      <c r="O365"/>
    </row>
    <row r="366" spans="11:15" x14ac:dyDescent="0.25">
      <c r="K366"/>
      <c r="L366"/>
      <c r="M366"/>
      <c r="N366"/>
      <c r="O366"/>
    </row>
    <row r="367" spans="11:15" x14ac:dyDescent="0.25">
      <c r="K367"/>
      <c r="L367"/>
      <c r="M367"/>
      <c r="N367"/>
      <c r="O367"/>
    </row>
    <row r="368" spans="11:15" x14ac:dyDescent="0.25">
      <c r="K368"/>
      <c r="L368"/>
      <c r="M368"/>
      <c r="N368"/>
      <c r="O368"/>
    </row>
    <row r="369" spans="11:15" x14ac:dyDescent="0.25">
      <c r="K369"/>
      <c r="L369"/>
      <c r="M369"/>
      <c r="N369"/>
      <c r="O369"/>
    </row>
    <row r="370" spans="11:15" x14ac:dyDescent="0.25">
      <c r="K370"/>
      <c r="L370"/>
      <c r="M370"/>
      <c r="N370"/>
      <c r="O370"/>
    </row>
    <row r="371" spans="11:15" x14ac:dyDescent="0.25">
      <c r="K371"/>
      <c r="L371"/>
      <c r="M371"/>
      <c r="N371"/>
      <c r="O371"/>
    </row>
    <row r="372" spans="11:15" x14ac:dyDescent="0.25">
      <c r="K372"/>
      <c r="L372"/>
      <c r="M372"/>
      <c r="N372"/>
      <c r="O372"/>
    </row>
    <row r="373" spans="11:15" x14ac:dyDescent="0.25">
      <c r="K373"/>
      <c r="L373"/>
      <c r="M373"/>
      <c r="N373"/>
      <c r="O373"/>
    </row>
    <row r="374" spans="11:15" x14ac:dyDescent="0.25">
      <c r="K374"/>
      <c r="L374"/>
      <c r="M374"/>
      <c r="N374"/>
      <c r="O374"/>
    </row>
    <row r="375" spans="11:15" x14ac:dyDescent="0.25">
      <c r="K375"/>
      <c r="L375"/>
      <c r="M375"/>
      <c r="N375"/>
      <c r="O375"/>
    </row>
    <row r="376" spans="11:15" x14ac:dyDescent="0.25">
      <c r="K376"/>
      <c r="L376"/>
      <c r="M376"/>
      <c r="N376"/>
      <c r="O376"/>
    </row>
    <row r="377" spans="11:15" x14ac:dyDescent="0.25">
      <c r="K377"/>
      <c r="L377"/>
      <c r="M377"/>
      <c r="N377"/>
      <c r="O377"/>
    </row>
    <row r="378" spans="11:15" x14ac:dyDescent="0.25">
      <c r="K378"/>
      <c r="L378"/>
      <c r="M378"/>
      <c r="N378"/>
      <c r="O378"/>
    </row>
    <row r="379" spans="11:15" x14ac:dyDescent="0.25">
      <c r="K379"/>
      <c r="L379"/>
      <c r="M379"/>
      <c r="N379"/>
      <c r="O379"/>
    </row>
    <row r="380" spans="11:15" x14ac:dyDescent="0.25">
      <c r="K380"/>
      <c r="L380"/>
      <c r="M380"/>
      <c r="N380"/>
      <c r="O380"/>
    </row>
    <row r="381" spans="11:15" x14ac:dyDescent="0.25">
      <c r="K381"/>
      <c r="L381"/>
      <c r="M381"/>
      <c r="N381"/>
      <c r="O381"/>
    </row>
    <row r="382" spans="11:15" x14ac:dyDescent="0.25">
      <c r="K382"/>
      <c r="L382"/>
      <c r="M382"/>
      <c r="N382"/>
      <c r="O382"/>
    </row>
    <row r="383" spans="11:15" x14ac:dyDescent="0.25">
      <c r="K383"/>
      <c r="L383"/>
      <c r="M383"/>
      <c r="N383"/>
      <c r="O383"/>
    </row>
    <row r="384" spans="11:15" x14ac:dyDescent="0.25">
      <c r="K384"/>
      <c r="L384"/>
      <c r="M384"/>
      <c r="N384"/>
      <c r="O384"/>
    </row>
    <row r="385" spans="11:15" x14ac:dyDescent="0.25">
      <c r="K385"/>
      <c r="L385"/>
      <c r="M385"/>
      <c r="N385"/>
      <c r="O385"/>
    </row>
    <row r="386" spans="11:15" x14ac:dyDescent="0.25">
      <c r="K386"/>
      <c r="L386"/>
      <c r="M386"/>
      <c r="N386"/>
      <c r="O386"/>
    </row>
    <row r="387" spans="11:15" x14ac:dyDescent="0.25">
      <c r="K387"/>
      <c r="L387"/>
      <c r="M387"/>
      <c r="N387"/>
      <c r="O387"/>
    </row>
    <row r="388" spans="11:15" x14ac:dyDescent="0.25">
      <c r="K388"/>
      <c r="L388"/>
      <c r="M388"/>
      <c r="N388"/>
      <c r="O388"/>
    </row>
    <row r="389" spans="11:15" x14ac:dyDescent="0.25">
      <c r="K389"/>
      <c r="L389"/>
      <c r="M389"/>
      <c r="N389"/>
      <c r="O389"/>
    </row>
    <row r="390" spans="11:15" x14ac:dyDescent="0.25">
      <c r="K390"/>
      <c r="L390"/>
      <c r="M390"/>
      <c r="N390"/>
      <c r="O390"/>
    </row>
    <row r="391" spans="11:15" x14ac:dyDescent="0.25">
      <c r="K391"/>
      <c r="L391"/>
      <c r="M391"/>
      <c r="N391"/>
      <c r="O391"/>
    </row>
    <row r="392" spans="11:15" x14ac:dyDescent="0.25">
      <c r="K392"/>
      <c r="L392"/>
      <c r="M392"/>
      <c r="N392"/>
      <c r="O392"/>
    </row>
    <row r="393" spans="11:15" x14ac:dyDescent="0.25">
      <c r="K393"/>
      <c r="L393"/>
      <c r="M393"/>
      <c r="N393"/>
      <c r="O393"/>
    </row>
    <row r="394" spans="11:15" x14ac:dyDescent="0.25">
      <c r="K394"/>
      <c r="L394"/>
      <c r="M394"/>
      <c r="N394"/>
      <c r="O394"/>
    </row>
    <row r="395" spans="11:15" x14ac:dyDescent="0.25">
      <c r="K395"/>
      <c r="L395"/>
      <c r="M395"/>
      <c r="N395"/>
      <c r="O395"/>
    </row>
    <row r="396" spans="11:15" x14ac:dyDescent="0.25">
      <c r="K396"/>
      <c r="L396"/>
      <c r="M396"/>
      <c r="N396"/>
      <c r="O396"/>
    </row>
    <row r="397" spans="11:15" x14ac:dyDescent="0.25">
      <c r="K397"/>
      <c r="L397"/>
      <c r="M397"/>
      <c r="N397"/>
      <c r="O397"/>
    </row>
    <row r="398" spans="11:15" x14ac:dyDescent="0.25">
      <c r="K398"/>
      <c r="L398"/>
      <c r="M398"/>
      <c r="N398"/>
      <c r="O398"/>
    </row>
    <row r="399" spans="11:15" x14ac:dyDescent="0.25">
      <c r="K399"/>
      <c r="L399"/>
      <c r="M399"/>
      <c r="N399"/>
      <c r="O399"/>
    </row>
    <row r="400" spans="11:15" x14ac:dyDescent="0.25">
      <c r="K400"/>
      <c r="L400"/>
      <c r="M400"/>
      <c r="N400"/>
      <c r="O400"/>
    </row>
    <row r="401" spans="11:15" x14ac:dyDescent="0.25">
      <c r="K401"/>
      <c r="L401"/>
      <c r="M401"/>
      <c r="N401"/>
      <c r="O401"/>
    </row>
    <row r="402" spans="11:15" x14ac:dyDescent="0.25">
      <c r="K402"/>
      <c r="L402"/>
      <c r="M402"/>
      <c r="N402"/>
      <c r="O402"/>
    </row>
    <row r="403" spans="11:15" x14ac:dyDescent="0.25">
      <c r="K403"/>
      <c r="L403"/>
      <c r="M403"/>
      <c r="N403"/>
      <c r="O403"/>
    </row>
    <row r="404" spans="11:15" x14ac:dyDescent="0.25">
      <c r="K404"/>
      <c r="L404"/>
      <c r="M404"/>
      <c r="N404"/>
      <c r="O404"/>
    </row>
    <row r="405" spans="11:15" x14ac:dyDescent="0.25">
      <c r="K405"/>
      <c r="L405"/>
      <c r="M405"/>
      <c r="N405"/>
      <c r="O405"/>
    </row>
    <row r="406" spans="11:15" x14ac:dyDescent="0.25">
      <c r="K406"/>
      <c r="L406"/>
      <c r="M406"/>
      <c r="N406"/>
      <c r="O406"/>
    </row>
    <row r="407" spans="11:15" x14ac:dyDescent="0.25">
      <c r="K407"/>
      <c r="L407"/>
      <c r="M407"/>
      <c r="N407"/>
      <c r="O407"/>
    </row>
    <row r="408" spans="11:15" x14ac:dyDescent="0.25">
      <c r="K408"/>
      <c r="L408"/>
      <c r="M408"/>
      <c r="N408"/>
      <c r="O408"/>
    </row>
    <row r="409" spans="11:15" x14ac:dyDescent="0.25">
      <c r="K409"/>
      <c r="L409"/>
      <c r="M409"/>
      <c r="N409"/>
      <c r="O409"/>
    </row>
    <row r="410" spans="11:15" x14ac:dyDescent="0.25">
      <c r="K410"/>
      <c r="L410"/>
      <c r="M410"/>
      <c r="N410"/>
      <c r="O410"/>
    </row>
    <row r="411" spans="11:15" x14ac:dyDescent="0.25">
      <c r="K411"/>
      <c r="L411"/>
      <c r="M411"/>
      <c r="N411"/>
      <c r="O411"/>
    </row>
    <row r="412" spans="11:15" x14ac:dyDescent="0.25">
      <c r="K412"/>
      <c r="L412"/>
      <c r="M412"/>
      <c r="N412"/>
      <c r="O412"/>
    </row>
    <row r="413" spans="11:15" x14ac:dyDescent="0.25">
      <c r="K413"/>
      <c r="L413"/>
      <c r="M413"/>
      <c r="N413"/>
      <c r="O413"/>
    </row>
    <row r="414" spans="11:15" x14ac:dyDescent="0.25">
      <c r="K414"/>
      <c r="L414"/>
      <c r="M414"/>
      <c r="N414"/>
      <c r="O414"/>
    </row>
    <row r="415" spans="11:15" x14ac:dyDescent="0.25">
      <c r="K415"/>
      <c r="L415"/>
      <c r="M415"/>
      <c r="N415"/>
      <c r="O415"/>
    </row>
    <row r="416" spans="11:15" x14ac:dyDescent="0.25">
      <c r="K416"/>
      <c r="L416"/>
      <c r="M416"/>
      <c r="N416"/>
      <c r="O416"/>
    </row>
    <row r="417" spans="11:15" x14ac:dyDescent="0.25">
      <c r="K417"/>
      <c r="L417"/>
      <c r="M417"/>
      <c r="N417"/>
      <c r="O417"/>
    </row>
    <row r="418" spans="11:15" x14ac:dyDescent="0.25">
      <c r="K418"/>
      <c r="L418"/>
      <c r="M418"/>
      <c r="N418"/>
      <c r="O418"/>
    </row>
    <row r="419" spans="11:15" x14ac:dyDescent="0.25">
      <c r="K419"/>
      <c r="L419"/>
      <c r="M419"/>
      <c r="N419"/>
      <c r="O419"/>
    </row>
    <row r="420" spans="11:15" x14ac:dyDescent="0.25">
      <c r="K420"/>
      <c r="L420"/>
      <c r="M420"/>
      <c r="N420"/>
      <c r="O420"/>
    </row>
    <row r="421" spans="11:15" x14ac:dyDescent="0.25">
      <c r="K421"/>
      <c r="L421"/>
      <c r="M421"/>
      <c r="N421"/>
      <c r="O421"/>
    </row>
    <row r="422" spans="11:15" x14ac:dyDescent="0.25">
      <c r="K422"/>
      <c r="L422"/>
      <c r="M422"/>
      <c r="N422"/>
      <c r="O422"/>
    </row>
    <row r="423" spans="11:15" x14ac:dyDescent="0.25">
      <c r="K423"/>
      <c r="L423"/>
      <c r="M423"/>
      <c r="N423"/>
      <c r="O423"/>
    </row>
    <row r="424" spans="11:15" x14ac:dyDescent="0.25">
      <c r="K424"/>
      <c r="L424"/>
      <c r="M424"/>
      <c r="N424"/>
      <c r="O424"/>
    </row>
    <row r="425" spans="11:15" x14ac:dyDescent="0.25">
      <c r="K425"/>
      <c r="L425"/>
      <c r="M425"/>
      <c r="N425"/>
      <c r="O425"/>
    </row>
    <row r="426" spans="11:15" x14ac:dyDescent="0.25">
      <c r="K426"/>
      <c r="L426"/>
      <c r="M426"/>
      <c r="N426"/>
      <c r="O426"/>
    </row>
    <row r="427" spans="11:15" x14ac:dyDescent="0.25">
      <c r="K427"/>
      <c r="L427"/>
      <c r="M427"/>
      <c r="N427"/>
      <c r="O427"/>
    </row>
    <row r="428" spans="11:15" x14ac:dyDescent="0.25">
      <c r="K428"/>
      <c r="L428"/>
      <c r="M428"/>
      <c r="N428"/>
      <c r="O428"/>
    </row>
    <row r="429" spans="11:15" x14ac:dyDescent="0.25">
      <c r="K429"/>
      <c r="L429"/>
      <c r="M429"/>
      <c r="N429"/>
      <c r="O429"/>
    </row>
    <row r="430" spans="11:15" x14ac:dyDescent="0.25">
      <c r="K430"/>
      <c r="L430"/>
      <c r="M430"/>
      <c r="N430"/>
      <c r="O430"/>
    </row>
    <row r="431" spans="11:15" x14ac:dyDescent="0.25">
      <c r="K431"/>
      <c r="L431"/>
      <c r="M431"/>
      <c r="N431"/>
      <c r="O431"/>
    </row>
    <row r="432" spans="11:15" x14ac:dyDescent="0.25">
      <c r="K432"/>
      <c r="L432"/>
      <c r="M432"/>
      <c r="N432"/>
      <c r="O432"/>
    </row>
    <row r="433" spans="11:15" x14ac:dyDescent="0.25">
      <c r="K433"/>
      <c r="L433"/>
      <c r="M433"/>
      <c r="N433"/>
      <c r="O433"/>
    </row>
    <row r="434" spans="11:15" x14ac:dyDescent="0.25">
      <c r="K434"/>
      <c r="L434"/>
      <c r="M434"/>
      <c r="N434"/>
      <c r="O434"/>
    </row>
    <row r="435" spans="11:15" x14ac:dyDescent="0.25">
      <c r="K435"/>
      <c r="L435"/>
      <c r="M435"/>
      <c r="N435"/>
      <c r="O435"/>
    </row>
    <row r="436" spans="11:15" x14ac:dyDescent="0.25">
      <c r="K436"/>
      <c r="L436"/>
      <c r="M436"/>
      <c r="N436"/>
      <c r="O436"/>
    </row>
    <row r="437" spans="11:15" x14ac:dyDescent="0.25">
      <c r="K437"/>
      <c r="L437"/>
      <c r="M437"/>
      <c r="N437"/>
      <c r="O437"/>
    </row>
    <row r="438" spans="11:15" x14ac:dyDescent="0.25">
      <c r="K438"/>
      <c r="L438"/>
      <c r="M438"/>
      <c r="N438"/>
      <c r="O438"/>
    </row>
    <row r="439" spans="11:15" x14ac:dyDescent="0.25">
      <c r="K439"/>
      <c r="L439"/>
      <c r="M439"/>
      <c r="N439"/>
      <c r="O439"/>
    </row>
    <row r="440" spans="11:15" x14ac:dyDescent="0.25">
      <c r="K440"/>
      <c r="L440"/>
      <c r="M440"/>
      <c r="N440"/>
      <c r="O440"/>
    </row>
    <row r="441" spans="11:15" x14ac:dyDescent="0.25">
      <c r="K441"/>
      <c r="L441"/>
      <c r="M441"/>
      <c r="N441"/>
      <c r="O441"/>
    </row>
    <row r="442" spans="11:15" x14ac:dyDescent="0.25">
      <c r="K442"/>
      <c r="L442"/>
      <c r="M442"/>
      <c r="N442"/>
      <c r="O442"/>
    </row>
    <row r="443" spans="11:15" x14ac:dyDescent="0.25">
      <c r="K443"/>
      <c r="L443"/>
      <c r="M443"/>
      <c r="N443"/>
      <c r="O443"/>
    </row>
    <row r="444" spans="11:15" x14ac:dyDescent="0.25">
      <c r="K444"/>
      <c r="L444"/>
      <c r="M444"/>
      <c r="N444"/>
      <c r="O444"/>
    </row>
    <row r="445" spans="11:15" x14ac:dyDescent="0.25">
      <c r="K445"/>
      <c r="L445"/>
      <c r="M445"/>
      <c r="N445"/>
      <c r="O445"/>
    </row>
    <row r="446" spans="11:15" x14ac:dyDescent="0.25">
      <c r="K446"/>
      <c r="L446"/>
      <c r="M446"/>
      <c r="N446"/>
      <c r="O446"/>
    </row>
    <row r="447" spans="11:15" x14ac:dyDescent="0.25">
      <c r="K447"/>
      <c r="L447"/>
      <c r="M447"/>
      <c r="N447"/>
      <c r="O447"/>
    </row>
    <row r="448" spans="11:15" x14ac:dyDescent="0.25">
      <c r="K448"/>
      <c r="L448"/>
      <c r="M448"/>
      <c r="N448"/>
      <c r="O448"/>
    </row>
    <row r="449" spans="11:15" x14ac:dyDescent="0.25">
      <c r="K449"/>
      <c r="L449"/>
      <c r="M449"/>
      <c r="N449"/>
      <c r="O449"/>
    </row>
    <row r="450" spans="11:15" x14ac:dyDescent="0.25">
      <c r="K450"/>
      <c r="L450"/>
      <c r="M450"/>
      <c r="N450"/>
      <c r="O450"/>
    </row>
    <row r="451" spans="11:15" x14ac:dyDescent="0.25">
      <c r="K451"/>
      <c r="L451"/>
      <c r="M451"/>
      <c r="N451"/>
      <c r="O451"/>
    </row>
    <row r="452" spans="11:15" x14ac:dyDescent="0.25">
      <c r="K452"/>
      <c r="L452"/>
      <c r="M452"/>
      <c r="N452"/>
      <c r="O452"/>
    </row>
    <row r="453" spans="11:15" x14ac:dyDescent="0.25">
      <c r="K453"/>
      <c r="L453"/>
      <c r="M453"/>
      <c r="N453"/>
      <c r="O453"/>
    </row>
    <row r="454" spans="11:15" x14ac:dyDescent="0.25">
      <c r="K454"/>
      <c r="L454"/>
      <c r="M454"/>
      <c r="N454"/>
      <c r="O454"/>
    </row>
    <row r="455" spans="11:15" x14ac:dyDescent="0.25">
      <c r="K455"/>
      <c r="L455"/>
      <c r="M455"/>
      <c r="N455"/>
      <c r="O455"/>
    </row>
    <row r="456" spans="11:15" x14ac:dyDescent="0.25">
      <c r="K456"/>
      <c r="L456"/>
      <c r="M456"/>
      <c r="N456"/>
      <c r="O456"/>
    </row>
    <row r="457" spans="11:15" x14ac:dyDescent="0.25">
      <c r="K457"/>
      <c r="L457"/>
      <c r="M457"/>
      <c r="N457"/>
      <c r="O457"/>
    </row>
    <row r="458" spans="11:15" x14ac:dyDescent="0.25">
      <c r="K458"/>
      <c r="L458"/>
      <c r="M458"/>
      <c r="N458"/>
      <c r="O458"/>
    </row>
    <row r="459" spans="11:15" x14ac:dyDescent="0.25">
      <c r="K459"/>
      <c r="L459"/>
      <c r="M459"/>
      <c r="N459"/>
      <c r="O459"/>
    </row>
    <row r="460" spans="11:15" x14ac:dyDescent="0.25">
      <c r="K460"/>
      <c r="L460"/>
      <c r="M460"/>
      <c r="N460"/>
      <c r="O460"/>
    </row>
    <row r="461" spans="11:15" x14ac:dyDescent="0.25">
      <c r="K461"/>
      <c r="L461"/>
      <c r="M461"/>
      <c r="N461"/>
      <c r="O461"/>
    </row>
    <row r="462" spans="11:15" x14ac:dyDescent="0.25">
      <c r="K462"/>
      <c r="L462"/>
      <c r="M462"/>
      <c r="N462"/>
      <c r="O462"/>
    </row>
    <row r="463" spans="11:15" x14ac:dyDescent="0.25">
      <c r="K463"/>
      <c r="L463"/>
      <c r="M463"/>
      <c r="N463"/>
      <c r="O463"/>
    </row>
    <row r="464" spans="11:15" x14ac:dyDescent="0.25">
      <c r="K464"/>
      <c r="L464"/>
      <c r="M464"/>
      <c r="N464"/>
      <c r="O464"/>
    </row>
    <row r="465" spans="11:15" x14ac:dyDescent="0.25">
      <c r="K465"/>
      <c r="L465"/>
      <c r="M465"/>
      <c r="N465"/>
      <c r="O465"/>
    </row>
    <row r="466" spans="11:15" x14ac:dyDescent="0.25">
      <c r="K466"/>
      <c r="L466"/>
      <c r="M466"/>
      <c r="N466"/>
      <c r="O466"/>
    </row>
    <row r="467" spans="11:15" x14ac:dyDescent="0.25">
      <c r="K467"/>
      <c r="L467"/>
      <c r="M467"/>
      <c r="N467"/>
      <c r="O467"/>
    </row>
    <row r="468" spans="11:15" x14ac:dyDescent="0.25">
      <c r="K468"/>
      <c r="L468"/>
      <c r="M468"/>
      <c r="N468"/>
      <c r="O468"/>
    </row>
    <row r="469" spans="11:15" x14ac:dyDescent="0.25">
      <c r="K469"/>
      <c r="L469"/>
      <c r="M469"/>
      <c r="N469"/>
      <c r="O469"/>
    </row>
    <row r="470" spans="11:15" x14ac:dyDescent="0.25">
      <c r="K470"/>
      <c r="L470"/>
      <c r="M470"/>
      <c r="N470"/>
      <c r="O470"/>
    </row>
    <row r="471" spans="11:15" x14ac:dyDescent="0.25">
      <c r="K471"/>
      <c r="L471"/>
      <c r="M471"/>
      <c r="N471"/>
      <c r="O471"/>
    </row>
    <row r="472" spans="11:15" x14ac:dyDescent="0.25">
      <c r="K472"/>
      <c r="L472"/>
      <c r="M472"/>
      <c r="N472"/>
      <c r="O472"/>
    </row>
    <row r="473" spans="11:15" x14ac:dyDescent="0.25">
      <c r="K473"/>
      <c r="L473"/>
      <c r="M473"/>
      <c r="N473"/>
      <c r="O473"/>
    </row>
    <row r="474" spans="11:15" x14ac:dyDescent="0.25">
      <c r="K474"/>
      <c r="L474"/>
      <c r="M474"/>
      <c r="N474"/>
      <c r="O474"/>
    </row>
    <row r="475" spans="11:15" x14ac:dyDescent="0.25">
      <c r="K475"/>
      <c r="L475"/>
      <c r="M475"/>
      <c r="N475"/>
      <c r="O475"/>
    </row>
    <row r="476" spans="11:15" x14ac:dyDescent="0.25">
      <c r="K476"/>
      <c r="L476"/>
      <c r="M476"/>
      <c r="N476"/>
      <c r="O476"/>
    </row>
    <row r="477" spans="11:15" x14ac:dyDescent="0.25">
      <c r="K477"/>
      <c r="L477"/>
      <c r="M477"/>
      <c r="N477"/>
      <c r="O477"/>
    </row>
    <row r="478" spans="11:15" x14ac:dyDescent="0.25">
      <c r="K478"/>
      <c r="L478"/>
      <c r="M478"/>
      <c r="N478"/>
      <c r="O478"/>
    </row>
    <row r="479" spans="11:15" x14ac:dyDescent="0.25">
      <c r="K479"/>
      <c r="L479"/>
      <c r="M479"/>
      <c r="N479"/>
      <c r="O479"/>
    </row>
    <row r="480" spans="11:15" x14ac:dyDescent="0.25">
      <c r="K480"/>
      <c r="L480"/>
      <c r="M480"/>
      <c r="N480"/>
      <c r="O480"/>
    </row>
    <row r="481" spans="11:15" x14ac:dyDescent="0.25">
      <c r="K481"/>
      <c r="L481"/>
      <c r="M481"/>
      <c r="N481"/>
      <c r="O481"/>
    </row>
    <row r="482" spans="11:15" x14ac:dyDescent="0.25">
      <c r="K482"/>
      <c r="L482"/>
      <c r="M482"/>
      <c r="N482"/>
      <c r="O482"/>
    </row>
    <row r="483" spans="11:15" x14ac:dyDescent="0.25">
      <c r="K483"/>
      <c r="L483"/>
      <c r="M483"/>
      <c r="N483"/>
      <c r="O483"/>
    </row>
    <row r="484" spans="11:15" x14ac:dyDescent="0.25">
      <c r="K484"/>
      <c r="L484"/>
      <c r="M484"/>
      <c r="N484"/>
      <c r="O484"/>
    </row>
    <row r="485" spans="11:15" x14ac:dyDescent="0.25">
      <c r="K485"/>
      <c r="L485"/>
      <c r="M485"/>
      <c r="N485"/>
      <c r="O485"/>
    </row>
    <row r="486" spans="11:15" x14ac:dyDescent="0.25">
      <c r="K486"/>
      <c r="L486"/>
      <c r="M486"/>
      <c r="N486"/>
      <c r="O486"/>
    </row>
    <row r="487" spans="11:15" x14ac:dyDescent="0.25">
      <c r="K487"/>
      <c r="L487"/>
      <c r="M487"/>
      <c r="N487"/>
      <c r="O487"/>
    </row>
    <row r="488" spans="11:15" x14ac:dyDescent="0.25">
      <c r="K488"/>
      <c r="L488"/>
      <c r="M488"/>
      <c r="N488"/>
      <c r="O488"/>
    </row>
    <row r="489" spans="11:15" x14ac:dyDescent="0.25">
      <c r="K489"/>
      <c r="L489"/>
      <c r="M489"/>
      <c r="N489"/>
      <c r="O489"/>
    </row>
    <row r="490" spans="11:15" x14ac:dyDescent="0.25">
      <c r="K490"/>
      <c r="L490"/>
      <c r="M490"/>
      <c r="N490"/>
      <c r="O490"/>
    </row>
    <row r="491" spans="11:15" x14ac:dyDescent="0.25">
      <c r="K491"/>
      <c r="L491"/>
      <c r="M491"/>
      <c r="N491"/>
      <c r="O491"/>
    </row>
    <row r="492" spans="11:15" x14ac:dyDescent="0.25">
      <c r="K492"/>
      <c r="L492"/>
      <c r="M492"/>
      <c r="N492"/>
      <c r="O492"/>
    </row>
    <row r="493" spans="11:15" x14ac:dyDescent="0.25">
      <c r="K493"/>
      <c r="L493"/>
      <c r="M493"/>
      <c r="N493"/>
      <c r="O493"/>
    </row>
    <row r="494" spans="11:15" x14ac:dyDescent="0.25">
      <c r="K494"/>
      <c r="L494"/>
      <c r="M494"/>
      <c r="N494"/>
      <c r="O494"/>
    </row>
    <row r="495" spans="11:15" x14ac:dyDescent="0.25">
      <c r="K495"/>
      <c r="L495"/>
      <c r="M495"/>
      <c r="N495"/>
      <c r="O495"/>
    </row>
    <row r="496" spans="11:15" x14ac:dyDescent="0.25">
      <c r="K496"/>
      <c r="L496"/>
      <c r="M496"/>
      <c r="N496"/>
      <c r="O496"/>
    </row>
    <row r="497" spans="11:15" x14ac:dyDescent="0.25">
      <c r="K497"/>
      <c r="L497"/>
      <c r="M497"/>
      <c r="N497"/>
      <c r="O497"/>
    </row>
    <row r="498" spans="11:15" x14ac:dyDescent="0.25">
      <c r="K498"/>
      <c r="L498"/>
      <c r="M498"/>
      <c r="N498"/>
      <c r="O498"/>
    </row>
    <row r="499" spans="11:15" x14ac:dyDescent="0.25">
      <c r="K499"/>
      <c r="L499"/>
      <c r="M499"/>
      <c r="N499"/>
      <c r="O499"/>
    </row>
    <row r="500" spans="11:15" x14ac:dyDescent="0.25">
      <c r="K500"/>
      <c r="L500"/>
      <c r="M500"/>
      <c r="N500"/>
      <c r="O500"/>
    </row>
    <row r="501" spans="11:15" x14ac:dyDescent="0.25">
      <c r="K501"/>
      <c r="L501"/>
      <c r="M501"/>
      <c r="N501"/>
      <c r="O501"/>
    </row>
    <row r="502" spans="11:15" x14ac:dyDescent="0.25">
      <c r="K502"/>
      <c r="L502"/>
      <c r="M502"/>
      <c r="N502"/>
      <c r="O502"/>
    </row>
    <row r="503" spans="11:15" x14ac:dyDescent="0.25">
      <c r="K503"/>
      <c r="L503"/>
      <c r="M503"/>
      <c r="N503"/>
      <c r="O503"/>
    </row>
    <row r="504" spans="11:15" x14ac:dyDescent="0.25">
      <c r="K504"/>
      <c r="L504"/>
      <c r="M504"/>
      <c r="N504"/>
      <c r="O504"/>
    </row>
    <row r="505" spans="11:15" x14ac:dyDescent="0.25">
      <c r="K505"/>
      <c r="L505"/>
      <c r="M505"/>
      <c r="N505"/>
      <c r="O505"/>
    </row>
    <row r="506" spans="11:15" x14ac:dyDescent="0.25">
      <c r="K506"/>
      <c r="L506"/>
      <c r="M506"/>
      <c r="N506"/>
      <c r="O506"/>
    </row>
    <row r="507" spans="11:15" x14ac:dyDescent="0.25">
      <c r="K507"/>
      <c r="L507"/>
      <c r="M507"/>
      <c r="N507"/>
      <c r="O507"/>
    </row>
    <row r="508" spans="11:15" x14ac:dyDescent="0.25">
      <c r="K508"/>
      <c r="L508"/>
      <c r="M508"/>
      <c r="N508"/>
      <c r="O508"/>
    </row>
    <row r="509" spans="11:15" x14ac:dyDescent="0.25">
      <c r="K509"/>
      <c r="L509"/>
      <c r="M509"/>
      <c r="N509"/>
      <c r="O509"/>
    </row>
    <row r="510" spans="11:15" x14ac:dyDescent="0.25">
      <c r="K510"/>
      <c r="L510"/>
      <c r="M510"/>
      <c r="N510"/>
      <c r="O510"/>
    </row>
    <row r="511" spans="11:15" x14ac:dyDescent="0.25">
      <c r="K511"/>
      <c r="L511"/>
      <c r="M511"/>
      <c r="N511"/>
      <c r="O511"/>
    </row>
    <row r="512" spans="11:15" x14ac:dyDescent="0.25">
      <c r="K512"/>
      <c r="L512"/>
      <c r="M512"/>
      <c r="N512"/>
      <c r="O512"/>
    </row>
    <row r="513" spans="11:15" x14ac:dyDescent="0.25">
      <c r="K513"/>
      <c r="L513"/>
      <c r="M513"/>
      <c r="N513"/>
      <c r="O513"/>
    </row>
    <row r="514" spans="11:15" x14ac:dyDescent="0.25">
      <c r="K514"/>
      <c r="L514"/>
      <c r="M514"/>
      <c r="N514"/>
      <c r="O514"/>
    </row>
    <row r="515" spans="11:15" x14ac:dyDescent="0.25">
      <c r="K515"/>
      <c r="L515"/>
      <c r="M515"/>
      <c r="N515"/>
      <c r="O515"/>
    </row>
    <row r="516" spans="11:15" x14ac:dyDescent="0.25">
      <c r="K516"/>
      <c r="L516"/>
      <c r="M516"/>
      <c r="N516"/>
      <c r="O516"/>
    </row>
    <row r="517" spans="11:15" x14ac:dyDescent="0.25">
      <c r="K517"/>
      <c r="L517"/>
      <c r="M517"/>
      <c r="N517"/>
      <c r="O517"/>
    </row>
    <row r="518" spans="11:15" x14ac:dyDescent="0.25">
      <c r="K518"/>
      <c r="L518"/>
      <c r="M518"/>
      <c r="N518"/>
      <c r="O518"/>
    </row>
    <row r="519" spans="11:15" x14ac:dyDescent="0.25">
      <c r="K519"/>
      <c r="L519"/>
      <c r="M519"/>
      <c r="N519"/>
      <c r="O519"/>
    </row>
    <row r="520" spans="11:15" x14ac:dyDescent="0.25">
      <c r="K520"/>
      <c r="L520"/>
      <c r="M520"/>
      <c r="N520"/>
      <c r="O520"/>
    </row>
    <row r="521" spans="11:15" x14ac:dyDescent="0.25">
      <c r="K521"/>
      <c r="L521"/>
      <c r="M521"/>
      <c r="N521"/>
      <c r="O521"/>
    </row>
    <row r="522" spans="11:15" x14ac:dyDescent="0.25">
      <c r="K522"/>
      <c r="L522"/>
      <c r="M522"/>
      <c r="N522"/>
      <c r="O522"/>
    </row>
    <row r="523" spans="11:15" x14ac:dyDescent="0.25">
      <c r="K523"/>
      <c r="L523"/>
      <c r="M523"/>
      <c r="N523"/>
      <c r="O523"/>
    </row>
    <row r="524" spans="11:15" x14ac:dyDescent="0.25">
      <c r="K524"/>
      <c r="L524"/>
      <c r="M524"/>
      <c r="N524"/>
      <c r="O524"/>
    </row>
    <row r="525" spans="11:15" x14ac:dyDescent="0.25">
      <c r="K525"/>
      <c r="L525"/>
      <c r="M525"/>
      <c r="N525"/>
      <c r="O525"/>
    </row>
    <row r="526" spans="11:15" x14ac:dyDescent="0.25">
      <c r="K526"/>
      <c r="L526"/>
      <c r="M526"/>
      <c r="N526"/>
      <c r="O526"/>
    </row>
    <row r="527" spans="11:15" x14ac:dyDescent="0.25">
      <c r="K527"/>
      <c r="L527"/>
      <c r="M527"/>
      <c r="N527"/>
      <c r="O527"/>
    </row>
    <row r="528" spans="11:15" x14ac:dyDescent="0.25">
      <c r="K528"/>
      <c r="L528"/>
      <c r="M528"/>
      <c r="N528"/>
      <c r="O528"/>
    </row>
    <row r="529" spans="11:15" x14ac:dyDescent="0.25">
      <c r="K529"/>
      <c r="L529"/>
      <c r="M529"/>
      <c r="N529"/>
      <c r="O529"/>
    </row>
    <row r="530" spans="11:15" x14ac:dyDescent="0.25">
      <c r="K530"/>
      <c r="L530"/>
      <c r="M530"/>
      <c r="N530"/>
      <c r="O530"/>
    </row>
    <row r="531" spans="11:15" x14ac:dyDescent="0.25">
      <c r="K531"/>
      <c r="L531"/>
      <c r="M531"/>
      <c r="N531"/>
      <c r="O531"/>
    </row>
    <row r="532" spans="11:15" x14ac:dyDescent="0.25">
      <c r="K532"/>
      <c r="L532"/>
      <c r="M532"/>
      <c r="N532"/>
      <c r="O532"/>
    </row>
    <row r="533" spans="11:15" x14ac:dyDescent="0.25">
      <c r="K533"/>
      <c r="L533"/>
      <c r="M533"/>
      <c r="N533"/>
      <c r="O533"/>
    </row>
    <row r="534" spans="11:15" x14ac:dyDescent="0.25">
      <c r="K534"/>
      <c r="L534"/>
      <c r="M534"/>
      <c r="N534"/>
      <c r="O534"/>
    </row>
    <row r="535" spans="11:15" x14ac:dyDescent="0.25">
      <c r="K535"/>
      <c r="L535"/>
      <c r="M535"/>
      <c r="N535"/>
      <c r="O535"/>
    </row>
    <row r="536" spans="11:15" x14ac:dyDescent="0.25">
      <c r="K536"/>
      <c r="L536"/>
      <c r="M536"/>
      <c r="N536"/>
      <c r="O536"/>
    </row>
    <row r="537" spans="11:15" x14ac:dyDescent="0.25">
      <c r="K537"/>
      <c r="L537"/>
      <c r="M537"/>
      <c r="N537"/>
      <c r="O537"/>
    </row>
    <row r="538" spans="11:15" x14ac:dyDescent="0.25">
      <c r="K538"/>
      <c r="L538"/>
      <c r="M538"/>
      <c r="N538"/>
      <c r="O538"/>
    </row>
    <row r="539" spans="11:15" x14ac:dyDescent="0.25">
      <c r="K539"/>
      <c r="L539"/>
      <c r="M539"/>
      <c r="N539"/>
      <c r="O539"/>
    </row>
    <row r="540" spans="11:15" x14ac:dyDescent="0.25">
      <c r="K540"/>
      <c r="L540"/>
      <c r="M540"/>
      <c r="N540"/>
      <c r="O540"/>
    </row>
    <row r="541" spans="11:15" x14ac:dyDescent="0.25">
      <c r="K541"/>
      <c r="L541"/>
      <c r="M541"/>
      <c r="N541"/>
      <c r="O541"/>
    </row>
    <row r="542" spans="11:15" x14ac:dyDescent="0.25">
      <c r="K542"/>
      <c r="L542"/>
      <c r="M542"/>
      <c r="N542"/>
      <c r="O542"/>
    </row>
    <row r="543" spans="11:15" x14ac:dyDescent="0.25">
      <c r="K543"/>
      <c r="L543"/>
      <c r="M543"/>
      <c r="N543"/>
      <c r="O543"/>
    </row>
    <row r="544" spans="11:15" x14ac:dyDescent="0.25">
      <c r="K544"/>
      <c r="L544"/>
      <c r="M544"/>
      <c r="N544"/>
      <c r="O544"/>
    </row>
    <row r="545" spans="11:15" x14ac:dyDescent="0.25">
      <c r="K545"/>
      <c r="L545"/>
      <c r="M545"/>
      <c r="N545"/>
      <c r="O545"/>
    </row>
    <row r="546" spans="11:15" x14ac:dyDescent="0.25">
      <c r="K546"/>
      <c r="L546"/>
      <c r="M546"/>
      <c r="N546"/>
      <c r="O546"/>
    </row>
    <row r="547" spans="11:15" x14ac:dyDescent="0.25">
      <c r="K547"/>
      <c r="L547"/>
      <c r="M547"/>
      <c r="N547"/>
      <c r="O547"/>
    </row>
    <row r="548" spans="11:15" x14ac:dyDescent="0.25">
      <c r="K548"/>
      <c r="L548"/>
      <c r="M548"/>
      <c r="N548"/>
      <c r="O548"/>
    </row>
    <row r="549" spans="11:15" x14ac:dyDescent="0.25">
      <c r="K549"/>
      <c r="L549"/>
      <c r="M549"/>
      <c r="N549"/>
      <c r="O549"/>
    </row>
    <row r="550" spans="11:15" x14ac:dyDescent="0.25">
      <c r="K550"/>
      <c r="L550"/>
      <c r="M550"/>
      <c r="N550"/>
      <c r="O550"/>
    </row>
    <row r="551" spans="11:15" x14ac:dyDescent="0.25">
      <c r="K551"/>
      <c r="L551"/>
      <c r="M551"/>
      <c r="N551"/>
      <c r="O551"/>
    </row>
    <row r="552" spans="11:15" x14ac:dyDescent="0.25">
      <c r="K552"/>
      <c r="L552"/>
      <c r="M552"/>
      <c r="N552"/>
      <c r="O552"/>
    </row>
    <row r="553" spans="11:15" x14ac:dyDescent="0.25">
      <c r="K553"/>
      <c r="L553"/>
      <c r="M553"/>
      <c r="N553"/>
      <c r="O553"/>
    </row>
    <row r="554" spans="11:15" x14ac:dyDescent="0.25">
      <c r="K554"/>
      <c r="L554"/>
      <c r="M554"/>
      <c r="N554"/>
      <c r="O554"/>
    </row>
    <row r="555" spans="11:15" x14ac:dyDescent="0.25">
      <c r="K555"/>
      <c r="L555"/>
      <c r="M555"/>
      <c r="N555"/>
      <c r="O555"/>
    </row>
    <row r="556" spans="11:15" x14ac:dyDescent="0.25">
      <c r="K556"/>
      <c r="L556"/>
      <c r="M556"/>
      <c r="N556"/>
      <c r="O556"/>
    </row>
    <row r="557" spans="11:15" x14ac:dyDescent="0.25">
      <c r="K557"/>
      <c r="L557"/>
      <c r="M557"/>
      <c r="N557"/>
      <c r="O557"/>
    </row>
    <row r="558" spans="11:15" x14ac:dyDescent="0.25">
      <c r="K558"/>
      <c r="L558"/>
      <c r="M558"/>
      <c r="N558"/>
      <c r="O558"/>
    </row>
    <row r="559" spans="11:15" x14ac:dyDescent="0.25">
      <c r="K559"/>
      <c r="L559"/>
      <c r="M559"/>
      <c r="N559"/>
      <c r="O559"/>
    </row>
    <row r="560" spans="11:15" x14ac:dyDescent="0.25">
      <c r="K560"/>
      <c r="L560"/>
      <c r="M560"/>
      <c r="N560"/>
      <c r="O560"/>
    </row>
    <row r="561" spans="11:15" x14ac:dyDescent="0.25">
      <c r="K561"/>
      <c r="L561"/>
      <c r="M561"/>
      <c r="N561"/>
      <c r="O561"/>
    </row>
    <row r="562" spans="11:15" x14ac:dyDescent="0.25">
      <c r="K562"/>
      <c r="L562"/>
      <c r="M562"/>
      <c r="N562"/>
      <c r="O562"/>
    </row>
    <row r="563" spans="11:15" x14ac:dyDescent="0.25">
      <c r="K563"/>
      <c r="L563"/>
      <c r="M563"/>
      <c r="N563"/>
      <c r="O563"/>
    </row>
    <row r="564" spans="11:15" x14ac:dyDescent="0.25">
      <c r="K564"/>
      <c r="L564"/>
      <c r="M564"/>
      <c r="N564"/>
      <c r="O564"/>
    </row>
    <row r="565" spans="11:15" x14ac:dyDescent="0.25">
      <c r="K565"/>
      <c r="L565"/>
      <c r="M565"/>
      <c r="N565"/>
      <c r="O565"/>
    </row>
    <row r="566" spans="11:15" x14ac:dyDescent="0.25">
      <c r="K566"/>
      <c r="L566"/>
      <c r="M566"/>
      <c r="N566"/>
      <c r="O566"/>
    </row>
    <row r="567" spans="11:15" x14ac:dyDescent="0.25">
      <c r="K567"/>
      <c r="L567"/>
      <c r="M567"/>
      <c r="N567"/>
      <c r="O567"/>
    </row>
    <row r="568" spans="11:15" x14ac:dyDescent="0.25">
      <c r="K568"/>
      <c r="L568"/>
      <c r="M568"/>
      <c r="N568"/>
      <c r="O568"/>
    </row>
    <row r="569" spans="11:15" x14ac:dyDescent="0.25">
      <c r="K569"/>
      <c r="L569"/>
      <c r="M569"/>
      <c r="N569"/>
      <c r="O569"/>
    </row>
    <row r="570" spans="11:15" x14ac:dyDescent="0.25">
      <c r="K570"/>
      <c r="L570"/>
      <c r="M570"/>
      <c r="N570"/>
      <c r="O570"/>
    </row>
    <row r="571" spans="11:15" x14ac:dyDescent="0.25">
      <c r="K571"/>
      <c r="L571"/>
      <c r="M571"/>
      <c r="N571"/>
      <c r="O571"/>
    </row>
    <row r="572" spans="11:15" x14ac:dyDescent="0.25">
      <c r="K572"/>
      <c r="L572"/>
      <c r="M572"/>
      <c r="N572"/>
      <c r="O572"/>
    </row>
    <row r="573" spans="11:15" x14ac:dyDescent="0.25">
      <c r="K573"/>
      <c r="L573"/>
      <c r="M573"/>
      <c r="N573"/>
      <c r="O573"/>
    </row>
    <row r="574" spans="11:15" x14ac:dyDescent="0.25">
      <c r="K574"/>
      <c r="L574"/>
      <c r="M574"/>
      <c r="N574"/>
      <c r="O574"/>
    </row>
    <row r="575" spans="11:15" x14ac:dyDescent="0.25">
      <c r="K575"/>
      <c r="L575"/>
      <c r="M575"/>
      <c r="N575"/>
      <c r="O575"/>
    </row>
    <row r="576" spans="11:15" x14ac:dyDescent="0.25">
      <c r="K576"/>
      <c r="L576"/>
      <c r="M576"/>
      <c r="N576"/>
      <c r="O576"/>
    </row>
    <row r="577" spans="11:15" x14ac:dyDescent="0.25">
      <c r="K577"/>
      <c r="L577"/>
      <c r="M577"/>
      <c r="N577"/>
      <c r="O577"/>
    </row>
    <row r="578" spans="11:15" x14ac:dyDescent="0.25">
      <c r="K578"/>
      <c r="L578"/>
      <c r="M578"/>
      <c r="N578"/>
      <c r="O578"/>
    </row>
    <row r="579" spans="11:15" x14ac:dyDescent="0.25">
      <c r="K579"/>
      <c r="L579"/>
      <c r="M579"/>
      <c r="N579"/>
      <c r="O579"/>
    </row>
    <row r="580" spans="11:15" x14ac:dyDescent="0.25">
      <c r="K580"/>
      <c r="L580"/>
      <c r="M580"/>
      <c r="N580"/>
      <c r="O580"/>
    </row>
    <row r="581" spans="11:15" x14ac:dyDescent="0.25">
      <c r="K581"/>
      <c r="L581"/>
      <c r="M581"/>
      <c r="N581"/>
      <c r="O581"/>
    </row>
    <row r="582" spans="11:15" x14ac:dyDescent="0.25">
      <c r="K582"/>
      <c r="L582"/>
      <c r="M582"/>
      <c r="N582"/>
      <c r="O582"/>
    </row>
    <row r="583" spans="11:15" x14ac:dyDescent="0.25">
      <c r="K583"/>
      <c r="L583"/>
      <c r="M583"/>
      <c r="N583"/>
      <c r="O583"/>
    </row>
    <row r="584" spans="11:15" x14ac:dyDescent="0.25">
      <c r="K584"/>
      <c r="L584"/>
      <c r="M584"/>
      <c r="N584"/>
      <c r="O584"/>
    </row>
    <row r="585" spans="11:15" x14ac:dyDescent="0.25">
      <c r="K585"/>
      <c r="L585"/>
      <c r="M585"/>
      <c r="N585"/>
      <c r="O585"/>
    </row>
    <row r="586" spans="11:15" x14ac:dyDescent="0.25">
      <c r="K586"/>
      <c r="L586"/>
      <c r="M586"/>
      <c r="N586"/>
      <c r="O586"/>
    </row>
    <row r="587" spans="11:15" x14ac:dyDescent="0.25">
      <c r="K587"/>
      <c r="L587"/>
      <c r="M587"/>
      <c r="N587"/>
      <c r="O587"/>
    </row>
    <row r="588" spans="11:15" x14ac:dyDescent="0.25">
      <c r="K588"/>
      <c r="L588"/>
      <c r="M588"/>
      <c r="N588"/>
      <c r="O588"/>
    </row>
    <row r="589" spans="11:15" x14ac:dyDescent="0.25">
      <c r="K589"/>
      <c r="L589"/>
      <c r="M589"/>
      <c r="N589"/>
      <c r="O589"/>
    </row>
    <row r="590" spans="11:15" x14ac:dyDescent="0.25">
      <c r="K590"/>
      <c r="L590"/>
      <c r="M590"/>
      <c r="N590"/>
      <c r="O590"/>
    </row>
    <row r="591" spans="11:15" x14ac:dyDescent="0.25">
      <c r="K591"/>
      <c r="L591"/>
      <c r="M591"/>
      <c r="N591"/>
      <c r="O591"/>
    </row>
    <row r="592" spans="11:15" x14ac:dyDescent="0.25">
      <c r="K592"/>
      <c r="L592"/>
      <c r="M592"/>
      <c r="N592"/>
      <c r="O592"/>
    </row>
    <row r="593" spans="11:15" x14ac:dyDescent="0.25">
      <c r="K593"/>
      <c r="L593"/>
      <c r="M593"/>
      <c r="N593"/>
      <c r="O593"/>
    </row>
    <row r="594" spans="11:15" x14ac:dyDescent="0.25">
      <c r="K594"/>
      <c r="L594"/>
      <c r="M594"/>
      <c r="N594"/>
      <c r="O594"/>
    </row>
    <row r="595" spans="11:15" x14ac:dyDescent="0.25">
      <c r="K595"/>
      <c r="L595"/>
      <c r="M595"/>
      <c r="N595"/>
      <c r="O595"/>
    </row>
    <row r="596" spans="11:15" x14ac:dyDescent="0.25">
      <c r="K596"/>
      <c r="L596"/>
      <c r="M596"/>
      <c r="N596"/>
      <c r="O596"/>
    </row>
    <row r="597" spans="11:15" x14ac:dyDescent="0.25">
      <c r="K597"/>
      <c r="L597"/>
      <c r="M597"/>
      <c r="N597"/>
      <c r="O597"/>
    </row>
    <row r="598" spans="11:15" x14ac:dyDescent="0.25">
      <c r="K598"/>
      <c r="L598"/>
      <c r="M598"/>
      <c r="N598"/>
      <c r="O598"/>
    </row>
    <row r="599" spans="11:15" x14ac:dyDescent="0.25">
      <c r="K599"/>
      <c r="L599"/>
      <c r="M599"/>
      <c r="N599"/>
      <c r="O599"/>
    </row>
    <row r="600" spans="11:15" x14ac:dyDescent="0.25">
      <c r="K600"/>
      <c r="L600"/>
      <c r="M600"/>
      <c r="N600"/>
      <c r="O600"/>
    </row>
    <row r="601" spans="11:15" x14ac:dyDescent="0.25">
      <c r="K601"/>
      <c r="L601"/>
      <c r="M601"/>
      <c r="N601"/>
      <c r="O601"/>
    </row>
    <row r="602" spans="11:15" x14ac:dyDescent="0.25">
      <c r="K602"/>
      <c r="L602"/>
      <c r="M602"/>
      <c r="N602"/>
      <c r="O602"/>
    </row>
    <row r="603" spans="11:15" x14ac:dyDescent="0.25">
      <c r="K603"/>
      <c r="L603"/>
      <c r="M603"/>
      <c r="N603"/>
      <c r="O603"/>
    </row>
    <row r="604" spans="11:15" x14ac:dyDescent="0.25">
      <c r="K604"/>
      <c r="L604"/>
      <c r="M604"/>
      <c r="N604"/>
      <c r="O604"/>
    </row>
    <row r="605" spans="11:15" x14ac:dyDescent="0.25">
      <c r="K605"/>
      <c r="L605"/>
      <c r="M605"/>
      <c r="N605"/>
      <c r="O605"/>
    </row>
    <row r="606" spans="11:15" x14ac:dyDescent="0.25">
      <c r="K606"/>
      <c r="L606"/>
      <c r="M606"/>
      <c r="N606"/>
      <c r="O606"/>
    </row>
    <row r="607" spans="11:15" x14ac:dyDescent="0.25">
      <c r="K607"/>
      <c r="L607"/>
      <c r="M607"/>
      <c r="N607"/>
      <c r="O607"/>
    </row>
    <row r="608" spans="11:15" x14ac:dyDescent="0.25">
      <c r="K608"/>
      <c r="L608"/>
      <c r="M608"/>
      <c r="N608"/>
      <c r="O608"/>
    </row>
    <row r="609" spans="11:15" x14ac:dyDescent="0.25">
      <c r="K609"/>
      <c r="L609"/>
      <c r="M609"/>
      <c r="N609"/>
      <c r="O609"/>
    </row>
    <row r="610" spans="11:15" x14ac:dyDescent="0.25">
      <c r="K610"/>
      <c r="L610"/>
      <c r="M610"/>
      <c r="N610"/>
      <c r="O610"/>
    </row>
    <row r="611" spans="11:15" x14ac:dyDescent="0.25">
      <c r="K611"/>
      <c r="L611"/>
      <c r="M611"/>
      <c r="N611"/>
      <c r="O611"/>
    </row>
    <row r="612" spans="11:15" x14ac:dyDescent="0.25">
      <c r="K612"/>
      <c r="L612"/>
      <c r="M612"/>
      <c r="N612"/>
      <c r="O612"/>
    </row>
    <row r="613" spans="11:15" x14ac:dyDescent="0.25">
      <c r="K613"/>
      <c r="L613"/>
      <c r="M613"/>
      <c r="N613"/>
      <c r="O613"/>
    </row>
    <row r="614" spans="11:15" x14ac:dyDescent="0.25">
      <c r="K614"/>
      <c r="L614"/>
      <c r="M614"/>
      <c r="N614"/>
      <c r="O614"/>
    </row>
    <row r="615" spans="11:15" x14ac:dyDescent="0.25">
      <c r="K615"/>
      <c r="L615"/>
      <c r="M615"/>
      <c r="N615"/>
      <c r="O615"/>
    </row>
    <row r="616" spans="11:15" x14ac:dyDescent="0.25">
      <c r="K616"/>
      <c r="L616"/>
      <c r="M616"/>
      <c r="N616"/>
      <c r="O616"/>
    </row>
    <row r="617" spans="11:15" x14ac:dyDescent="0.25">
      <c r="K617"/>
      <c r="L617"/>
      <c r="M617"/>
      <c r="N617"/>
      <c r="O617"/>
    </row>
    <row r="618" spans="11:15" x14ac:dyDescent="0.25">
      <c r="K618"/>
      <c r="L618"/>
      <c r="M618"/>
      <c r="N618"/>
      <c r="O618"/>
    </row>
    <row r="619" spans="11:15" x14ac:dyDescent="0.25">
      <c r="K619"/>
      <c r="L619"/>
      <c r="M619"/>
      <c r="N619"/>
      <c r="O619"/>
    </row>
    <row r="620" spans="11:15" x14ac:dyDescent="0.25">
      <c r="K620"/>
      <c r="L620"/>
      <c r="M620"/>
      <c r="N620"/>
      <c r="O620"/>
    </row>
    <row r="621" spans="11:15" x14ac:dyDescent="0.25">
      <c r="K621"/>
      <c r="L621"/>
      <c r="M621"/>
      <c r="N621"/>
      <c r="O621"/>
    </row>
    <row r="622" spans="11:15" x14ac:dyDescent="0.25">
      <c r="K622"/>
      <c r="L622"/>
      <c r="M622"/>
      <c r="N622"/>
      <c r="O622"/>
    </row>
    <row r="623" spans="11:15" x14ac:dyDescent="0.25">
      <c r="K623"/>
      <c r="L623"/>
      <c r="M623"/>
      <c r="N623"/>
      <c r="O623"/>
    </row>
    <row r="624" spans="11:15" x14ac:dyDescent="0.25">
      <c r="K624"/>
      <c r="L624"/>
      <c r="M624"/>
      <c r="N624"/>
      <c r="O624"/>
    </row>
    <row r="625" spans="11:15" x14ac:dyDescent="0.25">
      <c r="K625"/>
      <c r="L625"/>
      <c r="M625"/>
      <c r="N625"/>
      <c r="O625"/>
    </row>
    <row r="626" spans="11:15" x14ac:dyDescent="0.25">
      <c r="K626"/>
      <c r="L626"/>
      <c r="M626"/>
      <c r="N626"/>
      <c r="O626"/>
    </row>
    <row r="627" spans="11:15" x14ac:dyDescent="0.25">
      <c r="K627"/>
      <c r="L627"/>
      <c r="M627"/>
      <c r="N627"/>
      <c r="O627"/>
    </row>
    <row r="628" spans="11:15" x14ac:dyDescent="0.25">
      <c r="K628"/>
      <c r="L628"/>
      <c r="M628"/>
      <c r="N628"/>
      <c r="O628"/>
    </row>
    <row r="629" spans="11:15" x14ac:dyDescent="0.25">
      <c r="K629"/>
      <c r="L629"/>
      <c r="M629"/>
      <c r="N629"/>
      <c r="O629"/>
    </row>
    <row r="630" spans="11:15" x14ac:dyDescent="0.25">
      <c r="K630"/>
      <c r="L630"/>
      <c r="M630"/>
      <c r="N630"/>
      <c r="O630"/>
    </row>
    <row r="631" spans="11:15" x14ac:dyDescent="0.25">
      <c r="K631"/>
      <c r="L631"/>
      <c r="M631"/>
      <c r="N631"/>
      <c r="O631"/>
    </row>
    <row r="632" spans="11:15" x14ac:dyDescent="0.25">
      <c r="K632"/>
      <c r="L632"/>
      <c r="M632"/>
      <c r="N632"/>
      <c r="O632"/>
    </row>
    <row r="633" spans="11:15" x14ac:dyDescent="0.25">
      <c r="K633"/>
      <c r="L633"/>
      <c r="M633"/>
      <c r="N633"/>
      <c r="O633"/>
    </row>
    <row r="634" spans="11:15" x14ac:dyDescent="0.25">
      <c r="K634"/>
      <c r="L634"/>
      <c r="M634"/>
      <c r="N634"/>
      <c r="O634"/>
    </row>
    <row r="635" spans="11:15" x14ac:dyDescent="0.25">
      <c r="K635"/>
      <c r="L635"/>
      <c r="M635"/>
      <c r="N635"/>
      <c r="O635"/>
    </row>
    <row r="636" spans="11:15" x14ac:dyDescent="0.25">
      <c r="K636"/>
      <c r="L636"/>
      <c r="M636"/>
      <c r="N636"/>
      <c r="O636"/>
    </row>
    <row r="637" spans="11:15" x14ac:dyDescent="0.25">
      <c r="K637"/>
      <c r="L637"/>
      <c r="M637"/>
      <c r="N637"/>
      <c r="O637"/>
    </row>
    <row r="638" spans="11:15" x14ac:dyDescent="0.25">
      <c r="K638"/>
      <c r="L638"/>
      <c r="M638"/>
      <c r="N638"/>
      <c r="O638"/>
    </row>
    <row r="639" spans="11:15" x14ac:dyDescent="0.25">
      <c r="K639"/>
      <c r="L639"/>
      <c r="M639"/>
      <c r="N639"/>
      <c r="O639"/>
    </row>
    <row r="640" spans="11:15" x14ac:dyDescent="0.25">
      <c r="K640"/>
      <c r="L640"/>
      <c r="M640"/>
      <c r="N640"/>
      <c r="O640"/>
    </row>
    <row r="641" spans="11:15" x14ac:dyDescent="0.25">
      <c r="K641"/>
      <c r="L641"/>
      <c r="M641"/>
      <c r="N641"/>
      <c r="O641"/>
    </row>
    <row r="642" spans="11:15" x14ac:dyDescent="0.25">
      <c r="K642"/>
      <c r="L642"/>
      <c r="M642"/>
      <c r="N642"/>
      <c r="O642"/>
    </row>
    <row r="643" spans="11:15" x14ac:dyDescent="0.25">
      <c r="K643"/>
      <c r="L643"/>
      <c r="M643"/>
      <c r="N643"/>
      <c r="O643"/>
    </row>
    <row r="644" spans="11:15" x14ac:dyDescent="0.25">
      <c r="K644"/>
      <c r="L644"/>
      <c r="M644"/>
      <c r="N644"/>
      <c r="O644"/>
    </row>
    <row r="645" spans="11:15" x14ac:dyDescent="0.25">
      <c r="K645"/>
      <c r="L645"/>
      <c r="M645"/>
      <c r="N645"/>
      <c r="O645"/>
    </row>
    <row r="646" spans="11:15" x14ac:dyDescent="0.25">
      <c r="K646"/>
      <c r="L646"/>
      <c r="M646"/>
      <c r="N646"/>
      <c r="O646"/>
    </row>
    <row r="647" spans="11:15" x14ac:dyDescent="0.25">
      <c r="K647"/>
      <c r="L647"/>
      <c r="M647"/>
      <c r="N647"/>
      <c r="O647"/>
    </row>
    <row r="648" spans="11:15" x14ac:dyDescent="0.25">
      <c r="K648"/>
      <c r="L648"/>
      <c r="M648"/>
      <c r="N648"/>
      <c r="O648"/>
    </row>
    <row r="649" spans="11:15" x14ac:dyDescent="0.25">
      <c r="K649"/>
      <c r="L649"/>
      <c r="M649"/>
      <c r="N649"/>
      <c r="O649"/>
    </row>
    <row r="650" spans="11:15" x14ac:dyDescent="0.25">
      <c r="K650"/>
      <c r="L650"/>
      <c r="M650"/>
      <c r="N650"/>
      <c r="O650"/>
    </row>
    <row r="651" spans="11:15" x14ac:dyDescent="0.25">
      <c r="K651"/>
      <c r="L651"/>
      <c r="M651"/>
      <c r="N651"/>
      <c r="O651"/>
    </row>
    <row r="652" spans="11:15" x14ac:dyDescent="0.25">
      <c r="K652"/>
      <c r="L652"/>
      <c r="M652"/>
      <c r="N652"/>
      <c r="O652"/>
    </row>
    <row r="653" spans="11:15" x14ac:dyDescent="0.25">
      <c r="K653"/>
      <c r="L653"/>
      <c r="M653"/>
      <c r="N653"/>
      <c r="O653"/>
    </row>
    <row r="654" spans="11:15" x14ac:dyDescent="0.25">
      <c r="K654"/>
      <c r="L654"/>
      <c r="M654"/>
      <c r="N654"/>
      <c r="O654"/>
    </row>
    <row r="655" spans="11:15" x14ac:dyDescent="0.25">
      <c r="K655"/>
      <c r="L655"/>
      <c r="M655"/>
      <c r="N655"/>
      <c r="O655"/>
    </row>
    <row r="656" spans="11:15" x14ac:dyDescent="0.25">
      <c r="K656"/>
      <c r="L656"/>
      <c r="M656"/>
      <c r="N656"/>
      <c r="O656"/>
    </row>
    <row r="657" spans="11:15" x14ac:dyDescent="0.25">
      <c r="K657"/>
      <c r="L657"/>
      <c r="M657"/>
      <c r="N657"/>
      <c r="O657"/>
    </row>
    <row r="658" spans="11:15" x14ac:dyDescent="0.25">
      <c r="K658"/>
      <c r="L658"/>
      <c r="M658"/>
      <c r="N658"/>
      <c r="O658"/>
    </row>
    <row r="659" spans="11:15" x14ac:dyDescent="0.25">
      <c r="K659"/>
      <c r="L659"/>
      <c r="M659"/>
      <c r="N659"/>
      <c r="O659"/>
    </row>
    <row r="660" spans="11:15" x14ac:dyDescent="0.25">
      <c r="K660"/>
      <c r="L660"/>
      <c r="M660"/>
      <c r="N660"/>
      <c r="O660"/>
    </row>
    <row r="661" spans="11:15" x14ac:dyDescent="0.25">
      <c r="K661"/>
      <c r="L661"/>
      <c r="M661"/>
      <c r="N661"/>
      <c r="O661"/>
    </row>
    <row r="662" spans="11:15" x14ac:dyDescent="0.25">
      <c r="K662"/>
      <c r="L662"/>
      <c r="M662"/>
      <c r="N662"/>
      <c r="O662"/>
    </row>
    <row r="663" spans="11:15" x14ac:dyDescent="0.25">
      <c r="K663"/>
      <c r="L663"/>
      <c r="M663"/>
      <c r="N663"/>
      <c r="O663"/>
    </row>
    <row r="664" spans="11:15" x14ac:dyDescent="0.25">
      <c r="K664"/>
      <c r="L664"/>
      <c r="M664"/>
      <c r="N664"/>
      <c r="O664"/>
    </row>
    <row r="665" spans="11:15" x14ac:dyDescent="0.25">
      <c r="K665"/>
      <c r="L665"/>
      <c r="M665"/>
      <c r="N665"/>
      <c r="O665"/>
    </row>
    <row r="666" spans="11:15" x14ac:dyDescent="0.25">
      <c r="K666"/>
      <c r="L666"/>
      <c r="M666"/>
      <c r="N666"/>
      <c r="O666"/>
    </row>
    <row r="667" spans="11:15" x14ac:dyDescent="0.25">
      <c r="K667"/>
      <c r="L667"/>
      <c r="M667"/>
      <c r="N667"/>
      <c r="O667"/>
    </row>
    <row r="668" spans="11:15" x14ac:dyDescent="0.25">
      <c r="K668"/>
      <c r="L668"/>
      <c r="M668"/>
      <c r="N668"/>
      <c r="O668"/>
    </row>
    <row r="669" spans="11:15" x14ac:dyDescent="0.25">
      <c r="K669"/>
      <c r="L669"/>
      <c r="M669"/>
      <c r="N669"/>
      <c r="O669"/>
    </row>
    <row r="670" spans="11:15" x14ac:dyDescent="0.25">
      <c r="K670"/>
      <c r="L670"/>
      <c r="M670"/>
      <c r="N670"/>
      <c r="O670"/>
    </row>
    <row r="671" spans="11:15" x14ac:dyDescent="0.25">
      <c r="K671"/>
      <c r="L671"/>
      <c r="M671"/>
      <c r="N671"/>
      <c r="O671"/>
    </row>
    <row r="672" spans="11:15" x14ac:dyDescent="0.25">
      <c r="K672"/>
      <c r="L672"/>
      <c r="M672"/>
      <c r="N672"/>
      <c r="O672"/>
    </row>
    <row r="673" spans="11:15" x14ac:dyDescent="0.25">
      <c r="K673"/>
      <c r="L673"/>
      <c r="M673"/>
      <c r="N673"/>
      <c r="O673"/>
    </row>
    <row r="674" spans="11:15" x14ac:dyDescent="0.25">
      <c r="K674"/>
      <c r="L674"/>
      <c r="M674"/>
      <c r="N674"/>
      <c r="O674"/>
    </row>
    <row r="675" spans="11:15" x14ac:dyDescent="0.25">
      <c r="K675"/>
      <c r="L675"/>
      <c r="M675"/>
      <c r="N675"/>
      <c r="O675"/>
    </row>
    <row r="676" spans="11:15" x14ac:dyDescent="0.25">
      <c r="K676"/>
      <c r="L676"/>
      <c r="M676"/>
      <c r="N676"/>
      <c r="O676"/>
    </row>
    <row r="677" spans="11:15" x14ac:dyDescent="0.25">
      <c r="K677"/>
      <c r="L677"/>
      <c r="M677"/>
      <c r="N677"/>
      <c r="O677"/>
    </row>
    <row r="678" spans="11:15" x14ac:dyDescent="0.25">
      <c r="K678"/>
      <c r="L678"/>
      <c r="M678"/>
      <c r="N678"/>
      <c r="O678"/>
    </row>
    <row r="679" spans="11:15" x14ac:dyDescent="0.25">
      <c r="K679"/>
      <c r="L679"/>
      <c r="M679"/>
      <c r="N679"/>
      <c r="O679"/>
    </row>
    <row r="680" spans="11:15" x14ac:dyDescent="0.25">
      <c r="K680"/>
      <c r="L680"/>
      <c r="M680"/>
      <c r="N680"/>
      <c r="O680"/>
    </row>
    <row r="681" spans="11:15" x14ac:dyDescent="0.25">
      <c r="K681"/>
      <c r="L681"/>
      <c r="M681"/>
      <c r="N681"/>
      <c r="O681"/>
    </row>
    <row r="682" spans="11:15" x14ac:dyDescent="0.25">
      <c r="K682"/>
      <c r="L682"/>
      <c r="M682"/>
      <c r="N682"/>
      <c r="O682"/>
    </row>
    <row r="683" spans="11:15" x14ac:dyDescent="0.25">
      <c r="K683"/>
      <c r="L683"/>
      <c r="M683"/>
      <c r="N683"/>
      <c r="O683"/>
    </row>
    <row r="684" spans="11:15" x14ac:dyDescent="0.25">
      <c r="K684"/>
      <c r="L684"/>
      <c r="M684"/>
      <c r="N684"/>
      <c r="O684"/>
    </row>
    <row r="685" spans="11:15" x14ac:dyDescent="0.25">
      <c r="K685"/>
      <c r="L685"/>
      <c r="M685"/>
      <c r="N685"/>
      <c r="O685"/>
    </row>
    <row r="686" spans="11:15" x14ac:dyDescent="0.25">
      <c r="K686"/>
      <c r="L686"/>
      <c r="M686"/>
      <c r="N686"/>
      <c r="O686"/>
    </row>
    <row r="687" spans="11:15" x14ac:dyDescent="0.25">
      <c r="K687"/>
      <c r="L687"/>
      <c r="M687"/>
      <c r="N687"/>
      <c r="O687"/>
    </row>
    <row r="688" spans="11:15" x14ac:dyDescent="0.25">
      <c r="K688"/>
      <c r="L688"/>
      <c r="M688"/>
      <c r="N688"/>
      <c r="O688"/>
    </row>
    <row r="689" spans="11:15" x14ac:dyDescent="0.25">
      <c r="K689"/>
      <c r="L689"/>
      <c r="M689"/>
      <c r="N689"/>
      <c r="O689"/>
    </row>
    <row r="690" spans="11:15" x14ac:dyDescent="0.25">
      <c r="K690"/>
      <c r="L690"/>
      <c r="M690"/>
      <c r="N690"/>
      <c r="O690"/>
    </row>
    <row r="691" spans="11:15" x14ac:dyDescent="0.25">
      <c r="K691"/>
      <c r="L691"/>
      <c r="M691"/>
      <c r="N691"/>
      <c r="O691"/>
    </row>
    <row r="692" spans="11:15" x14ac:dyDescent="0.25">
      <c r="K692"/>
      <c r="L692"/>
      <c r="M692"/>
      <c r="N692"/>
      <c r="O692"/>
    </row>
    <row r="693" spans="11:15" x14ac:dyDescent="0.25">
      <c r="K693"/>
      <c r="L693"/>
      <c r="M693"/>
      <c r="N693"/>
      <c r="O693"/>
    </row>
    <row r="694" spans="11:15" x14ac:dyDescent="0.25">
      <c r="K694"/>
      <c r="L694"/>
      <c r="M694"/>
      <c r="N694"/>
      <c r="O694"/>
    </row>
    <row r="695" spans="11:15" x14ac:dyDescent="0.25">
      <c r="K695"/>
      <c r="L695"/>
      <c r="M695"/>
      <c r="N695"/>
      <c r="O695"/>
    </row>
    <row r="696" spans="11:15" x14ac:dyDescent="0.25">
      <c r="K696"/>
      <c r="L696"/>
      <c r="M696"/>
      <c r="N696"/>
      <c r="O696"/>
    </row>
    <row r="697" spans="11:15" x14ac:dyDescent="0.25">
      <c r="K697"/>
      <c r="L697"/>
      <c r="M697"/>
      <c r="N697"/>
      <c r="O697"/>
    </row>
    <row r="698" spans="11:15" x14ac:dyDescent="0.25">
      <c r="K698"/>
      <c r="L698"/>
      <c r="M698"/>
      <c r="N698"/>
      <c r="O698"/>
    </row>
    <row r="699" spans="11:15" x14ac:dyDescent="0.25">
      <c r="K699"/>
      <c r="L699"/>
      <c r="M699"/>
      <c r="N699"/>
      <c r="O699"/>
    </row>
    <row r="700" spans="11:15" x14ac:dyDescent="0.25">
      <c r="K700"/>
      <c r="L700"/>
      <c r="M700"/>
      <c r="N700"/>
      <c r="O700"/>
    </row>
    <row r="701" spans="11:15" x14ac:dyDescent="0.25">
      <c r="K701"/>
      <c r="L701"/>
      <c r="M701"/>
      <c r="N701"/>
      <c r="O701"/>
    </row>
    <row r="702" spans="11:15" x14ac:dyDescent="0.25">
      <c r="K702"/>
      <c r="L702"/>
      <c r="M702"/>
      <c r="N702"/>
      <c r="O702"/>
    </row>
    <row r="703" spans="11:15" x14ac:dyDescent="0.25">
      <c r="K703"/>
      <c r="L703"/>
      <c r="M703"/>
      <c r="N703"/>
      <c r="O703"/>
    </row>
    <row r="704" spans="11:15" x14ac:dyDescent="0.25">
      <c r="K704"/>
      <c r="L704"/>
      <c r="M704"/>
      <c r="N704"/>
      <c r="O704"/>
    </row>
    <row r="705" spans="11:15" x14ac:dyDescent="0.25">
      <c r="K705"/>
      <c r="L705"/>
      <c r="M705"/>
      <c r="N705"/>
      <c r="O705"/>
    </row>
    <row r="706" spans="11:15" x14ac:dyDescent="0.25">
      <c r="K706"/>
      <c r="L706"/>
      <c r="M706"/>
      <c r="N706"/>
      <c r="O706"/>
    </row>
    <row r="707" spans="11:15" x14ac:dyDescent="0.25">
      <c r="K707"/>
      <c r="L707"/>
      <c r="M707"/>
      <c r="N707"/>
      <c r="O707"/>
    </row>
    <row r="708" spans="11:15" x14ac:dyDescent="0.25">
      <c r="K708"/>
      <c r="L708"/>
      <c r="M708"/>
      <c r="N708"/>
      <c r="O708"/>
    </row>
    <row r="709" spans="11:15" x14ac:dyDescent="0.25">
      <c r="K709"/>
      <c r="L709"/>
      <c r="M709"/>
      <c r="N709"/>
      <c r="O709"/>
    </row>
    <row r="710" spans="11:15" x14ac:dyDescent="0.25">
      <c r="K710"/>
      <c r="L710"/>
      <c r="M710"/>
      <c r="N710"/>
      <c r="O710"/>
    </row>
    <row r="711" spans="11:15" x14ac:dyDescent="0.25">
      <c r="K711"/>
      <c r="L711"/>
      <c r="M711"/>
      <c r="N711"/>
      <c r="O711"/>
    </row>
    <row r="712" spans="11:15" x14ac:dyDescent="0.25">
      <c r="K712"/>
      <c r="L712"/>
      <c r="M712"/>
      <c r="N712"/>
      <c r="O712"/>
    </row>
    <row r="713" spans="11:15" x14ac:dyDescent="0.25">
      <c r="K713"/>
      <c r="L713"/>
      <c r="M713"/>
      <c r="N713"/>
      <c r="O713"/>
    </row>
    <row r="714" spans="11:15" x14ac:dyDescent="0.25">
      <c r="K714"/>
      <c r="L714"/>
      <c r="M714"/>
      <c r="N714"/>
      <c r="O714"/>
    </row>
    <row r="715" spans="11:15" x14ac:dyDescent="0.25">
      <c r="K715"/>
      <c r="L715"/>
      <c r="M715"/>
      <c r="N715"/>
      <c r="O715"/>
    </row>
    <row r="716" spans="11:15" x14ac:dyDescent="0.25">
      <c r="K716"/>
      <c r="L716"/>
      <c r="M716"/>
      <c r="N716"/>
      <c r="O716"/>
    </row>
    <row r="717" spans="11:15" x14ac:dyDescent="0.25">
      <c r="K717"/>
      <c r="L717"/>
      <c r="M717"/>
      <c r="N717"/>
      <c r="O717"/>
    </row>
    <row r="718" spans="11:15" x14ac:dyDescent="0.25">
      <c r="K718"/>
      <c r="L718"/>
      <c r="M718"/>
      <c r="N718"/>
      <c r="O718"/>
    </row>
    <row r="719" spans="11:15" x14ac:dyDescent="0.25">
      <c r="K719"/>
      <c r="L719"/>
      <c r="M719"/>
      <c r="N719"/>
      <c r="O719"/>
    </row>
    <row r="720" spans="11:15" x14ac:dyDescent="0.25">
      <c r="K720"/>
      <c r="L720"/>
      <c r="M720"/>
      <c r="N720"/>
      <c r="O720"/>
    </row>
    <row r="721" spans="11:15" x14ac:dyDescent="0.25">
      <c r="K721"/>
      <c r="L721"/>
      <c r="M721"/>
      <c r="N721"/>
      <c r="O721"/>
    </row>
    <row r="722" spans="11:15" x14ac:dyDescent="0.25">
      <c r="K722"/>
      <c r="L722"/>
      <c r="M722"/>
      <c r="N722"/>
      <c r="O722"/>
    </row>
    <row r="723" spans="11:15" x14ac:dyDescent="0.25">
      <c r="K723"/>
      <c r="L723"/>
      <c r="M723"/>
      <c r="N723"/>
      <c r="O723"/>
    </row>
    <row r="724" spans="11:15" x14ac:dyDescent="0.25">
      <c r="K724"/>
      <c r="L724"/>
      <c r="M724"/>
      <c r="N724"/>
      <c r="O724"/>
    </row>
    <row r="725" spans="11:15" x14ac:dyDescent="0.25">
      <c r="K725"/>
      <c r="L725"/>
      <c r="M725"/>
      <c r="N725"/>
      <c r="O725"/>
    </row>
    <row r="726" spans="11:15" x14ac:dyDescent="0.25">
      <c r="K726"/>
      <c r="L726"/>
      <c r="M726"/>
      <c r="N726"/>
      <c r="O726"/>
    </row>
    <row r="727" spans="11:15" x14ac:dyDescent="0.25">
      <c r="K727"/>
      <c r="L727"/>
      <c r="M727"/>
      <c r="N727"/>
      <c r="O727"/>
    </row>
    <row r="728" spans="11:15" x14ac:dyDescent="0.25">
      <c r="K728"/>
      <c r="L728"/>
      <c r="M728"/>
      <c r="N728"/>
      <c r="O728"/>
    </row>
    <row r="729" spans="11:15" x14ac:dyDescent="0.25">
      <c r="K729"/>
      <c r="L729"/>
      <c r="M729"/>
      <c r="N729"/>
      <c r="O729"/>
    </row>
    <row r="730" spans="11:15" x14ac:dyDescent="0.25">
      <c r="K730"/>
      <c r="L730"/>
      <c r="M730"/>
      <c r="N730"/>
      <c r="O730"/>
    </row>
    <row r="731" spans="11:15" x14ac:dyDescent="0.25">
      <c r="K731"/>
      <c r="L731"/>
      <c r="M731"/>
      <c r="N731"/>
      <c r="O731"/>
    </row>
    <row r="732" spans="11:15" x14ac:dyDescent="0.25">
      <c r="K732"/>
      <c r="L732"/>
      <c r="M732"/>
      <c r="N732"/>
      <c r="O732"/>
    </row>
    <row r="733" spans="11:15" x14ac:dyDescent="0.25">
      <c r="K733"/>
      <c r="L733"/>
      <c r="M733"/>
      <c r="N733"/>
      <c r="O733"/>
    </row>
    <row r="734" spans="11:15" x14ac:dyDescent="0.25">
      <c r="K734"/>
      <c r="L734"/>
      <c r="M734"/>
      <c r="N734"/>
      <c r="O734"/>
    </row>
    <row r="735" spans="11:15" x14ac:dyDescent="0.25">
      <c r="K735"/>
      <c r="L735"/>
      <c r="M735"/>
      <c r="N735"/>
      <c r="O735"/>
    </row>
    <row r="736" spans="11:15" x14ac:dyDescent="0.25">
      <c r="K736"/>
      <c r="L736"/>
      <c r="M736"/>
      <c r="N736"/>
      <c r="O736"/>
    </row>
    <row r="737" spans="11:15" x14ac:dyDescent="0.25">
      <c r="K737"/>
      <c r="L737"/>
      <c r="M737"/>
      <c r="N737"/>
      <c r="O737"/>
    </row>
    <row r="738" spans="11:15" x14ac:dyDescent="0.25">
      <c r="K738"/>
      <c r="L738"/>
      <c r="M738"/>
      <c r="N738"/>
      <c r="O738"/>
    </row>
    <row r="739" spans="11:15" x14ac:dyDescent="0.25">
      <c r="K739"/>
      <c r="L739"/>
      <c r="M739"/>
      <c r="N739"/>
      <c r="O739"/>
    </row>
    <row r="740" spans="11:15" x14ac:dyDescent="0.25">
      <c r="K740"/>
      <c r="L740"/>
      <c r="M740"/>
      <c r="N740"/>
      <c r="O740"/>
    </row>
    <row r="741" spans="11:15" x14ac:dyDescent="0.25">
      <c r="K741"/>
      <c r="L741"/>
      <c r="M741"/>
      <c r="N741"/>
      <c r="O741"/>
    </row>
    <row r="742" spans="11:15" x14ac:dyDescent="0.25">
      <c r="K742"/>
      <c r="L742"/>
      <c r="M742"/>
      <c r="N742"/>
      <c r="O742"/>
    </row>
    <row r="743" spans="11:15" x14ac:dyDescent="0.25">
      <c r="K743"/>
      <c r="L743"/>
      <c r="M743"/>
      <c r="N743"/>
      <c r="O743"/>
    </row>
    <row r="744" spans="11:15" x14ac:dyDescent="0.25">
      <c r="K744"/>
      <c r="L744"/>
      <c r="M744"/>
      <c r="N744"/>
      <c r="O744"/>
    </row>
    <row r="745" spans="11:15" x14ac:dyDescent="0.25">
      <c r="K745"/>
      <c r="L745"/>
      <c r="M745"/>
      <c r="N745"/>
      <c r="O745"/>
    </row>
    <row r="746" spans="11:15" x14ac:dyDescent="0.25">
      <c r="K746"/>
      <c r="L746"/>
      <c r="M746"/>
      <c r="N746"/>
      <c r="O746"/>
    </row>
    <row r="747" spans="11:15" x14ac:dyDescent="0.25">
      <c r="K747"/>
      <c r="L747"/>
      <c r="M747"/>
      <c r="N747"/>
      <c r="O747"/>
    </row>
    <row r="748" spans="11:15" x14ac:dyDescent="0.25">
      <c r="K748"/>
      <c r="L748"/>
      <c r="M748"/>
      <c r="N748"/>
      <c r="O748"/>
    </row>
    <row r="749" spans="11:15" x14ac:dyDescent="0.25">
      <c r="K749"/>
      <c r="L749"/>
      <c r="M749"/>
      <c r="N749"/>
      <c r="O749"/>
    </row>
    <row r="750" spans="11:15" x14ac:dyDescent="0.25">
      <c r="K750"/>
      <c r="L750"/>
      <c r="M750"/>
      <c r="N750"/>
      <c r="O750"/>
    </row>
    <row r="751" spans="11:15" x14ac:dyDescent="0.25">
      <c r="K751"/>
      <c r="L751"/>
      <c r="M751"/>
      <c r="N751"/>
      <c r="O751"/>
    </row>
    <row r="752" spans="11:15" x14ac:dyDescent="0.25">
      <c r="K752"/>
      <c r="L752"/>
      <c r="M752"/>
      <c r="N752"/>
      <c r="O752"/>
    </row>
    <row r="753" spans="11:15" x14ac:dyDescent="0.25">
      <c r="K753"/>
      <c r="L753"/>
      <c r="M753"/>
      <c r="N753"/>
      <c r="O753"/>
    </row>
    <row r="754" spans="11:15" x14ac:dyDescent="0.25">
      <c r="K754"/>
      <c r="L754"/>
      <c r="M754"/>
      <c r="N754"/>
      <c r="O754"/>
    </row>
    <row r="755" spans="11:15" x14ac:dyDescent="0.25">
      <c r="K755"/>
      <c r="L755"/>
      <c r="M755"/>
      <c r="N755"/>
      <c r="O755"/>
    </row>
    <row r="756" spans="11:15" x14ac:dyDescent="0.25">
      <c r="K756"/>
      <c r="L756"/>
      <c r="M756"/>
      <c r="N756"/>
      <c r="O756"/>
    </row>
    <row r="757" spans="11:15" x14ac:dyDescent="0.25">
      <c r="K757"/>
      <c r="L757"/>
      <c r="M757"/>
      <c r="N757"/>
      <c r="O757"/>
    </row>
    <row r="758" spans="11:15" x14ac:dyDescent="0.25">
      <c r="K758"/>
      <c r="L758"/>
      <c r="M758"/>
      <c r="N758"/>
      <c r="O758"/>
    </row>
    <row r="759" spans="11:15" x14ac:dyDescent="0.25">
      <c r="K759"/>
      <c r="L759"/>
      <c r="M759"/>
      <c r="N759"/>
      <c r="O759"/>
    </row>
    <row r="760" spans="11:15" x14ac:dyDescent="0.25">
      <c r="K760"/>
      <c r="L760"/>
      <c r="M760"/>
      <c r="N760"/>
      <c r="O760"/>
    </row>
    <row r="761" spans="11:15" x14ac:dyDescent="0.25">
      <c r="K761"/>
      <c r="L761"/>
      <c r="M761"/>
      <c r="N761"/>
      <c r="O761"/>
    </row>
    <row r="762" spans="11:15" x14ac:dyDescent="0.25">
      <c r="K762"/>
      <c r="L762"/>
      <c r="M762"/>
      <c r="N762"/>
      <c r="O762"/>
    </row>
    <row r="763" spans="11:15" x14ac:dyDescent="0.25">
      <c r="K763"/>
      <c r="L763"/>
      <c r="M763"/>
      <c r="N763"/>
      <c r="O763"/>
    </row>
    <row r="764" spans="11:15" x14ac:dyDescent="0.25">
      <c r="K764"/>
      <c r="L764"/>
      <c r="M764"/>
      <c r="N764"/>
      <c r="O764"/>
    </row>
    <row r="765" spans="11:15" x14ac:dyDescent="0.25">
      <c r="K765"/>
      <c r="L765"/>
      <c r="M765"/>
      <c r="N765"/>
      <c r="O765"/>
    </row>
    <row r="766" spans="11:15" x14ac:dyDescent="0.25">
      <c r="K766"/>
      <c r="L766"/>
      <c r="M766"/>
      <c r="N766"/>
      <c r="O766"/>
    </row>
    <row r="767" spans="11:15" x14ac:dyDescent="0.25">
      <c r="K767"/>
      <c r="L767"/>
      <c r="M767"/>
      <c r="N767"/>
      <c r="O767"/>
    </row>
    <row r="768" spans="11:15" x14ac:dyDescent="0.25">
      <c r="K768"/>
      <c r="L768"/>
      <c r="M768"/>
      <c r="N768"/>
      <c r="O768"/>
    </row>
    <row r="769" spans="11:15" x14ac:dyDescent="0.25">
      <c r="K769"/>
      <c r="L769"/>
      <c r="M769"/>
      <c r="N769"/>
      <c r="O769"/>
    </row>
    <row r="770" spans="11:15" x14ac:dyDescent="0.25">
      <c r="K770"/>
      <c r="L770"/>
      <c r="M770"/>
      <c r="N770"/>
      <c r="O770"/>
    </row>
    <row r="771" spans="11:15" x14ac:dyDescent="0.25">
      <c r="K771"/>
      <c r="L771"/>
      <c r="M771"/>
      <c r="N771"/>
      <c r="O771"/>
    </row>
    <row r="772" spans="11:15" x14ac:dyDescent="0.25">
      <c r="K772"/>
      <c r="L772"/>
      <c r="M772"/>
      <c r="N772"/>
      <c r="O772"/>
    </row>
    <row r="773" spans="11:15" x14ac:dyDescent="0.25">
      <c r="K773"/>
      <c r="L773"/>
      <c r="M773"/>
      <c r="N773"/>
      <c r="O773"/>
    </row>
    <row r="774" spans="11:15" x14ac:dyDescent="0.25">
      <c r="K774"/>
      <c r="L774"/>
      <c r="M774"/>
      <c r="N774"/>
      <c r="O774"/>
    </row>
    <row r="775" spans="11:15" x14ac:dyDescent="0.25">
      <c r="K775"/>
      <c r="L775"/>
      <c r="M775"/>
      <c r="N775"/>
      <c r="O775"/>
    </row>
    <row r="776" spans="11:15" x14ac:dyDescent="0.25">
      <c r="K776"/>
      <c r="L776"/>
      <c r="M776"/>
      <c r="N776"/>
      <c r="O776"/>
    </row>
    <row r="777" spans="11:15" x14ac:dyDescent="0.25">
      <c r="K777"/>
      <c r="L777"/>
      <c r="M777"/>
      <c r="N777"/>
      <c r="O777"/>
    </row>
    <row r="778" spans="11:15" x14ac:dyDescent="0.25">
      <c r="K778"/>
      <c r="L778"/>
      <c r="M778"/>
      <c r="N778"/>
      <c r="O778"/>
    </row>
    <row r="779" spans="11:15" x14ac:dyDescent="0.25">
      <c r="K779"/>
      <c r="L779"/>
      <c r="M779"/>
      <c r="N779"/>
      <c r="O779"/>
    </row>
    <row r="780" spans="11:15" x14ac:dyDescent="0.25">
      <c r="K780"/>
      <c r="L780"/>
      <c r="M780"/>
      <c r="N780"/>
      <c r="O780"/>
    </row>
    <row r="781" spans="11:15" x14ac:dyDescent="0.25">
      <c r="K781"/>
      <c r="L781"/>
      <c r="M781"/>
      <c r="N781"/>
      <c r="O781"/>
    </row>
    <row r="782" spans="11:15" x14ac:dyDescent="0.25">
      <c r="K782"/>
      <c r="L782"/>
      <c r="M782"/>
      <c r="N782"/>
      <c r="O782"/>
    </row>
    <row r="783" spans="11:15" x14ac:dyDescent="0.25">
      <c r="K783"/>
      <c r="L783"/>
      <c r="M783"/>
      <c r="N783"/>
      <c r="O783"/>
    </row>
    <row r="784" spans="11:15" x14ac:dyDescent="0.25">
      <c r="K784"/>
      <c r="L784"/>
      <c r="M784"/>
      <c r="N784"/>
      <c r="O784"/>
    </row>
    <row r="785" spans="11:15" x14ac:dyDescent="0.25">
      <c r="K785"/>
      <c r="L785"/>
      <c r="M785"/>
      <c r="N785"/>
      <c r="O785"/>
    </row>
    <row r="786" spans="11:15" x14ac:dyDescent="0.25">
      <c r="K786"/>
      <c r="L786"/>
      <c r="M786"/>
      <c r="N786"/>
      <c r="O786"/>
    </row>
    <row r="787" spans="11:15" x14ac:dyDescent="0.25">
      <c r="K787"/>
      <c r="L787"/>
      <c r="M787"/>
      <c r="N787"/>
      <c r="O787"/>
    </row>
    <row r="788" spans="11:15" x14ac:dyDescent="0.25">
      <c r="K788"/>
      <c r="L788"/>
      <c r="M788"/>
      <c r="N788"/>
      <c r="O788"/>
    </row>
    <row r="789" spans="11:15" x14ac:dyDescent="0.25">
      <c r="K789"/>
      <c r="L789"/>
      <c r="M789"/>
      <c r="N789"/>
      <c r="O789"/>
    </row>
    <row r="790" spans="11:15" x14ac:dyDescent="0.25">
      <c r="K790"/>
      <c r="L790"/>
      <c r="M790"/>
      <c r="N790"/>
      <c r="O790"/>
    </row>
    <row r="791" spans="11:15" x14ac:dyDescent="0.25">
      <c r="K791"/>
      <c r="L791"/>
      <c r="M791"/>
      <c r="N791"/>
      <c r="O791"/>
    </row>
    <row r="792" spans="11:15" x14ac:dyDescent="0.25">
      <c r="K792"/>
      <c r="L792"/>
      <c r="M792"/>
      <c r="N792"/>
      <c r="O792"/>
    </row>
    <row r="793" spans="11:15" x14ac:dyDescent="0.25">
      <c r="K793"/>
      <c r="L793"/>
      <c r="M793"/>
      <c r="N793"/>
      <c r="O793"/>
    </row>
    <row r="794" spans="11:15" x14ac:dyDescent="0.25">
      <c r="K794"/>
      <c r="L794"/>
      <c r="M794"/>
      <c r="N794"/>
      <c r="O794"/>
    </row>
    <row r="795" spans="11:15" x14ac:dyDescent="0.25">
      <c r="K795"/>
      <c r="L795"/>
      <c r="M795"/>
      <c r="N795"/>
      <c r="O795"/>
    </row>
    <row r="796" spans="11:15" x14ac:dyDescent="0.25">
      <c r="K796"/>
      <c r="L796"/>
      <c r="M796"/>
      <c r="N796"/>
      <c r="O796"/>
    </row>
    <row r="797" spans="11:15" x14ac:dyDescent="0.25">
      <c r="K797"/>
      <c r="L797"/>
      <c r="M797"/>
      <c r="N797"/>
      <c r="O797"/>
    </row>
    <row r="798" spans="11:15" x14ac:dyDescent="0.25">
      <c r="K798"/>
      <c r="L798"/>
      <c r="M798"/>
      <c r="N798"/>
      <c r="O798"/>
    </row>
    <row r="799" spans="11:15" x14ac:dyDescent="0.25">
      <c r="K799"/>
      <c r="L799"/>
      <c r="M799"/>
      <c r="N799"/>
      <c r="O799"/>
    </row>
    <row r="800" spans="11:15" x14ac:dyDescent="0.25">
      <c r="K800"/>
      <c r="L800"/>
      <c r="M800"/>
      <c r="N800"/>
      <c r="O800"/>
    </row>
    <row r="801" spans="11:15" x14ac:dyDescent="0.25">
      <c r="K801"/>
      <c r="L801"/>
      <c r="M801"/>
      <c r="N801"/>
      <c r="O801"/>
    </row>
    <row r="802" spans="11:15" x14ac:dyDescent="0.25">
      <c r="K802"/>
      <c r="L802"/>
      <c r="M802"/>
      <c r="N802"/>
      <c r="O802"/>
    </row>
    <row r="803" spans="11:15" x14ac:dyDescent="0.25">
      <c r="K803"/>
      <c r="L803"/>
      <c r="M803"/>
      <c r="N803"/>
      <c r="O803"/>
    </row>
    <row r="804" spans="11:15" x14ac:dyDescent="0.25">
      <c r="K804"/>
      <c r="L804"/>
      <c r="M804"/>
      <c r="N804"/>
      <c r="O804"/>
    </row>
    <row r="805" spans="11:15" x14ac:dyDescent="0.25">
      <c r="K805"/>
      <c r="L805"/>
      <c r="M805"/>
      <c r="N805"/>
      <c r="O805"/>
    </row>
    <row r="806" spans="11:15" x14ac:dyDescent="0.25">
      <c r="K806"/>
      <c r="L806"/>
      <c r="M806"/>
      <c r="N806"/>
      <c r="O806"/>
    </row>
    <row r="807" spans="11:15" x14ac:dyDescent="0.25">
      <c r="K807"/>
      <c r="L807"/>
      <c r="M807"/>
      <c r="N807"/>
      <c r="O807"/>
    </row>
    <row r="808" spans="11:15" x14ac:dyDescent="0.25">
      <c r="K808"/>
      <c r="L808"/>
      <c r="M808"/>
      <c r="N808"/>
      <c r="O808"/>
    </row>
    <row r="809" spans="11:15" x14ac:dyDescent="0.25">
      <c r="K809"/>
      <c r="L809"/>
      <c r="M809"/>
      <c r="N809"/>
      <c r="O809"/>
    </row>
    <row r="810" spans="11:15" x14ac:dyDescent="0.25">
      <c r="K810"/>
      <c r="L810"/>
      <c r="M810"/>
      <c r="N810"/>
      <c r="O810"/>
    </row>
    <row r="811" spans="11:15" x14ac:dyDescent="0.25">
      <c r="K811"/>
      <c r="L811"/>
      <c r="M811"/>
      <c r="N811"/>
      <c r="O811"/>
    </row>
    <row r="812" spans="11:15" x14ac:dyDescent="0.25">
      <c r="K812"/>
      <c r="L812"/>
      <c r="M812"/>
      <c r="N812"/>
      <c r="O812"/>
    </row>
    <row r="813" spans="11:15" x14ac:dyDescent="0.25">
      <c r="K813"/>
      <c r="L813"/>
      <c r="M813"/>
      <c r="N813"/>
      <c r="O813"/>
    </row>
    <row r="814" spans="11:15" x14ac:dyDescent="0.25">
      <c r="K814"/>
      <c r="L814"/>
      <c r="M814"/>
      <c r="N814"/>
      <c r="O814"/>
    </row>
    <row r="815" spans="11:15" x14ac:dyDescent="0.25">
      <c r="K815"/>
      <c r="L815"/>
      <c r="M815"/>
      <c r="N815"/>
      <c r="O815"/>
    </row>
    <row r="816" spans="11:15" x14ac:dyDescent="0.25">
      <c r="K816"/>
      <c r="L816"/>
      <c r="M816"/>
      <c r="N816"/>
      <c r="O816"/>
    </row>
    <row r="817" spans="11:15" x14ac:dyDescent="0.25">
      <c r="K817"/>
      <c r="L817"/>
      <c r="M817"/>
      <c r="N817"/>
      <c r="O817"/>
    </row>
    <row r="818" spans="11:15" x14ac:dyDescent="0.25">
      <c r="K818"/>
      <c r="L818"/>
      <c r="M818"/>
      <c r="N818"/>
      <c r="O818"/>
    </row>
    <row r="819" spans="11:15" x14ac:dyDescent="0.25">
      <c r="K819"/>
      <c r="L819"/>
      <c r="M819"/>
      <c r="N819"/>
      <c r="O819"/>
    </row>
    <row r="820" spans="11:15" x14ac:dyDescent="0.25">
      <c r="K820"/>
      <c r="L820"/>
      <c r="M820"/>
      <c r="N820"/>
      <c r="O820"/>
    </row>
    <row r="821" spans="11:15" x14ac:dyDescent="0.25">
      <c r="K821"/>
      <c r="L821"/>
      <c r="M821"/>
      <c r="N821"/>
      <c r="O821"/>
    </row>
    <row r="822" spans="11:15" x14ac:dyDescent="0.25">
      <c r="K822"/>
      <c r="L822"/>
      <c r="M822"/>
      <c r="N822"/>
      <c r="O822"/>
    </row>
    <row r="823" spans="11:15" x14ac:dyDescent="0.25">
      <c r="K823"/>
      <c r="L823"/>
      <c r="M823"/>
      <c r="N823"/>
      <c r="O823"/>
    </row>
    <row r="824" spans="11:15" x14ac:dyDescent="0.25">
      <c r="K824"/>
      <c r="L824"/>
      <c r="M824"/>
      <c r="N824"/>
      <c r="O824"/>
    </row>
    <row r="825" spans="11:15" x14ac:dyDescent="0.25">
      <c r="K825"/>
      <c r="L825"/>
      <c r="M825"/>
      <c r="N825"/>
      <c r="O825"/>
    </row>
    <row r="826" spans="11:15" x14ac:dyDescent="0.25">
      <c r="K826"/>
      <c r="L826"/>
      <c r="M826"/>
      <c r="N826"/>
      <c r="O826"/>
    </row>
    <row r="827" spans="11:15" x14ac:dyDescent="0.25">
      <c r="K827"/>
      <c r="L827"/>
      <c r="M827"/>
      <c r="N827"/>
      <c r="O827"/>
    </row>
    <row r="828" spans="11:15" x14ac:dyDescent="0.25">
      <c r="K828"/>
      <c r="L828"/>
      <c r="M828"/>
      <c r="N828"/>
      <c r="O828"/>
    </row>
    <row r="829" spans="11:15" x14ac:dyDescent="0.25">
      <c r="K829"/>
      <c r="L829"/>
      <c r="M829"/>
      <c r="N829"/>
      <c r="O829"/>
    </row>
    <row r="830" spans="11:15" x14ac:dyDescent="0.25">
      <c r="K830"/>
      <c r="L830"/>
      <c r="M830"/>
      <c r="N830"/>
      <c r="O830"/>
    </row>
    <row r="831" spans="11:15" x14ac:dyDescent="0.25">
      <c r="K831"/>
      <c r="L831"/>
      <c r="M831"/>
      <c r="N831"/>
      <c r="O831"/>
    </row>
    <row r="832" spans="11:15" x14ac:dyDescent="0.25">
      <c r="K832"/>
      <c r="L832"/>
      <c r="M832"/>
      <c r="N832"/>
      <c r="O832"/>
    </row>
    <row r="833" spans="11:15" x14ac:dyDescent="0.25">
      <c r="K833"/>
      <c r="L833"/>
      <c r="M833"/>
      <c r="N833"/>
      <c r="O833"/>
    </row>
    <row r="834" spans="11:15" x14ac:dyDescent="0.25">
      <c r="K834"/>
      <c r="L834"/>
      <c r="M834"/>
      <c r="N834"/>
      <c r="O834"/>
    </row>
    <row r="835" spans="11:15" x14ac:dyDescent="0.25">
      <c r="K835"/>
      <c r="L835"/>
      <c r="M835"/>
      <c r="N835"/>
      <c r="O835"/>
    </row>
    <row r="836" spans="11:15" x14ac:dyDescent="0.25">
      <c r="K836"/>
      <c r="L836"/>
      <c r="M836"/>
      <c r="N836"/>
      <c r="O836"/>
    </row>
    <row r="837" spans="11:15" x14ac:dyDescent="0.25">
      <c r="K837"/>
      <c r="L837"/>
      <c r="M837"/>
      <c r="N837"/>
      <c r="O837"/>
    </row>
    <row r="838" spans="11:15" x14ac:dyDescent="0.25">
      <c r="K838"/>
      <c r="L838"/>
      <c r="M838"/>
      <c r="N838"/>
      <c r="O838"/>
    </row>
    <row r="839" spans="11:15" x14ac:dyDescent="0.25">
      <c r="K839"/>
      <c r="L839"/>
      <c r="M839"/>
      <c r="N839"/>
      <c r="O839"/>
    </row>
    <row r="840" spans="11:15" x14ac:dyDescent="0.25">
      <c r="K840"/>
      <c r="L840"/>
      <c r="M840"/>
      <c r="N840"/>
      <c r="O840"/>
    </row>
    <row r="841" spans="11:15" x14ac:dyDescent="0.25">
      <c r="K841"/>
      <c r="L841"/>
      <c r="M841"/>
      <c r="N841"/>
      <c r="O841"/>
    </row>
    <row r="842" spans="11:15" x14ac:dyDescent="0.25">
      <c r="K842"/>
      <c r="L842"/>
      <c r="M842"/>
      <c r="N842"/>
      <c r="O842"/>
    </row>
    <row r="843" spans="11:15" x14ac:dyDescent="0.25">
      <c r="K843"/>
      <c r="L843"/>
      <c r="M843"/>
      <c r="N843"/>
      <c r="O843"/>
    </row>
    <row r="844" spans="11:15" x14ac:dyDescent="0.25">
      <c r="K844"/>
      <c r="L844"/>
      <c r="M844"/>
      <c r="N844"/>
      <c r="O844"/>
    </row>
    <row r="845" spans="11:15" x14ac:dyDescent="0.25">
      <c r="K845"/>
      <c r="L845"/>
      <c r="M845"/>
      <c r="N845"/>
      <c r="O845"/>
    </row>
    <row r="846" spans="11:15" x14ac:dyDescent="0.25">
      <c r="K846"/>
      <c r="L846"/>
      <c r="M846"/>
      <c r="N846"/>
      <c r="O846"/>
    </row>
    <row r="847" spans="11:15" x14ac:dyDescent="0.25">
      <c r="K847"/>
      <c r="L847"/>
      <c r="M847"/>
      <c r="N847"/>
      <c r="O847"/>
    </row>
    <row r="848" spans="11:15" x14ac:dyDescent="0.25">
      <c r="K848"/>
      <c r="L848"/>
      <c r="M848"/>
      <c r="N848"/>
      <c r="O848"/>
    </row>
    <row r="849" spans="11:15" x14ac:dyDescent="0.25">
      <c r="K849"/>
      <c r="L849"/>
      <c r="M849"/>
      <c r="N849"/>
      <c r="O849"/>
    </row>
    <row r="850" spans="11:15" x14ac:dyDescent="0.25">
      <c r="K850"/>
      <c r="L850"/>
      <c r="M850"/>
      <c r="N850"/>
      <c r="O850"/>
    </row>
    <row r="851" spans="11:15" x14ac:dyDescent="0.25">
      <c r="K851"/>
      <c r="L851"/>
      <c r="M851"/>
      <c r="N851"/>
      <c r="O851"/>
    </row>
    <row r="852" spans="11:15" x14ac:dyDescent="0.25">
      <c r="K852"/>
      <c r="L852"/>
      <c r="M852"/>
      <c r="N852"/>
      <c r="O852"/>
    </row>
    <row r="853" spans="11:15" x14ac:dyDescent="0.25">
      <c r="K853"/>
      <c r="L853"/>
      <c r="M853"/>
      <c r="N853"/>
      <c r="O853"/>
    </row>
    <row r="854" spans="11:15" x14ac:dyDescent="0.25">
      <c r="K854"/>
      <c r="L854"/>
      <c r="M854"/>
      <c r="N854"/>
      <c r="O854"/>
    </row>
    <row r="855" spans="11:15" x14ac:dyDescent="0.25">
      <c r="K855"/>
      <c r="L855"/>
      <c r="M855"/>
      <c r="N855"/>
      <c r="O855"/>
    </row>
    <row r="856" spans="11:15" x14ac:dyDescent="0.25">
      <c r="K856"/>
      <c r="L856"/>
      <c r="M856"/>
      <c r="N856"/>
      <c r="O856"/>
    </row>
    <row r="857" spans="11:15" x14ac:dyDescent="0.25">
      <c r="K857"/>
      <c r="L857"/>
      <c r="M857"/>
      <c r="N857"/>
      <c r="O857"/>
    </row>
    <row r="858" spans="11:15" x14ac:dyDescent="0.25">
      <c r="K858"/>
      <c r="L858"/>
      <c r="M858"/>
      <c r="N858"/>
      <c r="O858"/>
    </row>
    <row r="859" spans="11:15" x14ac:dyDescent="0.25">
      <c r="K859"/>
      <c r="L859"/>
      <c r="M859"/>
      <c r="N859"/>
      <c r="O859"/>
    </row>
    <row r="860" spans="11:15" x14ac:dyDescent="0.25">
      <c r="K860"/>
      <c r="L860"/>
      <c r="M860"/>
      <c r="N860"/>
      <c r="O860"/>
    </row>
    <row r="861" spans="11:15" x14ac:dyDescent="0.25">
      <c r="K861"/>
      <c r="L861"/>
      <c r="M861"/>
      <c r="N861"/>
      <c r="O861"/>
    </row>
    <row r="862" spans="11:15" x14ac:dyDescent="0.25">
      <c r="K862"/>
      <c r="L862"/>
      <c r="M862"/>
      <c r="N862"/>
      <c r="O862"/>
    </row>
    <row r="863" spans="11:15" x14ac:dyDescent="0.25">
      <c r="K863"/>
      <c r="L863"/>
      <c r="M863"/>
      <c r="N863"/>
      <c r="O863"/>
    </row>
    <row r="864" spans="11:15" x14ac:dyDescent="0.25">
      <c r="K864"/>
      <c r="L864"/>
      <c r="M864"/>
      <c r="N864"/>
      <c r="O864"/>
    </row>
    <row r="865" spans="11:15" x14ac:dyDescent="0.25">
      <c r="K865"/>
      <c r="L865"/>
      <c r="M865"/>
      <c r="N865"/>
      <c r="O865"/>
    </row>
    <row r="866" spans="11:15" x14ac:dyDescent="0.25">
      <c r="K866"/>
      <c r="L866"/>
      <c r="M866"/>
      <c r="N866"/>
      <c r="O866"/>
    </row>
    <row r="867" spans="11:15" x14ac:dyDescent="0.25">
      <c r="K867"/>
      <c r="L867"/>
      <c r="M867"/>
      <c r="N867"/>
      <c r="O867"/>
    </row>
    <row r="868" spans="11:15" x14ac:dyDescent="0.25">
      <c r="K868"/>
      <c r="L868"/>
      <c r="M868"/>
      <c r="N868"/>
      <c r="O868"/>
    </row>
    <row r="869" spans="11:15" x14ac:dyDescent="0.25">
      <c r="K869"/>
      <c r="L869"/>
      <c r="M869"/>
      <c r="N869"/>
      <c r="O869"/>
    </row>
    <row r="870" spans="11:15" x14ac:dyDescent="0.25">
      <c r="K870"/>
      <c r="L870"/>
      <c r="M870"/>
      <c r="N870"/>
      <c r="O870"/>
    </row>
    <row r="871" spans="11:15" x14ac:dyDescent="0.25">
      <c r="K871"/>
      <c r="L871"/>
      <c r="M871"/>
      <c r="N871"/>
      <c r="O871"/>
    </row>
    <row r="872" spans="11:15" x14ac:dyDescent="0.25">
      <c r="K872"/>
      <c r="L872"/>
      <c r="M872"/>
      <c r="N872"/>
      <c r="O872"/>
    </row>
    <row r="873" spans="11:15" x14ac:dyDescent="0.25">
      <c r="K873"/>
      <c r="L873"/>
      <c r="M873"/>
      <c r="N873"/>
      <c r="O873"/>
    </row>
    <row r="874" spans="11:15" x14ac:dyDescent="0.25">
      <c r="K874"/>
      <c r="L874"/>
      <c r="M874"/>
      <c r="N874"/>
      <c r="O874"/>
    </row>
    <row r="875" spans="11:15" x14ac:dyDescent="0.25">
      <c r="K875"/>
      <c r="L875"/>
      <c r="M875"/>
      <c r="N875"/>
      <c r="O875"/>
    </row>
    <row r="876" spans="11:15" x14ac:dyDescent="0.25">
      <c r="K876"/>
      <c r="L876"/>
      <c r="M876"/>
      <c r="N876"/>
      <c r="O876"/>
    </row>
    <row r="877" spans="11:15" x14ac:dyDescent="0.25">
      <c r="K877"/>
      <c r="L877"/>
      <c r="M877"/>
      <c r="N877"/>
      <c r="O877"/>
    </row>
    <row r="878" spans="11:15" x14ac:dyDescent="0.25">
      <c r="K878"/>
      <c r="L878"/>
      <c r="M878"/>
      <c r="N878"/>
      <c r="O878"/>
    </row>
    <row r="879" spans="11:15" x14ac:dyDescent="0.25">
      <c r="K879"/>
      <c r="L879"/>
      <c r="M879"/>
      <c r="N879"/>
      <c r="O879"/>
    </row>
    <row r="880" spans="11:15" x14ac:dyDescent="0.25">
      <c r="K880"/>
      <c r="L880"/>
      <c r="M880"/>
      <c r="N880"/>
      <c r="O880"/>
    </row>
    <row r="881" spans="11:15" x14ac:dyDescent="0.25">
      <c r="K881"/>
      <c r="L881"/>
      <c r="M881"/>
      <c r="N881"/>
      <c r="O881"/>
    </row>
    <row r="882" spans="11:15" x14ac:dyDescent="0.25">
      <c r="K882"/>
      <c r="L882"/>
      <c r="M882"/>
      <c r="N882"/>
      <c r="O882"/>
    </row>
    <row r="883" spans="11:15" x14ac:dyDescent="0.25">
      <c r="K883"/>
      <c r="L883"/>
      <c r="M883"/>
      <c r="N883"/>
      <c r="O883"/>
    </row>
    <row r="884" spans="11:15" x14ac:dyDescent="0.25">
      <c r="K884"/>
      <c r="L884"/>
      <c r="M884"/>
      <c r="N884"/>
      <c r="O884"/>
    </row>
    <row r="885" spans="11:15" x14ac:dyDescent="0.25">
      <c r="K885"/>
      <c r="L885"/>
      <c r="M885"/>
      <c r="N885"/>
      <c r="O885"/>
    </row>
    <row r="886" spans="11:15" x14ac:dyDescent="0.25">
      <c r="K886"/>
      <c r="L886"/>
      <c r="M886"/>
      <c r="N886"/>
      <c r="O886"/>
    </row>
    <row r="887" spans="11:15" x14ac:dyDescent="0.25">
      <c r="K887"/>
      <c r="L887"/>
      <c r="M887"/>
      <c r="N887"/>
      <c r="O887"/>
    </row>
    <row r="888" spans="11:15" x14ac:dyDescent="0.25">
      <c r="K888"/>
      <c r="L888"/>
      <c r="M888"/>
      <c r="N888"/>
      <c r="O888"/>
    </row>
    <row r="889" spans="11:15" x14ac:dyDescent="0.25">
      <c r="K889"/>
      <c r="L889"/>
      <c r="M889"/>
      <c r="N889"/>
      <c r="O889"/>
    </row>
    <row r="890" spans="11:15" x14ac:dyDescent="0.25">
      <c r="K890"/>
      <c r="L890"/>
      <c r="M890"/>
      <c r="N890"/>
      <c r="O890"/>
    </row>
    <row r="891" spans="11:15" x14ac:dyDescent="0.25">
      <c r="K891"/>
      <c r="L891"/>
      <c r="M891"/>
      <c r="N891"/>
      <c r="O891"/>
    </row>
    <row r="892" spans="11:15" x14ac:dyDescent="0.25">
      <c r="K892"/>
      <c r="L892"/>
      <c r="M892"/>
      <c r="N892"/>
      <c r="O892"/>
    </row>
    <row r="893" spans="11:15" x14ac:dyDescent="0.25">
      <c r="K893"/>
      <c r="L893"/>
      <c r="M893"/>
      <c r="N893"/>
      <c r="O893"/>
    </row>
    <row r="894" spans="11:15" x14ac:dyDescent="0.25">
      <c r="K894"/>
      <c r="L894"/>
      <c r="M894"/>
      <c r="N894"/>
      <c r="O894"/>
    </row>
    <row r="895" spans="11:15" x14ac:dyDescent="0.25">
      <c r="K895"/>
      <c r="L895"/>
      <c r="M895"/>
      <c r="N895"/>
      <c r="O895"/>
    </row>
    <row r="896" spans="11:15" x14ac:dyDescent="0.25">
      <c r="K896"/>
      <c r="L896"/>
      <c r="M896"/>
      <c r="N896"/>
      <c r="O896"/>
    </row>
    <row r="897" spans="11:15" x14ac:dyDescent="0.25">
      <c r="K897"/>
      <c r="L897"/>
      <c r="M897"/>
      <c r="N897"/>
      <c r="O897"/>
    </row>
    <row r="898" spans="11:15" x14ac:dyDescent="0.25">
      <c r="K898"/>
      <c r="L898"/>
      <c r="M898"/>
      <c r="N898"/>
      <c r="O898"/>
    </row>
    <row r="899" spans="11:15" x14ac:dyDescent="0.25">
      <c r="K899"/>
      <c r="L899"/>
      <c r="M899"/>
      <c r="N899"/>
      <c r="O899"/>
    </row>
    <row r="900" spans="11:15" x14ac:dyDescent="0.25">
      <c r="K900"/>
      <c r="L900"/>
      <c r="M900"/>
      <c r="N900"/>
      <c r="O900"/>
    </row>
    <row r="901" spans="11:15" x14ac:dyDescent="0.25">
      <c r="K901"/>
      <c r="L901"/>
      <c r="M901"/>
      <c r="N901"/>
      <c r="O901"/>
    </row>
    <row r="902" spans="11:15" x14ac:dyDescent="0.25">
      <c r="K902"/>
      <c r="L902"/>
      <c r="M902"/>
      <c r="N902"/>
      <c r="O902"/>
    </row>
    <row r="903" spans="11:15" x14ac:dyDescent="0.25">
      <c r="K903"/>
      <c r="L903"/>
      <c r="M903"/>
      <c r="N903"/>
      <c r="O903"/>
    </row>
    <row r="904" spans="11:15" x14ac:dyDescent="0.25">
      <c r="K904"/>
      <c r="L904"/>
      <c r="M904"/>
      <c r="N904"/>
      <c r="O904"/>
    </row>
    <row r="905" spans="11:15" x14ac:dyDescent="0.25">
      <c r="K905"/>
      <c r="L905"/>
      <c r="M905"/>
      <c r="N905"/>
      <c r="O905"/>
    </row>
    <row r="906" spans="11:15" x14ac:dyDescent="0.25">
      <c r="K906"/>
      <c r="L906"/>
      <c r="M906"/>
      <c r="N906"/>
      <c r="O906"/>
    </row>
    <row r="907" spans="11:15" x14ac:dyDescent="0.25">
      <c r="K907"/>
      <c r="L907"/>
      <c r="M907"/>
      <c r="N907"/>
      <c r="O907"/>
    </row>
    <row r="908" spans="11:15" x14ac:dyDescent="0.25">
      <c r="K908"/>
      <c r="L908"/>
      <c r="M908"/>
      <c r="N908"/>
      <c r="O908"/>
    </row>
    <row r="909" spans="11:15" x14ac:dyDescent="0.25">
      <c r="K909"/>
      <c r="L909"/>
      <c r="M909"/>
      <c r="N909"/>
      <c r="O909"/>
    </row>
    <row r="910" spans="11:15" x14ac:dyDescent="0.25">
      <c r="K910"/>
      <c r="L910"/>
      <c r="M910"/>
      <c r="N910"/>
      <c r="O910"/>
    </row>
    <row r="911" spans="11:15" x14ac:dyDescent="0.25">
      <c r="K911"/>
      <c r="L911"/>
      <c r="M911"/>
      <c r="N911"/>
      <c r="O911"/>
    </row>
    <row r="912" spans="11:15" x14ac:dyDescent="0.25">
      <c r="K912"/>
      <c r="L912"/>
      <c r="M912"/>
      <c r="N912"/>
      <c r="O912"/>
    </row>
    <row r="913" spans="11:15" x14ac:dyDescent="0.25">
      <c r="K913"/>
      <c r="L913"/>
      <c r="M913"/>
      <c r="N913"/>
      <c r="O913"/>
    </row>
    <row r="914" spans="11:15" x14ac:dyDescent="0.25">
      <c r="K914"/>
      <c r="L914"/>
      <c r="M914"/>
      <c r="N914"/>
      <c r="O914"/>
    </row>
    <row r="915" spans="11:15" x14ac:dyDescent="0.25">
      <c r="K915"/>
      <c r="L915"/>
      <c r="M915"/>
      <c r="N915"/>
      <c r="O915"/>
    </row>
    <row r="916" spans="11:15" x14ac:dyDescent="0.25">
      <c r="K916"/>
      <c r="L916"/>
      <c r="M916"/>
      <c r="N916"/>
      <c r="O916"/>
    </row>
    <row r="917" spans="11:15" x14ac:dyDescent="0.25">
      <c r="K917"/>
      <c r="L917"/>
      <c r="M917"/>
      <c r="N917"/>
      <c r="O917"/>
    </row>
    <row r="918" spans="11:15" x14ac:dyDescent="0.25">
      <c r="K918"/>
      <c r="L918"/>
      <c r="M918"/>
      <c r="N918"/>
      <c r="O918"/>
    </row>
    <row r="919" spans="11:15" x14ac:dyDescent="0.25">
      <c r="K919"/>
      <c r="L919"/>
      <c r="M919"/>
      <c r="N919"/>
      <c r="O919"/>
    </row>
    <row r="920" spans="11:15" x14ac:dyDescent="0.25">
      <c r="K920"/>
      <c r="L920"/>
      <c r="M920"/>
      <c r="N920"/>
      <c r="O920"/>
    </row>
    <row r="921" spans="11:15" x14ac:dyDescent="0.25">
      <c r="K921"/>
      <c r="L921"/>
      <c r="M921"/>
      <c r="N921"/>
      <c r="O921"/>
    </row>
    <row r="922" spans="11:15" x14ac:dyDescent="0.25">
      <c r="K922"/>
      <c r="L922"/>
      <c r="M922"/>
      <c r="N922"/>
      <c r="O922"/>
    </row>
    <row r="923" spans="11:15" x14ac:dyDescent="0.25">
      <c r="K923"/>
      <c r="L923"/>
      <c r="M923"/>
      <c r="N923"/>
      <c r="O923"/>
    </row>
    <row r="924" spans="11:15" x14ac:dyDescent="0.25">
      <c r="K924"/>
      <c r="L924"/>
      <c r="M924"/>
      <c r="N924"/>
      <c r="O924"/>
    </row>
    <row r="925" spans="11:15" x14ac:dyDescent="0.25">
      <c r="K925"/>
      <c r="L925"/>
      <c r="M925"/>
      <c r="N925"/>
      <c r="O925"/>
    </row>
    <row r="926" spans="11:15" x14ac:dyDescent="0.25">
      <c r="K926"/>
      <c r="L926"/>
      <c r="M926"/>
      <c r="N926"/>
      <c r="O926"/>
    </row>
    <row r="927" spans="11:15" x14ac:dyDescent="0.25">
      <c r="K927"/>
      <c r="L927"/>
      <c r="M927"/>
      <c r="N927"/>
      <c r="O927"/>
    </row>
    <row r="928" spans="11:15" x14ac:dyDescent="0.25">
      <c r="K928"/>
      <c r="L928"/>
      <c r="M928"/>
      <c r="N928"/>
      <c r="O928"/>
    </row>
    <row r="929" spans="11:15" x14ac:dyDescent="0.25">
      <c r="K929"/>
      <c r="L929"/>
      <c r="M929"/>
      <c r="N929"/>
      <c r="O929"/>
    </row>
    <row r="930" spans="11:15" x14ac:dyDescent="0.25">
      <c r="K930"/>
      <c r="L930"/>
      <c r="M930"/>
      <c r="N930"/>
      <c r="O930"/>
    </row>
    <row r="931" spans="11:15" x14ac:dyDescent="0.25">
      <c r="K931"/>
      <c r="L931"/>
      <c r="M931"/>
      <c r="N931"/>
      <c r="O931"/>
    </row>
    <row r="932" spans="11:15" x14ac:dyDescent="0.25">
      <c r="K932"/>
      <c r="L932"/>
      <c r="M932"/>
      <c r="N932"/>
      <c r="O932"/>
    </row>
    <row r="933" spans="11:15" x14ac:dyDescent="0.25">
      <c r="K933"/>
      <c r="L933"/>
      <c r="M933"/>
      <c r="N933"/>
      <c r="O933"/>
    </row>
    <row r="934" spans="11:15" x14ac:dyDescent="0.25">
      <c r="K934"/>
      <c r="L934"/>
      <c r="M934"/>
      <c r="N934"/>
      <c r="O934"/>
    </row>
    <row r="935" spans="11:15" x14ac:dyDescent="0.25">
      <c r="K935"/>
      <c r="L935"/>
      <c r="M935"/>
      <c r="N935"/>
      <c r="O935"/>
    </row>
    <row r="936" spans="11:15" x14ac:dyDescent="0.25">
      <c r="K936"/>
      <c r="L936"/>
      <c r="M936"/>
      <c r="N936"/>
      <c r="O936"/>
    </row>
    <row r="937" spans="11:15" x14ac:dyDescent="0.25">
      <c r="K937"/>
      <c r="L937"/>
      <c r="M937"/>
      <c r="N937"/>
      <c r="O937"/>
    </row>
    <row r="938" spans="11:15" x14ac:dyDescent="0.25">
      <c r="K938"/>
      <c r="L938"/>
      <c r="M938"/>
      <c r="N938"/>
      <c r="O938"/>
    </row>
    <row r="939" spans="11:15" x14ac:dyDescent="0.25">
      <c r="K939"/>
      <c r="L939"/>
      <c r="M939"/>
      <c r="N939"/>
      <c r="O939"/>
    </row>
    <row r="940" spans="11:15" x14ac:dyDescent="0.25">
      <c r="K940"/>
      <c r="L940"/>
      <c r="M940"/>
      <c r="N940"/>
      <c r="O940"/>
    </row>
    <row r="941" spans="11:15" x14ac:dyDescent="0.25">
      <c r="K941"/>
      <c r="L941"/>
      <c r="M941"/>
      <c r="N941"/>
      <c r="O941"/>
    </row>
    <row r="942" spans="11:15" x14ac:dyDescent="0.25">
      <c r="K942"/>
      <c r="L942"/>
      <c r="M942"/>
      <c r="N942"/>
      <c r="O942"/>
    </row>
    <row r="943" spans="11:15" x14ac:dyDescent="0.25">
      <c r="K943"/>
      <c r="L943"/>
      <c r="M943"/>
      <c r="N943"/>
      <c r="O943"/>
    </row>
    <row r="944" spans="11:15" x14ac:dyDescent="0.25">
      <c r="K944"/>
      <c r="L944"/>
      <c r="M944"/>
      <c r="N944"/>
      <c r="O944"/>
    </row>
    <row r="945" spans="11:15" x14ac:dyDescent="0.25">
      <c r="K945"/>
      <c r="L945"/>
      <c r="M945"/>
      <c r="N945"/>
      <c r="O945"/>
    </row>
    <row r="946" spans="11:15" x14ac:dyDescent="0.25">
      <c r="K946"/>
      <c r="L946"/>
      <c r="M946"/>
      <c r="N946"/>
      <c r="O946"/>
    </row>
    <row r="947" spans="11:15" x14ac:dyDescent="0.25">
      <c r="K947"/>
      <c r="L947"/>
      <c r="M947"/>
      <c r="N947"/>
      <c r="O947"/>
    </row>
    <row r="948" spans="11:15" x14ac:dyDescent="0.25">
      <c r="K948"/>
      <c r="L948"/>
      <c r="M948"/>
      <c r="N948"/>
      <c r="O948"/>
    </row>
    <row r="949" spans="11:15" x14ac:dyDescent="0.25">
      <c r="K949"/>
      <c r="L949"/>
      <c r="M949"/>
      <c r="N949"/>
      <c r="O949"/>
    </row>
    <row r="950" spans="11:15" x14ac:dyDescent="0.25">
      <c r="K950"/>
      <c r="L950"/>
      <c r="M950"/>
      <c r="N950"/>
      <c r="O950"/>
    </row>
    <row r="951" spans="11:15" x14ac:dyDescent="0.25">
      <c r="K951"/>
      <c r="L951"/>
      <c r="M951"/>
      <c r="N951"/>
      <c r="O951"/>
    </row>
    <row r="952" spans="11:15" x14ac:dyDescent="0.25">
      <c r="K952"/>
      <c r="L952"/>
      <c r="M952"/>
      <c r="N952"/>
      <c r="O952"/>
    </row>
    <row r="953" spans="11:15" x14ac:dyDescent="0.25">
      <c r="K953"/>
      <c r="L953"/>
      <c r="M953"/>
      <c r="N953"/>
      <c r="O953"/>
    </row>
    <row r="954" spans="11:15" x14ac:dyDescent="0.25">
      <c r="K954"/>
      <c r="L954"/>
      <c r="M954"/>
      <c r="N954"/>
      <c r="O954"/>
    </row>
    <row r="955" spans="11:15" x14ac:dyDescent="0.25">
      <c r="K955"/>
      <c r="L955"/>
      <c r="M955"/>
      <c r="N955"/>
      <c r="O955"/>
    </row>
    <row r="956" spans="11:15" x14ac:dyDescent="0.25">
      <c r="K956"/>
      <c r="L956"/>
      <c r="M956"/>
      <c r="N956"/>
      <c r="O956"/>
    </row>
    <row r="957" spans="11:15" x14ac:dyDescent="0.25">
      <c r="K957"/>
      <c r="L957"/>
      <c r="M957"/>
      <c r="N957"/>
      <c r="O957"/>
    </row>
    <row r="958" spans="11:15" x14ac:dyDescent="0.25">
      <c r="K958"/>
      <c r="L958"/>
      <c r="M958"/>
      <c r="N958"/>
      <c r="O958"/>
    </row>
    <row r="959" spans="11:15" x14ac:dyDescent="0.25">
      <c r="K959"/>
      <c r="L959"/>
      <c r="M959"/>
      <c r="N959"/>
      <c r="O959"/>
    </row>
    <row r="960" spans="11:15" x14ac:dyDescent="0.25">
      <c r="K960"/>
      <c r="L960"/>
      <c r="M960"/>
      <c r="N960"/>
      <c r="O960"/>
    </row>
    <row r="961" spans="11:15" x14ac:dyDescent="0.25">
      <c r="K961"/>
      <c r="L961"/>
      <c r="M961"/>
      <c r="N961"/>
      <c r="O961"/>
    </row>
    <row r="962" spans="11:15" x14ac:dyDescent="0.25">
      <c r="K962"/>
      <c r="L962"/>
      <c r="M962"/>
      <c r="N962"/>
      <c r="O962"/>
    </row>
    <row r="963" spans="11:15" x14ac:dyDescent="0.25">
      <c r="K963"/>
      <c r="L963"/>
      <c r="M963"/>
      <c r="N963"/>
      <c r="O963"/>
    </row>
    <row r="964" spans="11:15" x14ac:dyDescent="0.25">
      <c r="K964"/>
      <c r="L964"/>
      <c r="M964"/>
      <c r="N964"/>
      <c r="O964"/>
    </row>
    <row r="965" spans="11:15" x14ac:dyDescent="0.25">
      <c r="K965"/>
      <c r="L965"/>
      <c r="M965"/>
      <c r="N965"/>
      <c r="O965"/>
    </row>
    <row r="966" spans="11:15" x14ac:dyDescent="0.25">
      <c r="K966"/>
      <c r="L966"/>
      <c r="M966"/>
      <c r="N966"/>
      <c r="O966"/>
    </row>
    <row r="967" spans="11:15" x14ac:dyDescent="0.25">
      <c r="K967"/>
      <c r="L967"/>
      <c r="M967"/>
      <c r="N967"/>
      <c r="O967"/>
    </row>
    <row r="968" spans="11:15" x14ac:dyDescent="0.25">
      <c r="K968"/>
      <c r="L968"/>
      <c r="M968"/>
      <c r="N968"/>
      <c r="O968"/>
    </row>
    <row r="969" spans="11:15" x14ac:dyDescent="0.25">
      <c r="K969"/>
      <c r="L969"/>
      <c r="M969"/>
      <c r="N969"/>
      <c r="O969"/>
    </row>
    <row r="970" spans="11:15" x14ac:dyDescent="0.25">
      <c r="K970"/>
      <c r="L970"/>
      <c r="M970"/>
      <c r="N970"/>
      <c r="O970"/>
    </row>
    <row r="971" spans="11:15" x14ac:dyDescent="0.25">
      <c r="K971"/>
      <c r="L971"/>
      <c r="M971"/>
      <c r="N971"/>
      <c r="O971"/>
    </row>
    <row r="972" spans="11:15" x14ac:dyDescent="0.25">
      <c r="K972"/>
      <c r="L972"/>
      <c r="M972"/>
      <c r="N972"/>
      <c r="O972"/>
    </row>
    <row r="973" spans="11:15" x14ac:dyDescent="0.25">
      <c r="K973"/>
      <c r="L973"/>
      <c r="M973"/>
      <c r="N973"/>
      <c r="O973"/>
    </row>
    <row r="974" spans="11:15" x14ac:dyDescent="0.25">
      <c r="K974"/>
      <c r="L974"/>
      <c r="M974"/>
      <c r="N974"/>
      <c r="O974"/>
    </row>
    <row r="975" spans="11:15" x14ac:dyDescent="0.25">
      <c r="K975"/>
      <c r="L975"/>
      <c r="M975"/>
      <c r="N975"/>
      <c r="O975"/>
    </row>
    <row r="976" spans="11:15" x14ac:dyDescent="0.25">
      <c r="K976"/>
      <c r="L976"/>
      <c r="M976"/>
      <c r="N976"/>
      <c r="O976"/>
    </row>
    <row r="977" spans="11:15" x14ac:dyDescent="0.25">
      <c r="K977"/>
      <c r="L977"/>
      <c r="M977"/>
      <c r="N977"/>
      <c r="O977"/>
    </row>
    <row r="978" spans="11:15" x14ac:dyDescent="0.25">
      <c r="K978"/>
      <c r="L978"/>
      <c r="M978"/>
      <c r="N978"/>
      <c r="O978"/>
    </row>
    <row r="979" spans="11:15" x14ac:dyDescent="0.25">
      <c r="K979"/>
      <c r="L979"/>
      <c r="M979"/>
      <c r="N979"/>
      <c r="O979"/>
    </row>
    <row r="980" spans="11:15" x14ac:dyDescent="0.25">
      <c r="K980"/>
      <c r="L980"/>
      <c r="M980"/>
      <c r="N980"/>
      <c r="O980"/>
    </row>
    <row r="981" spans="11:15" x14ac:dyDescent="0.25">
      <c r="K981"/>
      <c r="L981"/>
      <c r="M981"/>
      <c r="N981"/>
      <c r="O981"/>
    </row>
    <row r="982" spans="11:15" x14ac:dyDescent="0.25">
      <c r="K982"/>
      <c r="L982"/>
      <c r="M982"/>
      <c r="N982"/>
      <c r="O982"/>
    </row>
    <row r="983" spans="11:15" x14ac:dyDescent="0.25">
      <c r="K983"/>
      <c r="L983"/>
      <c r="M983"/>
      <c r="N983"/>
      <c r="O983"/>
    </row>
    <row r="984" spans="11:15" x14ac:dyDescent="0.25">
      <c r="K984"/>
      <c r="L984"/>
      <c r="M984"/>
      <c r="N984"/>
      <c r="O984"/>
    </row>
    <row r="985" spans="11:15" x14ac:dyDescent="0.25">
      <c r="K985"/>
      <c r="L985"/>
      <c r="M985"/>
      <c r="N985"/>
      <c r="O985"/>
    </row>
    <row r="986" spans="11:15" x14ac:dyDescent="0.25">
      <c r="K986"/>
      <c r="L986"/>
      <c r="M986"/>
      <c r="N986"/>
      <c r="O986"/>
    </row>
    <row r="987" spans="11:15" x14ac:dyDescent="0.25">
      <c r="K987"/>
      <c r="L987"/>
      <c r="M987"/>
      <c r="N987"/>
      <c r="O987"/>
    </row>
    <row r="988" spans="11:15" x14ac:dyDescent="0.25">
      <c r="K988"/>
      <c r="L988"/>
      <c r="M988"/>
      <c r="N988"/>
      <c r="O988"/>
    </row>
    <row r="989" spans="11:15" x14ac:dyDescent="0.25">
      <c r="K989"/>
      <c r="L989"/>
      <c r="M989"/>
      <c r="N989"/>
      <c r="O989"/>
    </row>
    <row r="990" spans="11:15" x14ac:dyDescent="0.25">
      <c r="K990"/>
      <c r="L990"/>
      <c r="M990"/>
      <c r="N990"/>
      <c r="O990"/>
    </row>
    <row r="991" spans="11:15" x14ac:dyDescent="0.25">
      <c r="K991"/>
      <c r="L991"/>
      <c r="M991"/>
      <c r="N991"/>
      <c r="O991"/>
    </row>
    <row r="992" spans="11:15" x14ac:dyDescent="0.25">
      <c r="K992"/>
      <c r="L992"/>
      <c r="M992"/>
      <c r="N992"/>
      <c r="O992"/>
    </row>
    <row r="993" spans="11:15" x14ac:dyDescent="0.25">
      <c r="K993"/>
      <c r="L993"/>
      <c r="M993"/>
      <c r="N993"/>
      <c r="O993"/>
    </row>
    <row r="994" spans="11:15" x14ac:dyDescent="0.25">
      <c r="K994"/>
      <c r="L994"/>
      <c r="M994"/>
      <c r="N994"/>
      <c r="O994"/>
    </row>
    <row r="995" spans="11:15" x14ac:dyDescent="0.25">
      <c r="K995"/>
      <c r="L995"/>
      <c r="M995"/>
      <c r="N995"/>
      <c r="O995"/>
    </row>
    <row r="996" spans="11:15" x14ac:dyDescent="0.25">
      <c r="K996"/>
      <c r="L996"/>
      <c r="M996"/>
      <c r="N996"/>
      <c r="O996"/>
    </row>
    <row r="997" spans="11:15" x14ac:dyDescent="0.25">
      <c r="K997"/>
      <c r="L997"/>
      <c r="M997"/>
      <c r="N997"/>
      <c r="O997"/>
    </row>
    <row r="998" spans="11:15" x14ac:dyDescent="0.25">
      <c r="K998"/>
      <c r="L998"/>
      <c r="M998"/>
      <c r="N998"/>
      <c r="O998"/>
    </row>
    <row r="999" spans="11:15" x14ac:dyDescent="0.25">
      <c r="K999"/>
      <c r="L999"/>
      <c r="M999"/>
      <c r="N999"/>
      <c r="O999"/>
    </row>
    <row r="1000" spans="11:15" x14ac:dyDescent="0.25">
      <c r="K1000"/>
      <c r="L1000"/>
      <c r="M1000"/>
      <c r="N1000"/>
      <c r="O1000"/>
    </row>
    <row r="1001" spans="11:15" x14ac:dyDescent="0.25">
      <c r="K1001"/>
      <c r="L1001"/>
      <c r="M1001"/>
      <c r="N1001"/>
      <c r="O1001"/>
    </row>
    <row r="1002" spans="11:15" x14ac:dyDescent="0.25">
      <c r="K1002"/>
      <c r="L1002"/>
      <c r="M1002"/>
      <c r="N1002"/>
      <c r="O1002"/>
    </row>
    <row r="1003" spans="11:15" x14ac:dyDescent="0.25">
      <c r="K1003"/>
      <c r="L1003"/>
      <c r="M1003"/>
      <c r="N1003"/>
      <c r="O1003"/>
    </row>
    <row r="1004" spans="11:15" x14ac:dyDescent="0.25">
      <c r="K1004"/>
      <c r="L1004"/>
      <c r="M1004"/>
      <c r="N1004"/>
      <c r="O1004"/>
    </row>
    <row r="1005" spans="11:15" x14ac:dyDescent="0.25">
      <c r="K1005"/>
      <c r="L1005"/>
      <c r="M1005"/>
      <c r="N1005"/>
      <c r="O1005"/>
    </row>
    <row r="1006" spans="11:15" x14ac:dyDescent="0.25">
      <c r="K1006"/>
      <c r="L1006"/>
      <c r="M1006"/>
      <c r="N1006"/>
      <c r="O1006"/>
    </row>
    <row r="1007" spans="11:15" x14ac:dyDescent="0.25">
      <c r="K1007"/>
      <c r="L1007"/>
      <c r="M1007"/>
      <c r="N1007"/>
      <c r="O1007"/>
    </row>
    <row r="1008" spans="11:15" x14ac:dyDescent="0.25">
      <c r="K1008"/>
      <c r="L1008"/>
      <c r="M1008"/>
      <c r="N1008"/>
      <c r="O1008"/>
    </row>
    <row r="1009" spans="11:15" x14ac:dyDescent="0.25">
      <c r="K1009"/>
      <c r="L1009"/>
      <c r="M1009"/>
      <c r="N1009"/>
      <c r="O1009"/>
    </row>
    <row r="1010" spans="11:15" x14ac:dyDescent="0.25">
      <c r="K1010"/>
      <c r="L1010"/>
      <c r="M1010"/>
      <c r="N1010"/>
      <c r="O1010"/>
    </row>
    <row r="1011" spans="11:15" x14ac:dyDescent="0.25">
      <c r="K1011"/>
      <c r="L1011"/>
      <c r="M1011"/>
      <c r="N1011"/>
      <c r="O1011"/>
    </row>
    <row r="1012" spans="11:15" x14ac:dyDescent="0.25">
      <c r="K1012"/>
      <c r="L1012"/>
      <c r="M1012"/>
      <c r="N1012"/>
      <c r="O1012"/>
    </row>
    <row r="1013" spans="11:15" x14ac:dyDescent="0.25">
      <c r="K1013"/>
      <c r="L1013"/>
      <c r="M1013"/>
      <c r="N1013"/>
      <c r="O1013"/>
    </row>
    <row r="1014" spans="11:15" x14ac:dyDescent="0.25">
      <c r="K1014"/>
      <c r="L1014"/>
      <c r="M1014"/>
      <c r="N1014"/>
      <c r="O1014"/>
    </row>
    <row r="1015" spans="11:15" x14ac:dyDescent="0.25">
      <c r="K1015"/>
      <c r="L1015"/>
      <c r="M1015"/>
      <c r="N1015"/>
      <c r="O1015"/>
    </row>
    <row r="1016" spans="11:15" x14ac:dyDescent="0.25">
      <c r="K1016"/>
      <c r="L1016"/>
      <c r="M1016"/>
      <c r="N1016"/>
      <c r="O1016"/>
    </row>
    <row r="1017" spans="11:15" x14ac:dyDescent="0.25">
      <c r="K1017"/>
      <c r="L1017"/>
      <c r="M1017"/>
      <c r="N1017"/>
      <c r="O1017"/>
    </row>
    <row r="1018" spans="11:15" x14ac:dyDescent="0.25">
      <c r="K1018"/>
      <c r="L1018"/>
      <c r="M1018"/>
      <c r="N1018"/>
      <c r="O1018"/>
    </row>
    <row r="1019" spans="11:15" x14ac:dyDescent="0.25">
      <c r="K1019"/>
      <c r="L1019"/>
      <c r="M1019"/>
      <c r="N1019"/>
      <c r="O1019"/>
    </row>
    <row r="1020" spans="11:15" x14ac:dyDescent="0.25">
      <c r="K1020"/>
      <c r="L1020"/>
      <c r="M1020"/>
      <c r="N1020"/>
      <c r="O1020"/>
    </row>
    <row r="1021" spans="11:15" x14ac:dyDescent="0.25">
      <c r="K1021"/>
      <c r="L1021"/>
      <c r="M1021"/>
      <c r="N1021"/>
      <c r="O1021"/>
    </row>
    <row r="1022" spans="11:15" x14ac:dyDescent="0.25">
      <c r="K1022"/>
      <c r="L1022"/>
      <c r="M1022"/>
      <c r="N1022"/>
      <c r="O1022"/>
    </row>
    <row r="1023" spans="11:15" x14ac:dyDescent="0.25">
      <c r="K1023"/>
      <c r="L1023"/>
      <c r="M1023"/>
      <c r="N1023"/>
      <c r="O1023"/>
    </row>
    <row r="1024" spans="11:15" x14ac:dyDescent="0.25">
      <c r="K1024"/>
      <c r="L1024"/>
      <c r="M1024"/>
      <c r="N1024"/>
      <c r="O1024"/>
    </row>
    <row r="1025" spans="11:15" x14ac:dyDescent="0.25">
      <c r="K1025"/>
      <c r="L1025"/>
      <c r="M1025"/>
      <c r="N1025"/>
      <c r="O1025"/>
    </row>
    <row r="1026" spans="11:15" x14ac:dyDescent="0.25">
      <c r="K1026"/>
      <c r="L1026"/>
      <c r="M1026"/>
      <c r="N1026"/>
      <c r="O1026"/>
    </row>
    <row r="1027" spans="11:15" x14ac:dyDescent="0.25">
      <c r="K1027"/>
      <c r="L1027"/>
      <c r="M1027"/>
      <c r="N1027"/>
      <c r="O1027"/>
    </row>
    <row r="1028" spans="11:15" x14ac:dyDescent="0.25">
      <c r="K1028"/>
      <c r="L1028"/>
      <c r="M1028"/>
      <c r="N1028"/>
      <c r="O1028"/>
    </row>
    <row r="1029" spans="11:15" x14ac:dyDescent="0.25">
      <c r="K1029"/>
      <c r="L1029"/>
      <c r="M1029"/>
      <c r="N1029"/>
      <c r="O1029"/>
    </row>
    <row r="1030" spans="11:15" x14ac:dyDescent="0.25">
      <c r="K1030"/>
      <c r="L1030"/>
      <c r="M1030"/>
      <c r="N1030"/>
      <c r="O1030"/>
    </row>
    <row r="1031" spans="11:15" x14ac:dyDescent="0.25">
      <c r="K1031"/>
      <c r="L1031"/>
      <c r="M1031"/>
      <c r="N1031"/>
      <c r="O1031"/>
    </row>
    <row r="1032" spans="11:15" x14ac:dyDescent="0.25">
      <c r="K1032"/>
      <c r="L1032"/>
      <c r="M1032"/>
      <c r="N1032"/>
      <c r="O1032"/>
    </row>
    <row r="1033" spans="11:15" x14ac:dyDescent="0.25">
      <c r="K1033"/>
      <c r="L1033"/>
      <c r="M1033"/>
      <c r="N1033"/>
      <c r="O1033"/>
    </row>
    <row r="1034" spans="11:15" x14ac:dyDescent="0.25">
      <c r="K1034"/>
      <c r="L1034"/>
      <c r="M1034"/>
      <c r="N1034"/>
      <c r="O1034"/>
    </row>
    <row r="1035" spans="11:15" x14ac:dyDescent="0.25">
      <c r="K1035"/>
      <c r="L1035"/>
      <c r="M1035"/>
      <c r="N1035"/>
      <c r="O1035"/>
    </row>
    <row r="1036" spans="11:15" x14ac:dyDescent="0.25">
      <c r="K1036"/>
      <c r="L1036"/>
      <c r="M1036"/>
      <c r="N1036"/>
      <c r="O1036"/>
    </row>
    <row r="1037" spans="11:15" x14ac:dyDescent="0.25">
      <c r="K1037"/>
      <c r="L1037"/>
      <c r="M1037"/>
      <c r="N1037"/>
      <c r="O1037"/>
    </row>
    <row r="1038" spans="11:15" x14ac:dyDescent="0.25">
      <c r="K1038"/>
      <c r="L1038"/>
      <c r="M1038"/>
      <c r="N1038"/>
      <c r="O1038"/>
    </row>
    <row r="1039" spans="11:15" x14ac:dyDescent="0.25">
      <c r="K1039"/>
      <c r="L1039"/>
      <c r="M1039"/>
      <c r="N1039"/>
      <c r="O1039"/>
    </row>
    <row r="1040" spans="11:15" x14ac:dyDescent="0.25">
      <c r="K1040"/>
      <c r="L1040"/>
      <c r="M1040"/>
      <c r="N1040"/>
      <c r="O1040"/>
    </row>
    <row r="1041" spans="11:15" x14ac:dyDescent="0.25">
      <c r="K1041"/>
      <c r="L1041"/>
      <c r="M1041"/>
      <c r="N1041"/>
      <c r="O1041"/>
    </row>
    <row r="1042" spans="11:15" x14ac:dyDescent="0.25">
      <c r="K1042"/>
      <c r="L1042"/>
      <c r="M1042"/>
      <c r="N1042"/>
      <c r="O1042"/>
    </row>
    <row r="1043" spans="11:15" x14ac:dyDescent="0.25">
      <c r="K1043"/>
      <c r="L1043"/>
      <c r="M1043"/>
      <c r="N1043"/>
      <c r="O1043"/>
    </row>
    <row r="1044" spans="11:15" x14ac:dyDescent="0.25">
      <c r="K1044"/>
      <c r="L1044"/>
      <c r="M1044"/>
      <c r="N1044"/>
      <c r="O1044"/>
    </row>
    <row r="1045" spans="11:15" x14ac:dyDescent="0.25">
      <c r="K1045"/>
      <c r="L1045"/>
      <c r="M1045"/>
      <c r="N1045"/>
      <c r="O1045"/>
    </row>
    <row r="1046" spans="11:15" x14ac:dyDescent="0.25">
      <c r="K1046"/>
      <c r="L1046"/>
      <c r="M1046"/>
      <c r="N1046"/>
      <c r="O1046"/>
    </row>
    <row r="1047" spans="11:15" x14ac:dyDescent="0.25">
      <c r="K1047"/>
      <c r="L1047"/>
      <c r="M1047"/>
      <c r="N1047"/>
      <c r="O1047"/>
    </row>
    <row r="1048" spans="11:15" x14ac:dyDescent="0.25">
      <c r="K1048"/>
      <c r="L1048"/>
      <c r="M1048"/>
      <c r="N1048"/>
      <c r="O1048"/>
    </row>
    <row r="1049" spans="11:15" x14ac:dyDescent="0.25">
      <c r="K1049"/>
      <c r="L1049"/>
      <c r="M1049"/>
      <c r="N1049"/>
      <c r="O1049"/>
    </row>
    <row r="1050" spans="11:15" x14ac:dyDescent="0.25">
      <c r="K1050"/>
      <c r="L1050"/>
      <c r="M1050"/>
      <c r="N1050"/>
      <c r="O1050"/>
    </row>
    <row r="1051" spans="11:15" x14ac:dyDescent="0.25">
      <c r="K1051"/>
      <c r="L1051"/>
      <c r="M1051"/>
      <c r="N1051"/>
      <c r="O1051"/>
    </row>
    <row r="1052" spans="11:15" x14ac:dyDescent="0.25">
      <c r="K1052"/>
      <c r="L1052"/>
      <c r="M1052"/>
      <c r="N1052"/>
      <c r="O1052"/>
    </row>
    <row r="1053" spans="11:15" x14ac:dyDescent="0.25">
      <c r="K1053"/>
      <c r="L1053"/>
      <c r="M1053"/>
      <c r="N1053"/>
      <c r="O1053"/>
    </row>
    <row r="1054" spans="11:15" x14ac:dyDescent="0.25">
      <c r="K1054"/>
      <c r="L1054"/>
      <c r="M1054"/>
      <c r="N1054"/>
      <c r="O1054"/>
    </row>
    <row r="1055" spans="11:15" x14ac:dyDescent="0.25">
      <c r="K1055"/>
      <c r="L1055"/>
      <c r="M1055"/>
      <c r="N1055"/>
      <c r="O1055"/>
    </row>
    <row r="1056" spans="11:15" x14ac:dyDescent="0.25">
      <c r="K1056"/>
      <c r="L1056"/>
      <c r="M1056"/>
      <c r="N1056"/>
      <c r="O1056"/>
    </row>
    <row r="1057" spans="11:15" x14ac:dyDescent="0.25">
      <c r="K1057"/>
      <c r="L1057"/>
      <c r="M1057"/>
      <c r="N1057"/>
      <c r="O1057"/>
    </row>
    <row r="1058" spans="11:15" x14ac:dyDescent="0.25">
      <c r="K1058"/>
      <c r="L1058"/>
      <c r="M1058"/>
      <c r="N1058"/>
      <c r="O1058"/>
    </row>
    <row r="1059" spans="11:15" x14ac:dyDescent="0.25">
      <c r="K1059"/>
      <c r="L1059"/>
      <c r="M1059"/>
      <c r="N1059"/>
      <c r="O1059"/>
    </row>
    <row r="1060" spans="11:15" x14ac:dyDescent="0.25">
      <c r="K1060"/>
      <c r="L1060"/>
      <c r="M1060"/>
      <c r="N1060"/>
      <c r="O1060"/>
    </row>
    <row r="1061" spans="11:15" x14ac:dyDescent="0.25">
      <c r="K1061"/>
      <c r="L1061"/>
      <c r="M1061"/>
      <c r="N1061"/>
      <c r="O1061"/>
    </row>
    <row r="1062" spans="11:15" x14ac:dyDescent="0.25">
      <c r="K1062"/>
      <c r="L1062"/>
      <c r="M1062"/>
      <c r="N1062"/>
      <c r="O1062"/>
    </row>
    <row r="1063" spans="11:15" x14ac:dyDescent="0.25">
      <c r="K1063"/>
      <c r="L1063"/>
      <c r="M1063"/>
      <c r="N1063"/>
      <c r="O1063"/>
    </row>
  </sheetData>
  <sheetProtection sheet="1" objects="1" scenarios="1"/>
  <autoFilter ref="G25:G115" xr:uid="{00000000-0009-0000-0000-000001000000}"/>
  <pageMargins left="0.70866141732283472" right="0.51181102362204722" top="0.55118110236220474" bottom="0.55118110236220474" header="0.31496062992125984" footer="0.31496062992125984"/>
  <pageSetup paperSize="9" orientation="portrait" r:id="rId1"/>
  <colBreaks count="2" manualBreakCount="2">
    <brk id="9" max="1048575" man="1"/>
    <brk id="15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41" r:id="rId4" name="Drop Down 1">
              <controlPr defaultSize="0" print="0" autoLine="0" autoPict="0">
                <anchor moveWithCells="1">
                  <from>
                    <xdr:col>6</xdr:col>
                    <xdr:colOff>171450</xdr:colOff>
                    <xdr:row>13</xdr:row>
                    <xdr:rowOff>180975</xdr:rowOff>
                  </from>
                  <to>
                    <xdr:col>9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2" r:id="rId5" name="Check Box 2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13</xdr:row>
                    <xdr:rowOff>161925</xdr:rowOff>
                  </from>
                  <to>
                    <xdr:col>5</xdr:col>
                    <xdr:colOff>981075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3" r:id="rId6" name="Check Box 3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14</xdr:row>
                    <xdr:rowOff>161925</xdr:rowOff>
                  </from>
                  <to>
                    <xdr:col>5</xdr:col>
                    <xdr:colOff>981075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4" r:id="rId7" name="Drop Down 4">
              <controlPr defaultSize="0" print="0" autoLine="0" autoPict="0">
                <anchor moveWithCells="1">
                  <from>
                    <xdr:col>6</xdr:col>
                    <xdr:colOff>171450</xdr:colOff>
                    <xdr:row>15</xdr:row>
                    <xdr:rowOff>0</xdr:rowOff>
                  </from>
                  <to>
                    <xdr:col>9</xdr:col>
                    <xdr:colOff>9525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5" r:id="rId8" name="Check Box 5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15</xdr:row>
                    <xdr:rowOff>161925</xdr:rowOff>
                  </from>
                  <to>
                    <xdr:col>5</xdr:col>
                    <xdr:colOff>981075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6" r:id="rId9" name="Check Box 6">
              <controlPr defaultSize="0" print="0" autoFill="0" autoLine="0" autoPict="0">
                <anchor moveWithCells="1">
                  <from>
                    <xdr:col>6</xdr:col>
                    <xdr:colOff>161925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4"/>
  <dimension ref="A1:P1063"/>
  <sheetViews>
    <sheetView showGridLines="0" zoomScale="85" zoomScaleNormal="85" workbookViewId="0">
      <selection activeCell="C4" sqref="C4"/>
    </sheetView>
  </sheetViews>
  <sheetFormatPr defaultRowHeight="15" x14ac:dyDescent="0.25"/>
  <cols>
    <col min="1" max="1" width="2.7109375" style="1" customWidth="1"/>
    <col min="2" max="2" width="5.28515625" style="1" customWidth="1"/>
    <col min="3" max="3" width="9" style="1" customWidth="1"/>
    <col min="4" max="5" width="14.28515625" style="1" customWidth="1"/>
    <col min="6" max="6" width="14.85546875" style="1" customWidth="1"/>
    <col min="7" max="7" width="2.7109375" style="1" customWidth="1"/>
    <col min="8" max="8" width="9" style="1" customWidth="1"/>
    <col min="9" max="9" width="12.5703125" style="1" customWidth="1"/>
    <col min="10" max="10" width="2.7109375" style="1" customWidth="1"/>
    <col min="11" max="11" width="9.42578125" style="1" bestFit="1" customWidth="1"/>
    <col min="12" max="12" width="9" style="1" customWidth="1"/>
    <col min="13" max="13" width="14.28515625" style="1" customWidth="1"/>
    <col min="14" max="14" width="58.85546875" style="1" bestFit="1" customWidth="1"/>
    <col min="15" max="15" width="8.28515625" style="1" bestFit="1" customWidth="1"/>
    <col min="16" max="16" width="2.7109375" style="1" customWidth="1"/>
    <col min="17" max="17" width="87.140625" style="1" customWidth="1"/>
    <col min="18" max="16384" width="9.140625" style="1"/>
  </cols>
  <sheetData>
    <row r="1" spans="2:16" x14ac:dyDescent="0.25">
      <c r="B1" s="2" t="s">
        <v>3</v>
      </c>
      <c r="H1" s="38" t="s">
        <v>19</v>
      </c>
      <c r="I1" s="15"/>
      <c r="K1" s="12" t="s">
        <v>4</v>
      </c>
      <c r="L1" s="13"/>
      <c r="M1" s="12"/>
      <c r="N1" s="13"/>
      <c r="O1" s="14">
        <f>O3/(L3+O3)</f>
        <v>7.3333333333333334E-4</v>
      </c>
    </row>
    <row r="2" spans="2:16" ht="33" customHeight="1" x14ac:dyDescent="0.25">
      <c r="B2" s="3" t="str">
        <f>B24</f>
        <v>№</v>
      </c>
      <c r="C2" s="3" t="s">
        <v>1</v>
      </c>
      <c r="D2" s="3" t="s">
        <v>0</v>
      </c>
      <c r="E2" s="3" t="s">
        <v>10</v>
      </c>
      <c r="F2" s="4" t="s">
        <v>12</v>
      </c>
      <c r="H2" s="3" t="s">
        <v>1</v>
      </c>
      <c r="I2" s="3" t="s">
        <v>0</v>
      </c>
      <c r="K2" s="5" t="s">
        <v>1</v>
      </c>
      <c r="L2" s="5" t="s">
        <v>6</v>
      </c>
      <c r="M2" s="6" t="s">
        <v>11</v>
      </c>
      <c r="N2" s="5" t="s">
        <v>7</v>
      </c>
      <c r="O2" s="6" t="str">
        <f>"Отходы
"&amp;IF((L3+O3)&gt;0,TEXT(O3/(L3+O3),"0,00%"),"")</f>
        <v>Отходы
000%</v>
      </c>
    </row>
    <row r="3" spans="2:16" x14ac:dyDescent="0.25">
      <c r="B3" s="27"/>
      <c r="C3" s="27">
        <f>IF(COUNT(C4:C13)=COUNT(D4:D13),SUMPRODUCT(C4:C13,D4:D13),)</f>
        <v>0</v>
      </c>
      <c r="D3" s="23" t="str">
        <f>IF(COUNT(C4:C13)=COUNT(D4:D13),SUM(D4:D13),"много")</f>
        <v>много</v>
      </c>
      <c r="E3" s="23">
        <f>SUM(E4:E13)</f>
        <v>30</v>
      </c>
      <c r="F3" s="23" t="str">
        <f>IF(D3="много","много",D3-E3)</f>
        <v>много</v>
      </c>
      <c r="H3" s="27">
        <f>SUMPRODUCT(H4:H13,I4:I13)</f>
        <v>0</v>
      </c>
      <c r="I3" s="23" t="str">
        <f>IF(COUNT(H4:H13)=COUNT(I4:I13),SUM(I4:I13),"много")</f>
        <v>много</v>
      </c>
      <c r="K3" s="31">
        <f>SUMPRODUCT(K4:K1060,$M4:$M1060)</f>
        <v>180000</v>
      </c>
      <c r="L3" s="31">
        <f>SUMPRODUCT(L4:L1060,$M4:$M1060)</f>
        <v>179868</v>
      </c>
      <c r="M3" s="32">
        <f>SUM(M4:M1060)</f>
        <v>30</v>
      </c>
      <c r="N3" s="33"/>
      <c r="O3" s="31">
        <f t="array" ref="O3">SUM(IF((O4:O1060&lt;D17)+(D17=0),$M4:$M1060*O4:O1060))</f>
        <v>132</v>
      </c>
    </row>
    <row r="4" spans="2:16" x14ac:dyDescent="0.25">
      <c r="B4" s="36">
        <f>IF(N(C4)=0,"",1)</f>
        <v>1</v>
      </c>
      <c r="C4" s="48">
        <v>6000</v>
      </c>
      <c r="D4" s="9"/>
      <c r="E4" s="28">
        <f t="shared" ref="E4:E13" si="0">MIN(SUMIF(K$4:K$1060,C4,M$4:M$1060),D4)</f>
        <v>30</v>
      </c>
      <c r="F4" s="28">
        <f>IF(D4,D4-E4,)</f>
        <v>0</v>
      </c>
      <c r="H4" s="51">
        <v>6000</v>
      </c>
      <c r="I4" s="41"/>
      <c r="K4" s="66">
        <v>6000</v>
      </c>
      <c r="L4" s="65">
        <v>6000</v>
      </c>
      <c r="M4" s="72">
        <v>2</v>
      </c>
      <c r="N4" s="69" t="s">
        <v>65</v>
      </c>
      <c r="O4" s="65">
        <f t="shared" ref="O4:O18" si="1">K4-L4</f>
        <v>0</v>
      </c>
    </row>
    <row r="5" spans="2:16" x14ac:dyDescent="0.25">
      <c r="B5" s="34" t="str">
        <f>IF(N(C5)=0,"",IF(ISNUMBER(MATCH(C5,C$4:C4,)),INDEX(B$4:B4,MATCH(C5,C$4:C4,)),MAX(B$4:B4)+1))</f>
        <v/>
      </c>
      <c r="C5" s="49"/>
      <c r="D5" s="10"/>
      <c r="E5" s="29">
        <f t="shared" si="0"/>
        <v>0</v>
      </c>
      <c r="F5" s="29">
        <f>IF(D5,D5-E5,)</f>
        <v>0</v>
      </c>
      <c r="H5" s="52"/>
      <c r="I5" s="42"/>
      <c r="K5" s="67">
        <v>6000</v>
      </c>
      <c r="L5" s="45">
        <v>6000</v>
      </c>
      <c r="M5" s="73">
        <v>2</v>
      </c>
      <c r="N5" s="70" t="s">
        <v>66</v>
      </c>
      <c r="O5" s="45">
        <f t="shared" si="1"/>
        <v>0</v>
      </c>
    </row>
    <row r="6" spans="2:16" x14ac:dyDescent="0.25">
      <c r="B6" s="34" t="str">
        <f>IF(N(C6)=0,"",IF(ISNUMBER(MATCH(C6,C$4:C5,)),INDEX(B$4:B5,MATCH(C6,C$4:C5,)),MAX(B$4:B5)+1))</f>
        <v/>
      </c>
      <c r="C6" s="49"/>
      <c r="D6" s="10"/>
      <c r="E6" s="29">
        <f t="shared" si="0"/>
        <v>0</v>
      </c>
      <c r="F6" s="29">
        <f t="shared" ref="F6:F11" si="2">IF(D6,D6-E6,)</f>
        <v>0</v>
      </c>
      <c r="H6" s="52"/>
      <c r="I6" s="42"/>
      <c r="K6" s="67">
        <v>6000</v>
      </c>
      <c r="L6" s="45">
        <v>6000</v>
      </c>
      <c r="M6" s="73">
        <v>2</v>
      </c>
      <c r="N6" s="70" t="s">
        <v>67</v>
      </c>
      <c r="O6" s="45">
        <f t="shared" si="1"/>
        <v>0</v>
      </c>
    </row>
    <row r="7" spans="2:16" x14ac:dyDescent="0.25">
      <c r="B7" s="34" t="str">
        <f>IF(N(C7)=0,"",IF(ISNUMBER(MATCH(C7,C$4:C6,)),INDEX(B$4:B6,MATCH(C7,C$4:C6,)),MAX(B$4:B6)+1))</f>
        <v/>
      </c>
      <c r="C7" s="49"/>
      <c r="D7" s="10"/>
      <c r="E7" s="29">
        <f t="shared" si="0"/>
        <v>0</v>
      </c>
      <c r="F7" s="29">
        <f t="shared" si="2"/>
        <v>0</v>
      </c>
      <c r="H7" s="52"/>
      <c r="I7" s="42"/>
      <c r="K7" s="67">
        <v>6000</v>
      </c>
      <c r="L7" s="45">
        <v>6000</v>
      </c>
      <c r="M7" s="73">
        <v>2</v>
      </c>
      <c r="N7" s="70" t="s">
        <v>68</v>
      </c>
      <c r="O7" s="45">
        <f t="shared" si="1"/>
        <v>0</v>
      </c>
    </row>
    <row r="8" spans="2:16" x14ac:dyDescent="0.25">
      <c r="B8" s="34" t="str">
        <f>IF(N(C8)=0,"",IF(ISNUMBER(MATCH(C8,C$4:C7,)),INDEX(B$4:B7,MATCH(C8,C$4:C7,)),MAX(B$4:B7)+1))</f>
        <v/>
      </c>
      <c r="C8" s="49"/>
      <c r="D8" s="10"/>
      <c r="E8" s="29">
        <f t="shared" si="0"/>
        <v>0</v>
      </c>
      <c r="F8" s="29">
        <f t="shared" si="2"/>
        <v>0</v>
      </c>
      <c r="H8" s="52"/>
      <c r="I8" s="42"/>
      <c r="K8" s="67">
        <v>6000</v>
      </c>
      <c r="L8" s="45">
        <v>6000</v>
      </c>
      <c r="M8" s="73">
        <v>2</v>
      </c>
      <c r="N8" s="70" t="s">
        <v>69</v>
      </c>
      <c r="O8" s="45">
        <f t="shared" si="1"/>
        <v>0</v>
      </c>
    </row>
    <row r="9" spans="2:16" x14ac:dyDescent="0.25">
      <c r="B9" s="34" t="str">
        <f>IF(N(C9)=0,"",IF(ISNUMBER(MATCH(C9,C$4:C8,)),INDEX(B$4:B8,MATCH(C9,C$4:C8,)),MAX(B$4:B8)+1))</f>
        <v/>
      </c>
      <c r="C9" s="49"/>
      <c r="D9" s="10"/>
      <c r="E9" s="29">
        <f t="shared" si="0"/>
        <v>0</v>
      </c>
      <c r="F9" s="29">
        <f t="shared" si="2"/>
        <v>0</v>
      </c>
      <c r="H9" s="52"/>
      <c r="I9" s="42"/>
      <c r="K9" s="67">
        <v>6000</v>
      </c>
      <c r="L9" s="45">
        <v>6000</v>
      </c>
      <c r="M9" s="73">
        <v>2</v>
      </c>
      <c r="N9" s="70" t="s">
        <v>70</v>
      </c>
      <c r="O9" s="45">
        <f t="shared" si="1"/>
        <v>0</v>
      </c>
    </row>
    <row r="10" spans="2:16" x14ac:dyDescent="0.25">
      <c r="B10" s="34" t="str">
        <f>IF(N(C10)=0,"",IF(ISNUMBER(MATCH(C10,C$4:C9,)),INDEX(B$4:B9,MATCH(C10,C$4:C9,)),MAX(B$4:B9)+1))</f>
        <v/>
      </c>
      <c r="C10" s="49"/>
      <c r="D10" s="10"/>
      <c r="E10" s="29">
        <f t="shared" si="0"/>
        <v>0</v>
      </c>
      <c r="F10" s="29">
        <f t="shared" si="2"/>
        <v>0</v>
      </c>
      <c r="H10" s="52"/>
      <c r="I10" s="42"/>
      <c r="K10" s="67">
        <v>6000</v>
      </c>
      <c r="L10" s="45">
        <v>5998</v>
      </c>
      <c r="M10" s="73">
        <v>2</v>
      </c>
      <c r="N10" s="70" t="s">
        <v>55</v>
      </c>
      <c r="O10" s="45">
        <f t="shared" si="1"/>
        <v>2</v>
      </c>
    </row>
    <row r="11" spans="2:16" x14ac:dyDescent="0.25">
      <c r="B11" s="34" t="str">
        <f>IF(N(C11)=0,"",IF(ISNUMBER(MATCH(C11,C$4:C10,)),INDEX(B$4:B10,MATCH(C11,C$4:C10,)),MAX(B$4:B10)+1))</f>
        <v/>
      </c>
      <c r="C11" s="49"/>
      <c r="D11" s="10"/>
      <c r="E11" s="29">
        <f t="shared" si="0"/>
        <v>0</v>
      </c>
      <c r="F11" s="29">
        <f t="shared" si="2"/>
        <v>0</v>
      </c>
      <c r="H11" s="52"/>
      <c r="I11" s="42"/>
      <c r="K11" s="67">
        <v>6000</v>
      </c>
      <c r="L11" s="45">
        <v>5994</v>
      </c>
      <c r="M11" s="73">
        <v>2</v>
      </c>
      <c r="N11" s="70" t="s">
        <v>32</v>
      </c>
      <c r="O11" s="45">
        <f t="shared" si="1"/>
        <v>6</v>
      </c>
    </row>
    <row r="12" spans="2:16" x14ac:dyDescent="0.25">
      <c r="B12" s="34" t="str">
        <f>IF(N(C12)=0,"",IF(ISNUMBER(MATCH(C12,C$4:C11,)),INDEX(B$4:B11,MATCH(C12,C$4:C11,)),MAX(B$4:B11)+1))</f>
        <v/>
      </c>
      <c r="C12" s="49"/>
      <c r="D12" s="10"/>
      <c r="E12" s="29">
        <f t="shared" si="0"/>
        <v>0</v>
      </c>
      <c r="F12" s="29">
        <f>IF(D12,D12-E12,)</f>
        <v>0</v>
      </c>
      <c r="H12" s="52"/>
      <c r="I12" s="42"/>
      <c r="K12" s="67">
        <v>6000</v>
      </c>
      <c r="L12" s="45">
        <v>5994</v>
      </c>
      <c r="M12" s="73">
        <v>2</v>
      </c>
      <c r="N12" s="70" t="s">
        <v>33</v>
      </c>
      <c r="O12" s="45">
        <f t="shared" si="1"/>
        <v>6</v>
      </c>
    </row>
    <row r="13" spans="2:16" x14ac:dyDescent="0.25">
      <c r="B13" s="35" t="str">
        <f>IF(N(C13)=0,"",IF(ISNUMBER(MATCH(C13,C$4:C12,)),INDEX(B$4:B12,MATCH(C13,C$4:C12,)),MAX(B$4:B12)+1))</f>
        <v/>
      </c>
      <c r="C13" s="50"/>
      <c r="D13" s="11"/>
      <c r="E13" s="30">
        <f t="shared" si="0"/>
        <v>0</v>
      </c>
      <c r="F13" s="30">
        <f>IF(D13,D13-E13,)</f>
        <v>0</v>
      </c>
      <c r="H13" s="53"/>
      <c r="I13" s="43"/>
      <c r="K13" s="67">
        <v>6000</v>
      </c>
      <c r="L13" s="45">
        <v>5994</v>
      </c>
      <c r="M13" s="73">
        <v>2</v>
      </c>
      <c r="N13" s="70" t="s">
        <v>71</v>
      </c>
      <c r="O13" s="45">
        <f t="shared" si="1"/>
        <v>6</v>
      </c>
    </row>
    <row r="14" spans="2:16" x14ac:dyDescent="0.25">
      <c r="J14" s="15"/>
      <c r="K14" s="67">
        <v>6000</v>
      </c>
      <c r="L14" s="45">
        <v>5994</v>
      </c>
      <c r="M14" s="73">
        <v>2</v>
      </c>
      <c r="N14" s="70" t="s">
        <v>72</v>
      </c>
      <c r="O14" s="45">
        <f t="shared" si="1"/>
        <v>6</v>
      </c>
      <c r="P14" s="15"/>
    </row>
    <row r="15" spans="2:16" x14ac:dyDescent="0.25">
      <c r="B15" s="2" t="s">
        <v>13</v>
      </c>
      <c r="D15" s="37">
        <v>10</v>
      </c>
      <c r="E15" s="21" t="b">
        <v>1</v>
      </c>
      <c r="G15" s="17" t="s">
        <v>40</v>
      </c>
      <c r="H15" s="21">
        <v>5</v>
      </c>
      <c r="I15" s="17"/>
      <c r="J15" s="15"/>
      <c r="K15" s="67">
        <v>6000</v>
      </c>
      <c r="L15" s="45">
        <v>5994</v>
      </c>
      <c r="M15" s="73">
        <v>2</v>
      </c>
      <c r="N15" s="70" t="s">
        <v>73</v>
      </c>
      <c r="O15" s="45">
        <f t="shared" si="1"/>
        <v>6</v>
      </c>
      <c r="P15" s="15"/>
    </row>
    <row r="16" spans="2:16" x14ac:dyDescent="0.25">
      <c r="B16" s="38" t="s">
        <v>17</v>
      </c>
      <c r="C16" s="15"/>
      <c r="D16" s="39">
        <v>10</v>
      </c>
      <c r="E16" s="22" t="b">
        <v>1</v>
      </c>
      <c r="G16" s="17" t="s">
        <v>41</v>
      </c>
      <c r="H16" s="21">
        <v>1</v>
      </c>
      <c r="I16" s="17"/>
      <c r="J16" s="15"/>
      <c r="K16" s="67">
        <v>6000</v>
      </c>
      <c r="L16" s="45">
        <v>5994</v>
      </c>
      <c r="M16" s="73">
        <v>2</v>
      </c>
      <c r="N16" s="70" t="s">
        <v>74</v>
      </c>
      <c r="O16" s="45">
        <f t="shared" si="1"/>
        <v>6</v>
      </c>
      <c r="P16" s="15"/>
    </row>
    <row r="17" spans="1:16" x14ac:dyDescent="0.25">
      <c r="B17" s="38" t="s">
        <v>18</v>
      </c>
      <c r="C17" s="15"/>
      <c r="D17" s="39">
        <v>1000</v>
      </c>
      <c r="E17" s="22" t="b">
        <v>1</v>
      </c>
      <c r="F17" s="22" t="b">
        <v>0</v>
      </c>
      <c r="G17" s="17" t="s">
        <v>42</v>
      </c>
      <c r="I17" s="17"/>
      <c r="J17" s="15"/>
      <c r="K17" s="67">
        <v>6000</v>
      </c>
      <c r="L17" s="45">
        <v>5994</v>
      </c>
      <c r="M17" s="73">
        <v>2</v>
      </c>
      <c r="N17" s="70" t="s">
        <v>75</v>
      </c>
      <c r="O17" s="45">
        <f t="shared" si="1"/>
        <v>6</v>
      </c>
      <c r="P17" s="15"/>
    </row>
    <row r="18" spans="1:16" x14ac:dyDescent="0.25">
      <c r="B18" s="38"/>
      <c r="C18" s="15"/>
      <c r="D18" s="40"/>
      <c r="E18" s="22"/>
      <c r="G18" s="17" t="s">
        <v>43</v>
      </c>
      <c r="H18" s="15"/>
      <c r="I18" s="17"/>
      <c r="J18" s="15"/>
      <c r="K18" s="68">
        <v>6000</v>
      </c>
      <c r="L18" s="46">
        <v>5978</v>
      </c>
      <c r="M18" s="74">
        <v>2</v>
      </c>
      <c r="N18" s="71" t="s">
        <v>38</v>
      </c>
      <c r="O18" s="46">
        <f t="shared" si="1"/>
        <v>22</v>
      </c>
      <c r="P18" s="15"/>
    </row>
    <row r="19" spans="1:16" x14ac:dyDescent="0.25">
      <c r="B19" s="38"/>
      <c r="C19" s="15"/>
      <c r="D19" s="40"/>
      <c r="E19" s="22"/>
      <c r="G19" s="17" t="s">
        <v>44</v>
      </c>
      <c r="H19" s="15"/>
      <c r="I19" s="16"/>
      <c r="J19" s="15"/>
      <c r="K19"/>
      <c r="L19"/>
      <c r="M19"/>
      <c r="N19"/>
      <c r="O19"/>
      <c r="P19" s="15"/>
    </row>
    <row r="20" spans="1:16" x14ac:dyDescent="0.25">
      <c r="B20" s="38"/>
      <c r="C20" s="15"/>
      <c r="D20" s="40"/>
      <c r="E20" s="22"/>
      <c r="H20" s="15"/>
      <c r="I20" s="16"/>
      <c r="J20" s="15"/>
      <c r="K20"/>
      <c r="L20"/>
      <c r="M20"/>
      <c r="N20"/>
      <c r="O20"/>
      <c r="P20" s="15"/>
    </row>
    <row r="21" spans="1:16" x14ac:dyDescent="0.25">
      <c r="B21" s="38"/>
      <c r="C21" s="15"/>
      <c r="D21" s="40"/>
      <c r="E21" s="22"/>
      <c r="H21" s="15"/>
      <c r="I21" s="16"/>
      <c r="J21" s="15"/>
      <c r="K21"/>
      <c r="L21"/>
      <c r="M21"/>
      <c r="N21"/>
      <c r="O21"/>
      <c r="P21" s="15"/>
    </row>
    <row r="22" spans="1:16" x14ac:dyDescent="0.25">
      <c r="B22" s="38"/>
      <c r="C22" s="15"/>
      <c r="D22" s="40"/>
      <c r="E22" s="22"/>
      <c r="H22" s="15"/>
      <c r="I22" s="16"/>
      <c r="J22" s="15"/>
      <c r="K22"/>
      <c r="L22"/>
      <c r="M22"/>
      <c r="N22"/>
      <c r="O22"/>
      <c r="P22" s="15"/>
    </row>
    <row r="23" spans="1:16" x14ac:dyDescent="0.25">
      <c r="B23" s="2" t="s">
        <v>2</v>
      </c>
      <c r="H23" s="2" t="s">
        <v>5</v>
      </c>
      <c r="I23" s="2"/>
      <c r="J23" s="15"/>
      <c r="K23"/>
      <c r="L23"/>
      <c r="M23"/>
      <c r="N23"/>
      <c r="O23"/>
      <c r="P23" s="15"/>
    </row>
    <row r="24" spans="1:16" x14ac:dyDescent="0.25">
      <c r="B24" s="3" t="s">
        <v>14</v>
      </c>
      <c r="C24" s="3" t="s">
        <v>1</v>
      </c>
      <c r="D24" s="3" t="s">
        <v>0</v>
      </c>
      <c r="E24" s="3" t="s">
        <v>8</v>
      </c>
      <c r="F24" s="4" t="s">
        <v>9</v>
      </c>
      <c r="H24" s="3" t="s">
        <v>1</v>
      </c>
      <c r="I24" s="3" t="s">
        <v>0</v>
      </c>
      <c r="J24" s="15"/>
      <c r="K24"/>
      <c r="L24"/>
      <c r="M24"/>
      <c r="N24"/>
      <c r="O24"/>
      <c r="P24" s="15"/>
    </row>
    <row r="25" spans="1:16" x14ac:dyDescent="0.25">
      <c r="B25" s="27"/>
      <c r="C25" s="27">
        <f>IF(D25="много","много",SUMPRODUCT(C26:C115,D26:D115))</f>
        <v>178288</v>
      </c>
      <c r="D25" s="23">
        <f t="array" ref="D25">IF(OR((D26:D115="")+(C26:C115="")=1),"много",SUM(D26:D115))</f>
        <v>128</v>
      </c>
      <c r="E25" s="23">
        <f>SUM(E26:E115)</f>
        <v>128</v>
      </c>
      <c r="F25" s="23">
        <f>IF(D25="много","много",SUM(F26:F115))</f>
        <v>0</v>
      </c>
      <c r="H25" s="27">
        <f>SUMPRODUCT(H26:H115,I26:I115)</f>
        <v>0</v>
      </c>
      <c r="I25" s="23">
        <f>SUM(I26:I115)</f>
        <v>0</v>
      </c>
      <c r="J25" s="15"/>
      <c r="K25"/>
      <c r="L25"/>
      <c r="M25"/>
      <c r="N25"/>
      <c r="O25"/>
      <c r="P25" s="15"/>
    </row>
    <row r="26" spans="1:16" x14ac:dyDescent="0.25">
      <c r="A26" s="17">
        <v>2</v>
      </c>
      <c r="B26" s="36">
        <f>IF(N(C26)=0,"",1)</f>
        <v>1</v>
      </c>
      <c r="C26" s="54">
        <v>636</v>
      </c>
      <c r="D26" s="44">
        <v>2</v>
      </c>
      <c r="E26" s="24">
        <f t="shared" ref="E26:E89" si="3">IF($K$3=0,0,IF(ISNA(VLOOKUP(C26,H$26:I$115,2,))*C26,D26,IF(C26="","",IF(D26="",TRUNC($C$3/C26)-VLOOKUP(C26,H$26:I$115,2,),D26-VLOOKUP(C26,H$26:I$115,2,)))))</f>
        <v>2</v>
      </c>
      <c r="F26" s="24">
        <f t="shared" ref="F26:F89" si="4">IF($K$3=0,"",IF(AND(C26&lt;&gt;"",D26&lt;&gt;""),D26-E26,IF(D26="","",TRUNC($C$3/C26)-VLOOKUP(C26,H$26:I$115,2,))))</f>
        <v>0</v>
      </c>
      <c r="G26" s="47">
        <f>--(C26+H26+K26&gt;0)</f>
        <v>1</v>
      </c>
      <c r="H26" s="51"/>
      <c r="I26" s="18"/>
      <c r="J26" s="15"/>
      <c r="K26"/>
      <c r="L26"/>
      <c r="M26"/>
      <c r="N26"/>
      <c r="O26"/>
      <c r="P26" s="15"/>
    </row>
    <row r="27" spans="1:16" x14ac:dyDescent="0.25">
      <c r="A27" s="17">
        <v>3</v>
      </c>
      <c r="B27" s="34">
        <f>IF(N(C27)=0,"",IF(ISNUMBER(MATCH(C27,C$26:C26,)),INDEX(B$26:B26,MATCH(C27,C$26:C26,)),MAX(B$26:B26)+1))</f>
        <v>2</v>
      </c>
      <c r="C27" s="55">
        <v>666</v>
      </c>
      <c r="D27" s="7">
        <v>2</v>
      </c>
      <c r="E27" s="25">
        <f t="shared" si="3"/>
        <v>2</v>
      </c>
      <c r="F27" s="25">
        <f t="shared" si="4"/>
        <v>0</v>
      </c>
      <c r="G27" s="47">
        <f t="shared" ref="G27:G90" si="5">--(C27+H27+K27&gt;0)</f>
        <v>1</v>
      </c>
      <c r="H27" s="52"/>
      <c r="I27" s="19"/>
      <c r="J27" s="15"/>
      <c r="K27"/>
      <c r="L27"/>
      <c r="M27"/>
      <c r="N27"/>
      <c r="O27"/>
      <c r="P27" s="15"/>
    </row>
    <row r="28" spans="1:16" x14ac:dyDescent="0.25">
      <c r="A28" s="17">
        <v>4</v>
      </c>
      <c r="B28" s="34">
        <f>IF(N(C28)=0,"",IF(ISNUMBER(MATCH(C28,C$26:C27,)),INDEX(B$26:B27,MATCH(C28,C$26:C27,)),MAX(B$26:B27)+1))</f>
        <v>3</v>
      </c>
      <c r="C28" s="55">
        <v>676</v>
      </c>
      <c r="D28" s="7">
        <v>2</v>
      </c>
      <c r="E28" s="25">
        <f t="shared" si="3"/>
        <v>2</v>
      </c>
      <c r="F28" s="25">
        <f t="shared" si="4"/>
        <v>0</v>
      </c>
      <c r="G28" s="47">
        <f t="shared" si="5"/>
        <v>1</v>
      </c>
      <c r="H28" s="52"/>
      <c r="I28" s="19"/>
      <c r="J28" s="15"/>
      <c r="K28"/>
      <c r="L28"/>
      <c r="M28"/>
      <c r="N28"/>
      <c r="O28"/>
      <c r="P28" s="15"/>
    </row>
    <row r="29" spans="1:16" x14ac:dyDescent="0.25">
      <c r="A29" s="17">
        <v>5</v>
      </c>
      <c r="B29" s="34">
        <f>IF(N(C29)=0,"",IF(ISNUMBER(MATCH(C29,C$26:C28,)),INDEX(B$26:B28,MATCH(C29,C$26:C28,)),MAX(B$26:B28)+1))</f>
        <v>4</v>
      </c>
      <c r="C29" s="55">
        <v>686</v>
      </c>
      <c r="D29" s="7">
        <v>2</v>
      </c>
      <c r="E29" s="25">
        <f t="shared" si="3"/>
        <v>2</v>
      </c>
      <c r="F29" s="25">
        <f t="shared" si="4"/>
        <v>0</v>
      </c>
      <c r="G29" s="47">
        <f t="shared" si="5"/>
        <v>1</v>
      </c>
      <c r="H29" s="52"/>
      <c r="I29" s="19"/>
      <c r="J29" s="15"/>
      <c r="K29"/>
      <c r="L29"/>
      <c r="M29"/>
      <c r="N29"/>
      <c r="O29"/>
      <c r="P29" s="15"/>
    </row>
    <row r="30" spans="1:16" x14ac:dyDescent="0.25">
      <c r="A30" s="17">
        <v>6</v>
      </c>
      <c r="B30" s="34">
        <f>IF(N(C30)=0,"",IF(ISNUMBER(MATCH(C30,C$26:C29,)),INDEX(B$26:B29,MATCH(C30,C$26:C29,)),MAX(B$26:B29)+1))</f>
        <v>5</v>
      </c>
      <c r="C30" s="55">
        <v>696</v>
      </c>
      <c r="D30" s="7">
        <v>2</v>
      </c>
      <c r="E30" s="25">
        <f t="shared" si="3"/>
        <v>2</v>
      </c>
      <c r="F30" s="25">
        <f t="shared" si="4"/>
        <v>0</v>
      </c>
      <c r="G30" s="47">
        <f t="shared" si="5"/>
        <v>1</v>
      </c>
      <c r="H30" s="52"/>
      <c r="I30" s="19"/>
      <c r="J30" s="15"/>
      <c r="K30"/>
      <c r="L30"/>
      <c r="M30"/>
      <c r="N30"/>
      <c r="O30"/>
      <c r="P30" s="15"/>
    </row>
    <row r="31" spans="1:16" x14ac:dyDescent="0.25">
      <c r="A31" s="17">
        <v>7</v>
      </c>
      <c r="B31" s="34">
        <f>IF(N(C31)=0,"",IF(ISNUMBER(MATCH(C31,C$26:C30,)),INDEX(B$26:B30,MATCH(C31,C$26:C30,)),MAX(B$26:B30)+1))</f>
        <v>6</v>
      </c>
      <c r="C31" s="55">
        <v>706</v>
      </c>
      <c r="D31" s="7">
        <v>2</v>
      </c>
      <c r="E31" s="25">
        <f t="shared" si="3"/>
        <v>2</v>
      </c>
      <c r="F31" s="25">
        <f t="shared" si="4"/>
        <v>0</v>
      </c>
      <c r="G31" s="47">
        <f t="shared" si="5"/>
        <v>1</v>
      </c>
      <c r="H31" s="52"/>
      <c r="I31" s="19"/>
      <c r="J31" s="15"/>
      <c r="K31"/>
      <c r="L31"/>
      <c r="M31"/>
      <c r="N31"/>
      <c r="O31"/>
      <c r="P31" s="15"/>
    </row>
    <row r="32" spans="1:16" x14ac:dyDescent="0.25">
      <c r="A32" s="17">
        <v>8</v>
      </c>
      <c r="B32" s="34">
        <f>IF(N(C32)=0,"",IF(ISNUMBER(MATCH(C32,C$26:C31,)),INDEX(B$26:B31,MATCH(C32,C$26:C31,)),MAX(B$26:B31)+1))</f>
        <v>7</v>
      </c>
      <c r="C32" s="55">
        <v>866</v>
      </c>
      <c r="D32" s="7">
        <v>2</v>
      </c>
      <c r="E32" s="25">
        <f t="shared" si="3"/>
        <v>2</v>
      </c>
      <c r="F32" s="25">
        <f t="shared" si="4"/>
        <v>0</v>
      </c>
      <c r="G32" s="47">
        <f t="shared" si="5"/>
        <v>1</v>
      </c>
      <c r="H32" s="52"/>
      <c r="I32" s="19"/>
      <c r="J32" s="15"/>
      <c r="K32"/>
      <c r="L32"/>
      <c r="M32"/>
      <c r="N32"/>
      <c r="O32"/>
      <c r="P32" s="15"/>
    </row>
    <row r="33" spans="1:16" x14ac:dyDescent="0.25">
      <c r="A33" s="17">
        <v>16</v>
      </c>
      <c r="B33" s="34">
        <f>IF(N(C33)=0,"",IF(ISNUMBER(MATCH(C33,C$26:C32,)),INDEX(B$26:B32,MATCH(C33,C$26:C32,)),MAX(B$26:B32)+1))</f>
        <v>8</v>
      </c>
      <c r="C33" s="55">
        <v>1066</v>
      </c>
      <c r="D33" s="7">
        <v>6</v>
      </c>
      <c r="E33" s="25">
        <f t="shared" si="3"/>
        <v>6</v>
      </c>
      <c r="F33" s="25">
        <f t="shared" si="4"/>
        <v>0</v>
      </c>
      <c r="G33" s="47">
        <f t="shared" si="5"/>
        <v>1</v>
      </c>
      <c r="H33" s="52"/>
      <c r="I33" s="19"/>
      <c r="J33" s="15"/>
      <c r="K33"/>
      <c r="L33"/>
      <c r="M33"/>
      <c r="N33"/>
      <c r="O33"/>
      <c r="P33" s="15"/>
    </row>
    <row r="34" spans="1:16" x14ac:dyDescent="0.25">
      <c r="A34" s="17">
        <v>17</v>
      </c>
      <c r="B34" s="34">
        <f>IF(N(C34)=0,"",IF(ISNUMBER(MATCH(C34,C$26:C33,)),INDEX(B$26:B33,MATCH(C34,C$26:C33,)),MAX(B$26:B33)+1))</f>
        <v>9</v>
      </c>
      <c r="C34" s="55">
        <v>1126</v>
      </c>
      <c r="D34" s="7">
        <v>2</v>
      </c>
      <c r="E34" s="25">
        <f t="shared" si="3"/>
        <v>2</v>
      </c>
      <c r="F34" s="25">
        <f t="shared" si="4"/>
        <v>0</v>
      </c>
      <c r="G34" s="47">
        <f t="shared" si="5"/>
        <v>1</v>
      </c>
      <c r="H34" s="52"/>
      <c r="I34" s="19"/>
      <c r="J34" s="15"/>
      <c r="K34"/>
      <c r="L34"/>
      <c r="M34"/>
      <c r="N34"/>
      <c r="O34"/>
      <c r="P34" s="15"/>
    </row>
    <row r="35" spans="1:16" x14ac:dyDescent="0.25">
      <c r="A35" s="17">
        <v>18</v>
      </c>
      <c r="B35" s="34">
        <f>IF(N(C35)=0,"",IF(ISNUMBER(MATCH(C35,C$26:C34,)),INDEX(B$26:B34,MATCH(C35,C$26:C34,)),MAX(B$26:B34)+1))</f>
        <v>10</v>
      </c>
      <c r="C35" s="55">
        <v>1136</v>
      </c>
      <c r="D35" s="7">
        <v>2</v>
      </c>
      <c r="E35" s="25">
        <f t="shared" si="3"/>
        <v>2</v>
      </c>
      <c r="F35" s="25">
        <f t="shared" si="4"/>
        <v>0</v>
      </c>
      <c r="G35" s="47">
        <f t="shared" si="5"/>
        <v>1</v>
      </c>
      <c r="H35" s="52"/>
      <c r="I35" s="19"/>
      <c r="J35" s="15"/>
      <c r="K35"/>
      <c r="L35"/>
      <c r="M35"/>
      <c r="N35"/>
      <c r="O35"/>
      <c r="P35" s="15"/>
    </row>
    <row r="36" spans="1:16" x14ac:dyDescent="0.25">
      <c r="A36" s="17">
        <v>19</v>
      </c>
      <c r="B36" s="34">
        <f>IF(N(C36)=0,"",IF(ISNUMBER(MATCH(C36,C$26:C35,)),INDEX(B$26:B35,MATCH(C36,C$26:C35,)),MAX(B$26:B35)+1))</f>
        <v>11</v>
      </c>
      <c r="C36" s="55">
        <v>1166</v>
      </c>
      <c r="D36" s="7">
        <v>2</v>
      </c>
      <c r="E36" s="25">
        <f t="shared" si="3"/>
        <v>2</v>
      </c>
      <c r="F36" s="25">
        <f t="shared" si="4"/>
        <v>0</v>
      </c>
      <c r="G36" s="47">
        <f t="shared" si="5"/>
        <v>1</v>
      </c>
      <c r="H36" s="52"/>
      <c r="I36" s="19"/>
      <c r="J36" s="15"/>
      <c r="K36"/>
      <c r="L36"/>
      <c r="M36"/>
      <c r="N36"/>
      <c r="O36"/>
      <c r="P36" s="15"/>
    </row>
    <row r="37" spans="1:16" x14ac:dyDescent="0.25">
      <c r="A37" s="17">
        <v>20</v>
      </c>
      <c r="B37" s="34">
        <f>IF(N(C37)=0,"",IF(ISNUMBER(MATCH(C37,C$26:C36,)),INDEX(B$26:B36,MATCH(C37,C$26:C36,)),MAX(B$26:B36)+1))</f>
        <v>12</v>
      </c>
      <c r="C37" s="55">
        <v>1256</v>
      </c>
      <c r="D37" s="7">
        <v>2</v>
      </c>
      <c r="E37" s="25">
        <f t="shared" si="3"/>
        <v>2</v>
      </c>
      <c r="F37" s="25">
        <f t="shared" si="4"/>
        <v>0</v>
      </c>
      <c r="G37" s="47">
        <f t="shared" si="5"/>
        <v>1</v>
      </c>
      <c r="H37" s="52"/>
      <c r="I37" s="19"/>
      <c r="J37" s="15"/>
      <c r="K37"/>
      <c r="L37"/>
      <c r="M37"/>
      <c r="N37"/>
      <c r="O37"/>
      <c r="P37" s="15"/>
    </row>
    <row r="38" spans="1:16" x14ac:dyDescent="0.25">
      <c r="A38" s="17">
        <v>21</v>
      </c>
      <c r="B38" s="34">
        <f>IF(N(C38)=0,"",IF(ISNUMBER(MATCH(C38,C$26:C37,)),INDEX(B$26:B37,MATCH(C38,C$26:C37,)),MAX(B$26:B37)+1))</f>
        <v>13</v>
      </c>
      <c r="C38" s="55">
        <v>1266</v>
      </c>
      <c r="D38" s="7">
        <v>2</v>
      </c>
      <c r="E38" s="25">
        <f t="shared" si="3"/>
        <v>2</v>
      </c>
      <c r="F38" s="25">
        <f t="shared" si="4"/>
        <v>0</v>
      </c>
      <c r="G38" s="47">
        <f t="shared" si="5"/>
        <v>1</v>
      </c>
      <c r="H38" s="52"/>
      <c r="I38" s="19"/>
      <c r="J38" s="15"/>
      <c r="K38"/>
      <c r="L38"/>
      <c r="M38"/>
      <c r="N38"/>
      <c r="O38"/>
      <c r="P38" s="15"/>
    </row>
    <row r="39" spans="1:16" x14ac:dyDescent="0.25">
      <c r="A39" s="17">
        <v>22</v>
      </c>
      <c r="B39" s="34">
        <f>IF(N(C39)=0,"",IF(ISNUMBER(MATCH(C39,C$26:C38,)),INDEX(B$26:B38,MATCH(C39,C$26:C38,)),MAX(B$26:B38)+1))</f>
        <v>14</v>
      </c>
      <c r="C39" s="55">
        <v>1276</v>
      </c>
      <c r="D39" s="7">
        <v>2</v>
      </c>
      <c r="E39" s="25">
        <f t="shared" si="3"/>
        <v>2</v>
      </c>
      <c r="F39" s="25">
        <f t="shared" si="4"/>
        <v>0</v>
      </c>
      <c r="G39" s="47">
        <f t="shared" si="5"/>
        <v>1</v>
      </c>
      <c r="H39" s="52"/>
      <c r="I39" s="19"/>
      <c r="J39" s="15"/>
      <c r="K39"/>
      <c r="L39"/>
      <c r="M39"/>
      <c r="N39"/>
      <c r="O39"/>
      <c r="P39" s="15"/>
    </row>
    <row r="40" spans="1:16" x14ac:dyDescent="0.25">
      <c r="A40" s="17">
        <v>23</v>
      </c>
      <c r="B40" s="34">
        <f>IF(N(C40)=0,"",IF(ISNUMBER(MATCH(C40,C$26:C39,)),INDEX(B$26:B39,MATCH(C40,C$26:C39,)),MAX(B$26:B39)+1))</f>
        <v>15</v>
      </c>
      <c r="C40" s="55">
        <v>1306</v>
      </c>
      <c r="D40" s="7">
        <v>10</v>
      </c>
      <c r="E40" s="25">
        <f t="shared" si="3"/>
        <v>10</v>
      </c>
      <c r="F40" s="25">
        <f t="shared" si="4"/>
        <v>0</v>
      </c>
      <c r="G40" s="47">
        <f t="shared" si="5"/>
        <v>1</v>
      </c>
      <c r="H40" s="52"/>
      <c r="I40" s="19"/>
      <c r="J40" s="15"/>
      <c r="K40"/>
      <c r="L40"/>
      <c r="M40"/>
      <c r="N40"/>
      <c r="O40"/>
      <c r="P40" s="15"/>
    </row>
    <row r="41" spans="1:16" x14ac:dyDescent="0.25">
      <c r="A41" s="17">
        <v>24</v>
      </c>
      <c r="B41" s="34">
        <f>IF(N(C41)=0,"",IF(ISNUMBER(MATCH(C41,C$26:C40,)),INDEX(B$26:B40,MATCH(C41,C$26:C40,)),MAX(B$26:B40)+1))</f>
        <v>16</v>
      </c>
      <c r="C41" s="55">
        <v>1316</v>
      </c>
      <c r="D41" s="7">
        <v>2</v>
      </c>
      <c r="E41" s="25">
        <f t="shared" si="3"/>
        <v>2</v>
      </c>
      <c r="F41" s="25">
        <f t="shared" si="4"/>
        <v>0</v>
      </c>
      <c r="G41" s="47">
        <f t="shared" si="5"/>
        <v>1</v>
      </c>
      <c r="H41" s="52"/>
      <c r="I41" s="19"/>
      <c r="J41" s="15"/>
      <c r="K41"/>
      <c r="L41"/>
      <c r="M41"/>
      <c r="N41"/>
      <c r="O41"/>
      <c r="P41" s="15"/>
    </row>
    <row r="42" spans="1:16" x14ac:dyDescent="0.25">
      <c r="A42" s="17">
        <v>25</v>
      </c>
      <c r="B42" s="34">
        <f>IF(N(C42)=0,"",IF(ISNUMBER(MATCH(C42,C$26:C41,)),INDEX(B$26:B41,MATCH(C42,C$26:C41,)),MAX(B$26:B41)+1))</f>
        <v>17</v>
      </c>
      <c r="C42" s="55">
        <v>1326</v>
      </c>
      <c r="D42" s="7">
        <v>10</v>
      </c>
      <c r="E42" s="25">
        <f t="shared" si="3"/>
        <v>10</v>
      </c>
      <c r="F42" s="25">
        <f t="shared" si="4"/>
        <v>0</v>
      </c>
      <c r="G42" s="47">
        <f t="shared" si="5"/>
        <v>1</v>
      </c>
      <c r="H42" s="52"/>
      <c r="I42" s="19"/>
      <c r="J42" s="15"/>
      <c r="K42"/>
      <c r="L42"/>
      <c r="M42"/>
      <c r="N42"/>
      <c r="O42"/>
      <c r="P42" s="15"/>
    </row>
    <row r="43" spans="1:16" x14ac:dyDescent="0.25">
      <c r="A43" s="17">
        <v>26</v>
      </c>
      <c r="B43" s="34">
        <f>IF(N(C43)=0,"",IF(ISNUMBER(MATCH(C43,C$26:C42,)),INDEX(B$26:B42,MATCH(C43,C$26:C42,)),MAX(B$26:B42)+1))</f>
        <v>18</v>
      </c>
      <c r="C43" s="55">
        <v>1336</v>
      </c>
      <c r="D43" s="7">
        <v>12</v>
      </c>
      <c r="E43" s="25">
        <f t="shared" si="3"/>
        <v>12</v>
      </c>
      <c r="F43" s="25">
        <f t="shared" si="4"/>
        <v>0</v>
      </c>
      <c r="G43" s="47">
        <f t="shared" si="5"/>
        <v>1</v>
      </c>
      <c r="H43" s="52"/>
      <c r="I43" s="19"/>
      <c r="J43" s="15"/>
      <c r="K43"/>
      <c r="L43"/>
      <c r="M43"/>
      <c r="N43"/>
      <c r="O43"/>
      <c r="P43" s="15"/>
    </row>
    <row r="44" spans="1:16" x14ac:dyDescent="0.25">
      <c r="A44" s="17">
        <v>27</v>
      </c>
      <c r="B44" s="34">
        <f>IF(N(C44)=0,"",IF(ISNUMBER(MATCH(C44,C$26:C43,)),INDEX(B$26:B43,MATCH(C44,C$26:C43,)),MAX(B$26:B43)+1))</f>
        <v>19</v>
      </c>
      <c r="C44" s="55">
        <v>1346</v>
      </c>
      <c r="D44" s="7">
        <v>2</v>
      </c>
      <c r="E44" s="25">
        <f t="shared" si="3"/>
        <v>2</v>
      </c>
      <c r="F44" s="25">
        <f t="shared" si="4"/>
        <v>0</v>
      </c>
      <c r="G44" s="47">
        <f t="shared" si="5"/>
        <v>1</v>
      </c>
      <c r="H44" s="52"/>
      <c r="I44" s="19"/>
      <c r="J44" s="15"/>
      <c r="K44"/>
      <c r="L44"/>
      <c r="M44"/>
      <c r="N44"/>
      <c r="O44"/>
      <c r="P44" s="15"/>
    </row>
    <row r="45" spans="1:16" x14ac:dyDescent="0.25">
      <c r="A45" s="17">
        <v>28</v>
      </c>
      <c r="B45" s="34">
        <f>IF(N(C45)=0,"",IF(ISNUMBER(MATCH(C45,C$26:C44,)),INDEX(B$26:B44,MATCH(C45,C$26:C44,)),MAX(B$26:B44)+1))</f>
        <v>20</v>
      </c>
      <c r="C45" s="55">
        <v>1376</v>
      </c>
      <c r="D45" s="7">
        <v>2</v>
      </c>
      <c r="E45" s="25">
        <f t="shared" si="3"/>
        <v>2</v>
      </c>
      <c r="F45" s="25">
        <f t="shared" si="4"/>
        <v>0</v>
      </c>
      <c r="G45" s="47">
        <f t="shared" si="5"/>
        <v>1</v>
      </c>
      <c r="H45" s="52"/>
      <c r="I45" s="19"/>
      <c r="J45" s="15"/>
      <c r="K45"/>
      <c r="L45"/>
      <c r="M45"/>
      <c r="N45"/>
      <c r="O45"/>
      <c r="P45" s="15"/>
    </row>
    <row r="46" spans="1:16" x14ac:dyDescent="0.25">
      <c r="A46" s="17">
        <v>29</v>
      </c>
      <c r="B46" s="34">
        <f>IF(N(C46)=0,"",IF(ISNUMBER(MATCH(C46,C$26:C45,)),INDEX(B$26:B45,MATCH(C46,C$26:C45,)),MAX(B$26:B45)+1))</f>
        <v>21</v>
      </c>
      <c r="C46" s="55">
        <v>1396</v>
      </c>
      <c r="D46" s="7">
        <v>8</v>
      </c>
      <c r="E46" s="25">
        <f t="shared" si="3"/>
        <v>8</v>
      </c>
      <c r="F46" s="25">
        <f t="shared" si="4"/>
        <v>0</v>
      </c>
      <c r="G46" s="47">
        <f t="shared" si="5"/>
        <v>1</v>
      </c>
      <c r="H46" s="52"/>
      <c r="I46" s="19"/>
      <c r="J46" s="15"/>
      <c r="K46"/>
      <c r="L46"/>
      <c r="M46"/>
      <c r="N46"/>
      <c r="O46"/>
      <c r="P46" s="15"/>
    </row>
    <row r="47" spans="1:16" x14ac:dyDescent="0.25">
      <c r="A47" s="17">
        <v>30</v>
      </c>
      <c r="B47" s="34">
        <f>IF(N(C47)=0,"",IF(ISNUMBER(MATCH(C47,C$26:C46,)),INDEX(B$26:B46,MATCH(C47,C$26:C46,)),MAX(B$26:B46)+1))</f>
        <v>22</v>
      </c>
      <c r="C47" s="55">
        <v>1406</v>
      </c>
      <c r="D47" s="7">
        <v>10</v>
      </c>
      <c r="E47" s="25">
        <f t="shared" si="3"/>
        <v>10</v>
      </c>
      <c r="F47" s="25">
        <f t="shared" si="4"/>
        <v>0</v>
      </c>
      <c r="G47" s="47">
        <f t="shared" si="5"/>
        <v>1</v>
      </c>
      <c r="H47" s="52"/>
      <c r="I47" s="19"/>
      <c r="J47" s="15"/>
      <c r="K47"/>
      <c r="L47"/>
      <c r="M47"/>
      <c r="N47"/>
      <c r="O47"/>
      <c r="P47" s="15"/>
    </row>
    <row r="48" spans="1:16" x14ac:dyDescent="0.25">
      <c r="A48" s="17">
        <v>31</v>
      </c>
      <c r="B48" s="34">
        <f>IF(N(C48)=0,"",IF(ISNUMBER(MATCH(C48,C$26:C47,)),INDEX(B$26:B47,MATCH(C48,C$26:C47,)),MAX(B$26:B47)+1))</f>
        <v>23</v>
      </c>
      <c r="C48" s="55">
        <v>1416</v>
      </c>
      <c r="D48" s="7">
        <v>4</v>
      </c>
      <c r="E48" s="25">
        <f t="shared" si="3"/>
        <v>4</v>
      </c>
      <c r="F48" s="25">
        <f t="shared" si="4"/>
        <v>0</v>
      </c>
      <c r="G48" s="47">
        <f t="shared" si="5"/>
        <v>1</v>
      </c>
      <c r="H48" s="52"/>
      <c r="I48" s="19"/>
      <c r="J48" s="15"/>
      <c r="K48"/>
      <c r="L48"/>
      <c r="M48"/>
      <c r="N48"/>
      <c r="O48"/>
      <c r="P48" s="15"/>
    </row>
    <row r="49" spans="1:16" x14ac:dyDescent="0.25">
      <c r="A49" s="17">
        <v>32</v>
      </c>
      <c r="B49" s="34">
        <f>IF(N(C49)=0,"",IF(ISNUMBER(MATCH(C49,C$26:C48,)),INDEX(B$26:B48,MATCH(C49,C$26:C48,)),MAX(B$26:B48)+1))</f>
        <v>24</v>
      </c>
      <c r="C49" s="55">
        <v>1436</v>
      </c>
      <c r="D49" s="7">
        <v>2</v>
      </c>
      <c r="E49" s="25">
        <f t="shared" si="3"/>
        <v>2</v>
      </c>
      <c r="F49" s="25">
        <f t="shared" si="4"/>
        <v>0</v>
      </c>
      <c r="G49" s="47">
        <f t="shared" si="5"/>
        <v>1</v>
      </c>
      <c r="H49" s="52"/>
      <c r="I49" s="19"/>
      <c r="J49" s="15"/>
      <c r="K49"/>
      <c r="L49"/>
      <c r="M49"/>
      <c r="N49"/>
      <c r="O49"/>
      <c r="P49" s="15"/>
    </row>
    <row r="50" spans="1:16" x14ac:dyDescent="0.25">
      <c r="A50" s="17">
        <v>33</v>
      </c>
      <c r="B50" s="34">
        <f>IF(N(C50)=0,"",IF(ISNUMBER(MATCH(C50,C$26:C49,)),INDEX(B$26:B49,MATCH(C50,C$26:C49,)),MAX(B$26:B49)+1))</f>
        <v>25</v>
      </c>
      <c r="C50" s="55">
        <v>1506</v>
      </c>
      <c r="D50" s="7">
        <v>6</v>
      </c>
      <c r="E50" s="25">
        <f t="shared" si="3"/>
        <v>6</v>
      </c>
      <c r="F50" s="25">
        <f t="shared" si="4"/>
        <v>0</v>
      </c>
      <c r="G50" s="47">
        <f t="shared" si="5"/>
        <v>1</v>
      </c>
      <c r="H50" s="52"/>
      <c r="I50" s="19"/>
      <c r="J50" s="15"/>
      <c r="K50"/>
      <c r="L50"/>
      <c r="M50"/>
      <c r="N50"/>
      <c r="O50"/>
      <c r="P50" s="15"/>
    </row>
    <row r="51" spans="1:16" x14ac:dyDescent="0.25">
      <c r="A51" s="17">
        <v>34</v>
      </c>
      <c r="B51" s="34">
        <f>IF(N(C51)=0,"",IF(ISNUMBER(MATCH(C51,C$26:C50,)),INDEX(B$26:B50,MATCH(C51,C$26:C50,)),MAX(B$26:B50)+1))</f>
        <v>26</v>
      </c>
      <c r="C51" s="55">
        <v>1526</v>
      </c>
      <c r="D51" s="7">
        <v>8</v>
      </c>
      <c r="E51" s="25">
        <f t="shared" si="3"/>
        <v>8</v>
      </c>
      <c r="F51" s="25">
        <f t="shared" si="4"/>
        <v>0</v>
      </c>
      <c r="G51" s="47">
        <f t="shared" si="5"/>
        <v>1</v>
      </c>
      <c r="H51" s="52"/>
      <c r="I51" s="19"/>
      <c r="J51" s="15"/>
      <c r="K51"/>
      <c r="L51"/>
      <c r="M51"/>
      <c r="N51"/>
      <c r="O51"/>
      <c r="P51" s="15"/>
    </row>
    <row r="52" spans="1:16" x14ac:dyDescent="0.25">
      <c r="A52" s="17">
        <v>35</v>
      </c>
      <c r="B52" s="34">
        <f>IF(N(C52)=0,"",IF(ISNUMBER(MATCH(C52,C$26:C51,)),INDEX(B$26:B51,MATCH(C52,C$26:C51,)),MAX(B$26:B51)+1))</f>
        <v>27</v>
      </c>
      <c r="C52" s="55">
        <v>1836</v>
      </c>
      <c r="D52" s="7">
        <v>2</v>
      </c>
      <c r="E52" s="25">
        <f t="shared" si="3"/>
        <v>2</v>
      </c>
      <c r="F52" s="25">
        <f t="shared" si="4"/>
        <v>0</v>
      </c>
      <c r="G52" s="47">
        <f t="shared" si="5"/>
        <v>1</v>
      </c>
      <c r="H52" s="52"/>
      <c r="I52" s="19"/>
      <c r="J52" s="15"/>
      <c r="K52"/>
      <c r="L52"/>
      <c r="M52"/>
      <c r="N52"/>
      <c r="O52"/>
      <c r="P52" s="15"/>
    </row>
    <row r="53" spans="1:16" x14ac:dyDescent="0.25">
      <c r="A53" s="17">
        <v>36</v>
      </c>
      <c r="B53" s="34">
        <f>IF(N(C53)=0,"",IF(ISNUMBER(MATCH(C53,C$26:C52,)),INDEX(B$26:B52,MATCH(C53,C$26:C52,)),MAX(B$26:B52)+1))</f>
        <v>28</v>
      </c>
      <c r="C53" s="55">
        <v>1906</v>
      </c>
      <c r="D53" s="7">
        <v>2</v>
      </c>
      <c r="E53" s="25">
        <f t="shared" si="3"/>
        <v>2</v>
      </c>
      <c r="F53" s="25">
        <f t="shared" si="4"/>
        <v>0</v>
      </c>
      <c r="G53" s="47">
        <f t="shared" si="5"/>
        <v>1</v>
      </c>
      <c r="H53" s="52"/>
      <c r="I53" s="19"/>
      <c r="J53" s="15"/>
      <c r="K53"/>
      <c r="L53"/>
      <c r="M53"/>
      <c r="N53"/>
      <c r="O53"/>
      <c r="P53" s="15"/>
    </row>
    <row r="54" spans="1:16" x14ac:dyDescent="0.25">
      <c r="A54" s="17">
        <v>37</v>
      </c>
      <c r="B54" s="34">
        <f>IF(N(C54)=0,"",IF(ISNUMBER(MATCH(C54,C$26:C53,)),INDEX(B$26:B53,MATCH(C54,C$26:C53,)),MAX(B$26:B53)+1))</f>
        <v>29</v>
      </c>
      <c r="C54" s="55">
        <v>2066</v>
      </c>
      <c r="D54" s="7">
        <v>2</v>
      </c>
      <c r="E54" s="25">
        <f t="shared" si="3"/>
        <v>2</v>
      </c>
      <c r="F54" s="25">
        <f t="shared" si="4"/>
        <v>0</v>
      </c>
      <c r="G54" s="47">
        <f t="shared" si="5"/>
        <v>1</v>
      </c>
      <c r="H54" s="52"/>
      <c r="I54" s="19"/>
      <c r="J54" s="15"/>
      <c r="K54"/>
      <c r="L54"/>
      <c r="M54"/>
      <c r="N54"/>
      <c r="O54"/>
      <c r="P54" s="15"/>
    </row>
    <row r="55" spans="1:16" x14ac:dyDescent="0.25">
      <c r="A55" s="17">
        <v>38</v>
      </c>
      <c r="B55" s="34">
        <f>IF(N(C55)=0,"",IF(ISNUMBER(MATCH(C55,C$26:C54,)),INDEX(B$26:B54,MATCH(C55,C$26:C54,)),MAX(B$26:B54)+1))</f>
        <v>30</v>
      </c>
      <c r="C55" s="55">
        <v>2086</v>
      </c>
      <c r="D55" s="7">
        <v>2</v>
      </c>
      <c r="E55" s="25">
        <f t="shared" si="3"/>
        <v>2</v>
      </c>
      <c r="F55" s="25">
        <f t="shared" si="4"/>
        <v>0</v>
      </c>
      <c r="G55" s="47">
        <f t="shared" si="5"/>
        <v>1</v>
      </c>
      <c r="H55" s="52"/>
      <c r="I55" s="19"/>
      <c r="J55" s="15"/>
      <c r="K55"/>
      <c r="L55"/>
      <c r="M55"/>
      <c r="N55"/>
      <c r="O55"/>
      <c r="P55" s="15"/>
    </row>
    <row r="56" spans="1:16" x14ac:dyDescent="0.25">
      <c r="A56" s="17">
        <v>39</v>
      </c>
      <c r="B56" s="34">
        <f>IF(N(C56)=0,"",IF(ISNUMBER(MATCH(C56,C$26:C55,)),INDEX(B$26:B55,MATCH(C56,C$26:C55,)),MAX(B$26:B55)+1))</f>
        <v>31</v>
      </c>
      <c r="C56" s="55">
        <v>2106</v>
      </c>
      <c r="D56" s="7">
        <v>2</v>
      </c>
      <c r="E56" s="25">
        <f t="shared" si="3"/>
        <v>2</v>
      </c>
      <c r="F56" s="25">
        <f t="shared" si="4"/>
        <v>0</v>
      </c>
      <c r="G56" s="47">
        <f t="shared" si="5"/>
        <v>1</v>
      </c>
      <c r="H56" s="52"/>
      <c r="I56" s="19"/>
      <c r="J56" s="15"/>
      <c r="K56"/>
      <c r="L56"/>
      <c r="M56"/>
      <c r="N56"/>
      <c r="O56"/>
      <c r="P56" s="15"/>
    </row>
    <row r="57" spans="1:16" x14ac:dyDescent="0.25">
      <c r="A57" s="17">
        <v>40</v>
      </c>
      <c r="B57" s="34">
        <f>IF(N(C57)=0,"",IF(ISNUMBER(MATCH(C57,C$26:C56,)),INDEX(B$26:B56,MATCH(C57,C$26:C56,)),MAX(B$26:B56)+1))</f>
        <v>32</v>
      </c>
      <c r="C57" s="55">
        <v>2126</v>
      </c>
      <c r="D57" s="7">
        <v>2</v>
      </c>
      <c r="E57" s="25">
        <f t="shared" si="3"/>
        <v>2</v>
      </c>
      <c r="F57" s="25">
        <f t="shared" si="4"/>
        <v>0</v>
      </c>
      <c r="G57" s="47">
        <f t="shared" si="5"/>
        <v>1</v>
      </c>
      <c r="H57" s="52"/>
      <c r="I57" s="19"/>
      <c r="J57" s="15"/>
      <c r="K57"/>
      <c r="L57"/>
      <c r="M57"/>
      <c r="N57"/>
      <c r="O57"/>
      <c r="P57" s="15"/>
    </row>
    <row r="58" spans="1:16" x14ac:dyDescent="0.25">
      <c r="A58" s="17">
        <v>41</v>
      </c>
      <c r="B58" s="34">
        <f>IF(N(C58)=0,"",IF(ISNUMBER(MATCH(C58,C$26:C57,)),INDEX(B$26:B57,MATCH(C58,C$26:C57,)),MAX(B$26:B57)+1))</f>
        <v>33</v>
      </c>
      <c r="C58" s="55">
        <v>2136</v>
      </c>
      <c r="D58" s="7">
        <v>2</v>
      </c>
      <c r="E58" s="25">
        <f t="shared" si="3"/>
        <v>2</v>
      </c>
      <c r="F58" s="25">
        <f t="shared" si="4"/>
        <v>0</v>
      </c>
      <c r="G58" s="47">
        <f t="shared" si="5"/>
        <v>1</v>
      </c>
      <c r="H58" s="52"/>
      <c r="I58" s="19"/>
      <c r="J58" s="15"/>
      <c r="K58"/>
      <c r="L58"/>
      <c r="M58"/>
      <c r="N58"/>
      <c r="O58"/>
      <c r="P58" s="15"/>
    </row>
    <row r="59" spans="1:16" x14ac:dyDescent="0.25">
      <c r="A59" s="17">
        <v>42</v>
      </c>
      <c r="B59" s="34">
        <f>IF(N(C59)=0,"",IF(ISNUMBER(MATCH(C59,C$26:C58,)),INDEX(B$26:B58,MATCH(C59,C$26:C58,)),MAX(B$26:B58)+1))</f>
        <v>34</v>
      </c>
      <c r="C59" s="55">
        <v>2176</v>
      </c>
      <c r="D59" s="7">
        <v>2</v>
      </c>
      <c r="E59" s="25">
        <f t="shared" si="3"/>
        <v>2</v>
      </c>
      <c r="F59" s="25">
        <f t="shared" si="4"/>
        <v>0</v>
      </c>
      <c r="G59" s="47">
        <f t="shared" si="5"/>
        <v>1</v>
      </c>
      <c r="H59" s="52"/>
      <c r="I59" s="19"/>
      <c r="J59" s="15"/>
      <c r="K59"/>
      <c r="L59"/>
      <c r="M59"/>
      <c r="N59"/>
      <c r="O59"/>
      <c r="P59" s="15"/>
    </row>
    <row r="60" spans="1:16" x14ac:dyDescent="0.25">
      <c r="A60" s="17">
        <v>43</v>
      </c>
      <c r="B60" s="34">
        <f>IF(N(C60)=0,"",IF(ISNUMBER(MATCH(C60,C$26:C59,)),INDEX(B$26:B59,MATCH(C60,C$26:C59,)),MAX(B$26:B59)+1))</f>
        <v>35</v>
      </c>
      <c r="C60" s="55">
        <v>2286</v>
      </c>
      <c r="D60" s="7">
        <v>2</v>
      </c>
      <c r="E60" s="25">
        <f t="shared" si="3"/>
        <v>2</v>
      </c>
      <c r="F60" s="25">
        <f t="shared" si="4"/>
        <v>0</v>
      </c>
      <c r="G60" s="47">
        <f t="shared" si="5"/>
        <v>1</v>
      </c>
      <c r="H60" s="52"/>
      <c r="I60" s="19"/>
      <c r="J60" s="15"/>
      <c r="K60"/>
      <c r="L60"/>
      <c r="M60"/>
      <c r="N60"/>
      <c r="O60"/>
      <c r="P60" s="15"/>
    </row>
    <row r="61" spans="1:16" x14ac:dyDescent="0.25">
      <c r="A61" s="17">
        <v>44</v>
      </c>
      <c r="B61" s="34">
        <f>IF(N(C61)=0,"",IF(ISNUMBER(MATCH(C61,C$26:C60,)),INDEX(B$26:B60,MATCH(C61,C$26:C60,)),MAX(B$26:B60)+1))</f>
        <v>36</v>
      </c>
      <c r="C61" s="55">
        <v>2346</v>
      </c>
      <c r="D61" s="7">
        <v>2</v>
      </c>
      <c r="E61" s="25">
        <f t="shared" si="3"/>
        <v>2</v>
      </c>
      <c r="F61" s="25">
        <f t="shared" si="4"/>
        <v>0</v>
      </c>
      <c r="G61" s="47">
        <f t="shared" si="5"/>
        <v>1</v>
      </c>
      <c r="H61" s="52"/>
      <c r="I61" s="19"/>
      <c r="J61" s="15"/>
      <c r="K61"/>
      <c r="L61"/>
      <c r="M61"/>
      <c r="N61"/>
      <c r="O61"/>
      <c r="P61" s="15"/>
    </row>
    <row r="62" spans="1:16" x14ac:dyDescent="0.25">
      <c r="A62" s="17">
        <v>45</v>
      </c>
      <c r="B62" s="34" t="str">
        <f>IF(N(C62)=0,"",IF(ISNUMBER(MATCH(C62,C$26:C61,)),INDEX(B$26:B61,MATCH(C62,C$26:C61,)),MAX(B$26:B61)+1))</f>
        <v/>
      </c>
      <c r="C62" s="55"/>
      <c r="D62" s="7"/>
      <c r="E62" s="25" t="str">
        <f t="shared" si="3"/>
        <v/>
      </c>
      <c r="F62" s="25" t="str">
        <f t="shared" si="4"/>
        <v/>
      </c>
      <c r="G62" s="47">
        <f t="shared" si="5"/>
        <v>0</v>
      </c>
      <c r="H62" s="52"/>
      <c r="I62" s="19"/>
      <c r="J62" s="15"/>
      <c r="K62"/>
      <c r="L62"/>
      <c r="M62"/>
      <c r="N62"/>
      <c r="O62"/>
      <c r="P62" s="15"/>
    </row>
    <row r="63" spans="1:16" x14ac:dyDescent="0.25">
      <c r="A63" s="17">
        <v>46</v>
      </c>
      <c r="B63" s="34" t="str">
        <f>IF(N(C63)=0,"",IF(ISNUMBER(MATCH(C63,C$26:C62,)),INDEX(B$26:B62,MATCH(C63,C$26:C62,)),MAX(B$26:B62)+1))</f>
        <v/>
      </c>
      <c r="C63" s="55"/>
      <c r="D63" s="7"/>
      <c r="E63" s="25" t="str">
        <f t="shared" si="3"/>
        <v/>
      </c>
      <c r="F63" s="25" t="str">
        <f t="shared" si="4"/>
        <v/>
      </c>
      <c r="G63" s="47">
        <f t="shared" si="5"/>
        <v>0</v>
      </c>
      <c r="H63" s="52"/>
      <c r="I63" s="19"/>
      <c r="J63" s="15"/>
      <c r="K63"/>
      <c r="L63"/>
      <c r="M63"/>
      <c r="N63"/>
      <c r="O63"/>
      <c r="P63" s="15"/>
    </row>
    <row r="64" spans="1:16" x14ac:dyDescent="0.25">
      <c r="A64" s="17">
        <v>47</v>
      </c>
      <c r="B64" s="34" t="str">
        <f>IF(N(C64)=0,"",IF(ISNUMBER(MATCH(C64,C$26:C63,)),INDEX(B$26:B63,MATCH(C64,C$26:C63,)),MAX(B$26:B63)+1))</f>
        <v/>
      </c>
      <c r="C64" s="55"/>
      <c r="D64" s="7"/>
      <c r="E64" s="25" t="str">
        <f t="shared" si="3"/>
        <v/>
      </c>
      <c r="F64" s="25" t="str">
        <f t="shared" si="4"/>
        <v/>
      </c>
      <c r="G64" s="47">
        <f t="shared" si="5"/>
        <v>0</v>
      </c>
      <c r="H64" s="52"/>
      <c r="I64" s="19"/>
      <c r="J64" s="15"/>
      <c r="K64"/>
      <c r="L64"/>
      <c r="M64"/>
      <c r="N64"/>
      <c r="O64"/>
      <c r="P64" s="15"/>
    </row>
    <row r="65" spans="1:16" x14ac:dyDescent="0.25">
      <c r="A65" s="17">
        <v>48</v>
      </c>
      <c r="B65" s="34" t="str">
        <f>IF(N(C65)=0,"",IF(ISNUMBER(MATCH(C65,C$26:C64,)),INDEX(B$26:B64,MATCH(C65,C$26:C64,)),MAX(B$26:B64)+1))</f>
        <v/>
      </c>
      <c r="C65" s="55"/>
      <c r="D65" s="7"/>
      <c r="E65" s="25" t="str">
        <f t="shared" si="3"/>
        <v/>
      </c>
      <c r="F65" s="25" t="str">
        <f t="shared" si="4"/>
        <v/>
      </c>
      <c r="G65" s="47">
        <f t="shared" si="5"/>
        <v>0</v>
      </c>
      <c r="H65" s="52"/>
      <c r="I65" s="19"/>
      <c r="J65" s="15"/>
      <c r="K65"/>
      <c r="L65"/>
      <c r="M65"/>
      <c r="N65"/>
      <c r="O65"/>
      <c r="P65" s="15"/>
    </row>
    <row r="66" spans="1:16" x14ac:dyDescent="0.25">
      <c r="A66" s="17">
        <v>49</v>
      </c>
      <c r="B66" s="34" t="str">
        <f>IF(N(C66)=0,"",IF(ISNUMBER(MATCH(C66,C$26:C65,)),INDEX(B$26:B65,MATCH(C66,C$26:C65,)),MAX(B$26:B65)+1))</f>
        <v/>
      </c>
      <c r="C66" s="55"/>
      <c r="D66" s="7"/>
      <c r="E66" s="25" t="str">
        <f t="shared" si="3"/>
        <v/>
      </c>
      <c r="F66" s="25" t="str">
        <f t="shared" si="4"/>
        <v/>
      </c>
      <c r="G66" s="47">
        <f t="shared" si="5"/>
        <v>0</v>
      </c>
      <c r="H66" s="52"/>
      <c r="I66" s="19"/>
      <c r="J66" s="15"/>
      <c r="K66"/>
      <c r="L66"/>
      <c r="M66"/>
      <c r="N66"/>
      <c r="O66"/>
      <c r="P66" s="15"/>
    </row>
    <row r="67" spans="1:16" x14ac:dyDescent="0.25">
      <c r="A67" s="17">
        <v>50</v>
      </c>
      <c r="B67" s="34" t="str">
        <f>IF(N(C67)=0,"",IF(ISNUMBER(MATCH(C67,C$26:C66,)),INDEX(B$26:B66,MATCH(C67,C$26:C66,)),MAX(B$26:B66)+1))</f>
        <v/>
      </c>
      <c r="C67" s="55"/>
      <c r="D67" s="7"/>
      <c r="E67" s="25" t="str">
        <f t="shared" si="3"/>
        <v/>
      </c>
      <c r="F67" s="25" t="str">
        <f t="shared" si="4"/>
        <v/>
      </c>
      <c r="G67" s="47">
        <f t="shared" si="5"/>
        <v>0</v>
      </c>
      <c r="H67" s="52"/>
      <c r="I67" s="19"/>
      <c r="J67" s="15"/>
      <c r="K67"/>
      <c r="L67"/>
      <c r="M67"/>
      <c r="N67"/>
      <c r="O67"/>
      <c r="P67" s="15"/>
    </row>
    <row r="68" spans="1:16" x14ac:dyDescent="0.25">
      <c r="A68" s="17">
        <v>51</v>
      </c>
      <c r="B68" s="34" t="str">
        <f>IF(N(C68)=0,"",IF(ISNUMBER(MATCH(C68,C$26:C67,)),INDEX(B$26:B67,MATCH(C68,C$26:C67,)),MAX(B$26:B67)+1))</f>
        <v/>
      </c>
      <c r="C68" s="55"/>
      <c r="D68" s="7"/>
      <c r="E68" s="25" t="str">
        <f t="shared" si="3"/>
        <v/>
      </c>
      <c r="F68" s="25" t="str">
        <f t="shared" si="4"/>
        <v/>
      </c>
      <c r="G68" s="47">
        <f t="shared" si="5"/>
        <v>0</v>
      </c>
      <c r="H68" s="52"/>
      <c r="I68" s="19"/>
      <c r="J68" s="15"/>
      <c r="K68"/>
      <c r="L68"/>
      <c r="M68"/>
      <c r="N68"/>
      <c r="O68"/>
      <c r="P68" s="15"/>
    </row>
    <row r="69" spans="1:16" x14ac:dyDescent="0.25">
      <c r="A69" s="17">
        <v>52</v>
      </c>
      <c r="B69" s="34" t="str">
        <f>IF(N(C69)=0,"",IF(ISNUMBER(MATCH(C69,C$26:C68,)),INDEX(B$26:B68,MATCH(C69,C$26:C68,)),MAX(B$26:B68)+1))</f>
        <v/>
      </c>
      <c r="C69" s="55"/>
      <c r="D69" s="7"/>
      <c r="E69" s="25" t="str">
        <f t="shared" si="3"/>
        <v/>
      </c>
      <c r="F69" s="25" t="str">
        <f t="shared" si="4"/>
        <v/>
      </c>
      <c r="G69" s="47">
        <f t="shared" si="5"/>
        <v>0</v>
      </c>
      <c r="H69" s="52"/>
      <c r="I69" s="19"/>
      <c r="J69" s="15"/>
      <c r="K69"/>
      <c r="L69"/>
      <c r="M69"/>
      <c r="N69"/>
      <c r="O69"/>
      <c r="P69" s="15"/>
    </row>
    <row r="70" spans="1:16" x14ac:dyDescent="0.25">
      <c r="A70" s="17">
        <v>53</v>
      </c>
      <c r="B70" s="34" t="str">
        <f>IF(N(C70)=0,"",IF(ISNUMBER(MATCH(C70,C$26:C69,)),INDEX(B$26:B69,MATCH(C70,C$26:C69,)),MAX(B$26:B69)+1))</f>
        <v/>
      </c>
      <c r="C70" s="55"/>
      <c r="D70" s="7"/>
      <c r="E70" s="25" t="str">
        <f t="shared" si="3"/>
        <v/>
      </c>
      <c r="F70" s="25" t="str">
        <f t="shared" si="4"/>
        <v/>
      </c>
      <c r="G70" s="47">
        <f t="shared" si="5"/>
        <v>0</v>
      </c>
      <c r="H70" s="52"/>
      <c r="I70" s="19"/>
      <c r="J70" s="15"/>
      <c r="K70"/>
      <c r="L70"/>
      <c r="M70"/>
      <c r="N70"/>
      <c r="O70"/>
      <c r="P70" s="15"/>
    </row>
    <row r="71" spans="1:16" x14ac:dyDescent="0.25">
      <c r="A71" s="17">
        <v>54</v>
      </c>
      <c r="B71" s="34" t="str">
        <f>IF(N(C71)=0,"",IF(ISNUMBER(MATCH(C71,C$26:C70,)),INDEX(B$26:B70,MATCH(C71,C$26:C70,)),MAX(B$26:B70)+1))</f>
        <v/>
      </c>
      <c r="C71" s="55"/>
      <c r="D71" s="7"/>
      <c r="E71" s="25" t="str">
        <f t="shared" si="3"/>
        <v/>
      </c>
      <c r="F71" s="25" t="str">
        <f t="shared" si="4"/>
        <v/>
      </c>
      <c r="G71" s="47">
        <f t="shared" si="5"/>
        <v>0</v>
      </c>
      <c r="H71" s="52"/>
      <c r="I71" s="19"/>
      <c r="J71" s="15"/>
      <c r="K71"/>
      <c r="L71"/>
      <c r="M71"/>
      <c r="N71"/>
      <c r="O71"/>
      <c r="P71" s="15"/>
    </row>
    <row r="72" spans="1:16" x14ac:dyDescent="0.25">
      <c r="A72" s="17">
        <v>55</v>
      </c>
      <c r="B72" s="34" t="str">
        <f>IF(N(C72)=0,"",IF(ISNUMBER(MATCH(C72,C$26:C71,)),INDEX(B$26:B71,MATCH(C72,C$26:C71,)),MAX(B$26:B71)+1))</f>
        <v/>
      </c>
      <c r="C72" s="55"/>
      <c r="D72" s="7"/>
      <c r="E72" s="25" t="str">
        <f t="shared" si="3"/>
        <v/>
      </c>
      <c r="F72" s="25" t="str">
        <f t="shared" si="4"/>
        <v/>
      </c>
      <c r="G72" s="47">
        <f t="shared" si="5"/>
        <v>0</v>
      </c>
      <c r="H72" s="52"/>
      <c r="I72" s="19"/>
      <c r="J72" s="15"/>
      <c r="K72"/>
      <c r="L72"/>
      <c r="M72"/>
      <c r="N72"/>
      <c r="O72"/>
      <c r="P72" s="15"/>
    </row>
    <row r="73" spans="1:16" x14ac:dyDescent="0.25">
      <c r="A73" s="17">
        <v>56</v>
      </c>
      <c r="B73" s="34" t="str">
        <f>IF(N(C73)=0,"",IF(ISNUMBER(MATCH(C73,C$26:C72,)),INDEX(B$26:B72,MATCH(C73,C$26:C72,)),MAX(B$26:B72)+1))</f>
        <v/>
      </c>
      <c r="C73" s="55"/>
      <c r="D73" s="7"/>
      <c r="E73" s="25" t="str">
        <f t="shared" si="3"/>
        <v/>
      </c>
      <c r="F73" s="25" t="str">
        <f t="shared" si="4"/>
        <v/>
      </c>
      <c r="G73" s="47">
        <f t="shared" si="5"/>
        <v>0</v>
      </c>
      <c r="H73" s="52"/>
      <c r="I73" s="19"/>
      <c r="J73" s="15"/>
      <c r="K73"/>
      <c r="L73"/>
      <c r="M73"/>
      <c r="N73"/>
      <c r="O73"/>
      <c r="P73" s="15"/>
    </row>
    <row r="74" spans="1:16" x14ac:dyDescent="0.25">
      <c r="A74" s="17">
        <v>57</v>
      </c>
      <c r="B74" s="34" t="str">
        <f>IF(N(C74)=0,"",IF(ISNUMBER(MATCH(C74,C$26:C73,)),INDEX(B$26:B73,MATCH(C74,C$26:C73,)),MAX(B$26:B73)+1))</f>
        <v/>
      </c>
      <c r="C74" s="55"/>
      <c r="D74" s="7"/>
      <c r="E74" s="25" t="str">
        <f t="shared" si="3"/>
        <v/>
      </c>
      <c r="F74" s="25" t="str">
        <f t="shared" si="4"/>
        <v/>
      </c>
      <c r="G74" s="47">
        <f t="shared" si="5"/>
        <v>0</v>
      </c>
      <c r="H74" s="52"/>
      <c r="I74" s="19"/>
      <c r="J74" s="15"/>
      <c r="K74"/>
      <c r="L74"/>
      <c r="M74"/>
      <c r="N74"/>
      <c r="O74"/>
      <c r="P74" s="15"/>
    </row>
    <row r="75" spans="1:16" x14ac:dyDescent="0.25">
      <c r="A75" s="17">
        <v>58</v>
      </c>
      <c r="B75" s="34" t="str">
        <f>IF(N(C75)=0,"",IF(ISNUMBER(MATCH(C75,C$26:C74,)),INDEX(B$26:B74,MATCH(C75,C$26:C74,)),MAX(B$26:B74)+1))</f>
        <v/>
      </c>
      <c r="C75" s="55"/>
      <c r="D75" s="7"/>
      <c r="E75" s="25" t="str">
        <f t="shared" si="3"/>
        <v/>
      </c>
      <c r="F75" s="25" t="str">
        <f t="shared" si="4"/>
        <v/>
      </c>
      <c r="G75" s="47">
        <f t="shared" si="5"/>
        <v>0</v>
      </c>
      <c r="H75" s="52"/>
      <c r="I75" s="19"/>
      <c r="J75" s="15"/>
      <c r="K75"/>
      <c r="L75"/>
      <c r="M75"/>
      <c r="N75"/>
      <c r="O75"/>
      <c r="P75" s="15"/>
    </row>
    <row r="76" spans="1:16" x14ac:dyDescent="0.25">
      <c r="A76" s="17">
        <v>59</v>
      </c>
      <c r="B76" s="34" t="str">
        <f>IF(N(C76)=0,"",IF(ISNUMBER(MATCH(C76,C$26:C75,)),INDEX(B$26:B75,MATCH(C76,C$26:C75,)),MAX(B$26:B75)+1))</f>
        <v/>
      </c>
      <c r="C76" s="55"/>
      <c r="D76" s="7"/>
      <c r="E76" s="25" t="str">
        <f t="shared" si="3"/>
        <v/>
      </c>
      <c r="F76" s="25" t="str">
        <f t="shared" si="4"/>
        <v/>
      </c>
      <c r="G76" s="47">
        <f t="shared" si="5"/>
        <v>0</v>
      </c>
      <c r="H76" s="52"/>
      <c r="I76" s="19"/>
      <c r="J76" s="15"/>
      <c r="K76"/>
      <c r="L76"/>
      <c r="M76"/>
      <c r="N76"/>
      <c r="O76"/>
      <c r="P76" s="15"/>
    </row>
    <row r="77" spans="1:16" x14ac:dyDescent="0.25">
      <c r="A77" s="17">
        <v>60</v>
      </c>
      <c r="B77" s="34" t="str">
        <f>IF(N(C77)=0,"",IF(ISNUMBER(MATCH(C77,C$26:C76,)),INDEX(B$26:B76,MATCH(C77,C$26:C76,)),MAX(B$26:B76)+1))</f>
        <v/>
      </c>
      <c r="C77" s="55"/>
      <c r="D77" s="7"/>
      <c r="E77" s="25" t="str">
        <f t="shared" si="3"/>
        <v/>
      </c>
      <c r="F77" s="25" t="str">
        <f t="shared" si="4"/>
        <v/>
      </c>
      <c r="G77" s="47">
        <f t="shared" si="5"/>
        <v>0</v>
      </c>
      <c r="H77" s="52"/>
      <c r="I77" s="19"/>
      <c r="J77" s="15"/>
      <c r="K77"/>
      <c r="L77"/>
      <c r="M77"/>
      <c r="N77"/>
      <c r="O77"/>
      <c r="P77" s="15"/>
    </row>
    <row r="78" spans="1:16" x14ac:dyDescent="0.25">
      <c r="A78" s="17">
        <v>61</v>
      </c>
      <c r="B78" s="34" t="str">
        <f>IF(N(C78)=0,"",IF(ISNUMBER(MATCH(C78,C$26:C77,)),INDEX(B$26:B77,MATCH(C78,C$26:C77,)),MAX(B$26:B77)+1))</f>
        <v/>
      </c>
      <c r="C78" s="55"/>
      <c r="D78" s="7"/>
      <c r="E78" s="25" t="str">
        <f t="shared" si="3"/>
        <v/>
      </c>
      <c r="F78" s="25" t="str">
        <f t="shared" si="4"/>
        <v/>
      </c>
      <c r="G78" s="47">
        <f t="shared" si="5"/>
        <v>0</v>
      </c>
      <c r="H78" s="52"/>
      <c r="I78" s="19"/>
      <c r="J78" s="15"/>
      <c r="K78"/>
      <c r="L78"/>
      <c r="M78"/>
      <c r="N78"/>
      <c r="O78"/>
      <c r="P78" s="15"/>
    </row>
    <row r="79" spans="1:16" x14ac:dyDescent="0.25">
      <c r="A79" s="17">
        <v>62</v>
      </c>
      <c r="B79" s="34" t="str">
        <f>IF(N(C79)=0,"",IF(ISNUMBER(MATCH(C79,C$26:C78,)),INDEX(B$26:B78,MATCH(C79,C$26:C78,)),MAX(B$26:B78)+1))</f>
        <v/>
      </c>
      <c r="C79" s="55"/>
      <c r="D79" s="7"/>
      <c r="E79" s="25" t="str">
        <f t="shared" si="3"/>
        <v/>
      </c>
      <c r="F79" s="25" t="str">
        <f t="shared" si="4"/>
        <v/>
      </c>
      <c r="G79" s="47">
        <f t="shared" si="5"/>
        <v>0</v>
      </c>
      <c r="H79" s="52"/>
      <c r="I79" s="19"/>
      <c r="J79" s="15"/>
      <c r="K79"/>
      <c r="L79"/>
      <c r="M79"/>
      <c r="N79"/>
      <c r="O79"/>
      <c r="P79" s="15"/>
    </row>
    <row r="80" spans="1:16" x14ac:dyDescent="0.25">
      <c r="A80" s="17">
        <v>63</v>
      </c>
      <c r="B80" s="34" t="str">
        <f>IF(N(C80)=0,"",IF(ISNUMBER(MATCH(C80,C$26:C79,)),INDEX(B$26:B79,MATCH(C80,C$26:C79,)),MAX(B$26:B79)+1))</f>
        <v/>
      </c>
      <c r="C80" s="55"/>
      <c r="D80" s="7"/>
      <c r="E80" s="25" t="str">
        <f t="shared" si="3"/>
        <v/>
      </c>
      <c r="F80" s="25" t="str">
        <f t="shared" si="4"/>
        <v/>
      </c>
      <c r="G80" s="47">
        <f t="shared" si="5"/>
        <v>0</v>
      </c>
      <c r="H80" s="52"/>
      <c r="I80" s="19"/>
      <c r="J80" s="15"/>
      <c r="K80"/>
      <c r="L80"/>
      <c r="M80"/>
      <c r="N80"/>
      <c r="O80"/>
      <c r="P80" s="15"/>
    </row>
    <row r="81" spans="1:16" x14ac:dyDescent="0.25">
      <c r="A81" s="17">
        <v>64</v>
      </c>
      <c r="B81" s="34" t="str">
        <f>IF(N(C81)=0,"",IF(ISNUMBER(MATCH(C81,C$26:C80,)),INDEX(B$26:B80,MATCH(C81,C$26:C80,)),MAX(B$26:B80)+1))</f>
        <v/>
      </c>
      <c r="C81" s="55"/>
      <c r="D81" s="7"/>
      <c r="E81" s="25" t="str">
        <f t="shared" si="3"/>
        <v/>
      </c>
      <c r="F81" s="25" t="str">
        <f t="shared" si="4"/>
        <v/>
      </c>
      <c r="G81" s="47">
        <f t="shared" si="5"/>
        <v>0</v>
      </c>
      <c r="H81" s="52"/>
      <c r="I81" s="19"/>
      <c r="J81" s="15"/>
      <c r="K81"/>
      <c r="L81"/>
      <c r="M81"/>
      <c r="N81"/>
      <c r="O81"/>
      <c r="P81" s="15"/>
    </row>
    <row r="82" spans="1:16" x14ac:dyDescent="0.25">
      <c r="A82" s="17">
        <v>65</v>
      </c>
      <c r="B82" s="34" t="str">
        <f>IF(N(C82)=0,"",IF(ISNUMBER(MATCH(C82,C$26:C81,)),INDEX(B$26:B81,MATCH(C82,C$26:C81,)),MAX(B$26:B81)+1))</f>
        <v/>
      </c>
      <c r="C82" s="55"/>
      <c r="D82" s="7"/>
      <c r="E82" s="25" t="str">
        <f t="shared" si="3"/>
        <v/>
      </c>
      <c r="F82" s="25" t="str">
        <f t="shared" si="4"/>
        <v/>
      </c>
      <c r="G82" s="47">
        <f t="shared" si="5"/>
        <v>0</v>
      </c>
      <c r="H82" s="52"/>
      <c r="I82" s="19"/>
      <c r="J82" s="15"/>
      <c r="K82"/>
      <c r="L82"/>
      <c r="M82"/>
      <c r="N82"/>
      <c r="O82"/>
      <c r="P82" s="15"/>
    </row>
    <row r="83" spans="1:16" x14ac:dyDescent="0.25">
      <c r="A83" s="17">
        <v>66</v>
      </c>
      <c r="B83" s="34" t="str">
        <f>IF(N(C83)=0,"",IF(ISNUMBER(MATCH(C83,C$26:C82,)),INDEX(B$26:B82,MATCH(C83,C$26:C82,)),MAX(B$26:B82)+1))</f>
        <v/>
      </c>
      <c r="C83" s="55"/>
      <c r="D83" s="7"/>
      <c r="E83" s="25" t="str">
        <f t="shared" si="3"/>
        <v/>
      </c>
      <c r="F83" s="25" t="str">
        <f t="shared" si="4"/>
        <v/>
      </c>
      <c r="G83" s="47">
        <f t="shared" si="5"/>
        <v>0</v>
      </c>
      <c r="H83" s="52"/>
      <c r="I83" s="19"/>
      <c r="J83" s="15"/>
      <c r="K83"/>
      <c r="L83"/>
      <c r="M83"/>
      <c r="N83"/>
      <c r="O83"/>
      <c r="P83" s="15"/>
    </row>
    <row r="84" spans="1:16" x14ac:dyDescent="0.25">
      <c r="A84" s="17">
        <v>67</v>
      </c>
      <c r="B84" s="34" t="str">
        <f>IF(N(C84)=0,"",IF(ISNUMBER(MATCH(C84,C$26:C83,)),INDEX(B$26:B83,MATCH(C84,C$26:C83,)),MAX(B$26:B83)+1))</f>
        <v/>
      </c>
      <c r="C84" s="55"/>
      <c r="D84" s="7"/>
      <c r="E84" s="25" t="str">
        <f t="shared" si="3"/>
        <v/>
      </c>
      <c r="F84" s="25" t="str">
        <f t="shared" si="4"/>
        <v/>
      </c>
      <c r="G84" s="47">
        <f t="shared" si="5"/>
        <v>0</v>
      </c>
      <c r="H84" s="52"/>
      <c r="I84" s="19"/>
      <c r="J84" s="15"/>
      <c r="K84"/>
      <c r="L84"/>
      <c r="M84"/>
      <c r="N84"/>
      <c r="O84"/>
      <c r="P84" s="15"/>
    </row>
    <row r="85" spans="1:16" x14ac:dyDescent="0.25">
      <c r="A85" s="17">
        <v>68</v>
      </c>
      <c r="B85" s="34" t="str">
        <f>IF(N(C85)=0,"",IF(ISNUMBER(MATCH(C85,C$26:C84,)),INDEX(B$26:B84,MATCH(C85,C$26:C84,)),MAX(B$26:B84)+1))</f>
        <v/>
      </c>
      <c r="C85" s="55"/>
      <c r="D85" s="7"/>
      <c r="E85" s="25" t="str">
        <f t="shared" si="3"/>
        <v/>
      </c>
      <c r="F85" s="25" t="str">
        <f t="shared" si="4"/>
        <v/>
      </c>
      <c r="G85" s="47">
        <f t="shared" si="5"/>
        <v>0</v>
      </c>
      <c r="H85" s="52"/>
      <c r="I85" s="19"/>
      <c r="J85" s="15"/>
      <c r="K85"/>
      <c r="L85"/>
      <c r="M85"/>
      <c r="N85"/>
      <c r="O85"/>
    </row>
    <row r="86" spans="1:16" x14ac:dyDescent="0.25">
      <c r="A86" s="17">
        <v>69</v>
      </c>
      <c r="B86" s="34" t="str">
        <f>IF(N(C86)=0,"",IF(ISNUMBER(MATCH(C86,C$26:C85,)),INDEX(B$26:B85,MATCH(C86,C$26:C85,)),MAX(B$26:B85)+1))</f>
        <v/>
      </c>
      <c r="C86" s="55"/>
      <c r="D86" s="7"/>
      <c r="E86" s="25" t="str">
        <f t="shared" si="3"/>
        <v/>
      </c>
      <c r="F86" s="25" t="str">
        <f t="shared" si="4"/>
        <v/>
      </c>
      <c r="G86" s="47">
        <f t="shared" si="5"/>
        <v>0</v>
      </c>
      <c r="H86" s="52"/>
      <c r="I86" s="19"/>
      <c r="J86" s="15"/>
      <c r="K86"/>
      <c r="L86"/>
      <c r="M86"/>
      <c r="N86"/>
      <c r="O86"/>
    </row>
    <row r="87" spans="1:16" x14ac:dyDescent="0.25">
      <c r="A87" s="17">
        <v>70</v>
      </c>
      <c r="B87" s="34" t="str">
        <f>IF(N(C87)=0,"",IF(ISNUMBER(MATCH(C87,C$26:C86,)),INDEX(B$26:B86,MATCH(C87,C$26:C86,)),MAX(B$26:B86)+1))</f>
        <v/>
      </c>
      <c r="C87" s="55"/>
      <c r="D87" s="7"/>
      <c r="E87" s="25" t="str">
        <f t="shared" si="3"/>
        <v/>
      </c>
      <c r="F87" s="25" t="str">
        <f t="shared" si="4"/>
        <v/>
      </c>
      <c r="G87" s="47">
        <f t="shared" si="5"/>
        <v>0</v>
      </c>
      <c r="H87" s="52"/>
      <c r="I87" s="19"/>
      <c r="J87" s="15"/>
      <c r="K87"/>
      <c r="L87"/>
      <c r="M87"/>
      <c r="N87"/>
      <c r="O87"/>
    </row>
    <row r="88" spans="1:16" x14ac:dyDescent="0.25">
      <c r="A88" s="17">
        <v>71</v>
      </c>
      <c r="B88" s="34" t="str">
        <f>IF(N(C88)=0,"",IF(ISNUMBER(MATCH(C88,C$26:C87,)),INDEX(B$26:B87,MATCH(C88,C$26:C87,)),MAX(B$26:B87)+1))</f>
        <v/>
      </c>
      <c r="C88" s="55"/>
      <c r="D88" s="7"/>
      <c r="E88" s="25" t="str">
        <f t="shared" si="3"/>
        <v/>
      </c>
      <c r="F88" s="25" t="str">
        <f t="shared" si="4"/>
        <v/>
      </c>
      <c r="G88" s="47">
        <f t="shared" si="5"/>
        <v>0</v>
      </c>
      <c r="H88" s="52"/>
      <c r="I88" s="19"/>
      <c r="J88" s="15"/>
      <c r="K88"/>
      <c r="L88"/>
      <c r="M88"/>
      <c r="N88"/>
      <c r="O88"/>
    </row>
    <row r="89" spans="1:16" x14ac:dyDescent="0.25">
      <c r="A89" s="17">
        <v>72</v>
      </c>
      <c r="B89" s="34" t="str">
        <f>IF(N(C89)=0,"",IF(ISNUMBER(MATCH(C89,C$26:C88,)),INDEX(B$26:B88,MATCH(C89,C$26:C88,)),MAX(B$26:B88)+1))</f>
        <v/>
      </c>
      <c r="C89" s="55"/>
      <c r="D89" s="7"/>
      <c r="E89" s="25" t="str">
        <f t="shared" si="3"/>
        <v/>
      </c>
      <c r="F89" s="25" t="str">
        <f t="shared" si="4"/>
        <v/>
      </c>
      <c r="G89" s="47">
        <f t="shared" si="5"/>
        <v>0</v>
      </c>
      <c r="H89" s="52"/>
      <c r="I89" s="19"/>
      <c r="J89" s="15"/>
      <c r="K89"/>
      <c r="L89"/>
      <c r="M89"/>
      <c r="N89"/>
      <c r="O89"/>
    </row>
    <row r="90" spans="1:16" x14ac:dyDescent="0.25">
      <c r="A90" s="17">
        <v>73</v>
      </c>
      <c r="B90" s="34" t="str">
        <f>IF(N(C90)=0,"",IF(ISNUMBER(MATCH(C90,C$26:C89,)),INDEX(B$26:B89,MATCH(C90,C$26:C89,)),MAX(B$26:B89)+1))</f>
        <v/>
      </c>
      <c r="C90" s="55"/>
      <c r="D90" s="7"/>
      <c r="E90" s="25" t="str">
        <f t="shared" ref="E90:E115" si="6">IF($K$3=0,0,IF(ISNA(VLOOKUP(C90,H$26:I$115,2,))*C90,D90,IF(C90="","",IF(D90="",TRUNC($C$3/C90)-VLOOKUP(C90,H$26:I$115,2,),D90-VLOOKUP(C90,H$26:I$115,2,)))))</f>
        <v/>
      </c>
      <c r="F90" s="25" t="str">
        <f t="shared" ref="F90:F115" si="7">IF($K$3=0,"",IF(AND(C90&lt;&gt;"",D90&lt;&gt;""),D90-E90,IF(D90="","",TRUNC($C$3/C90)-VLOOKUP(C90,H$26:I$115,2,))))</f>
        <v/>
      </c>
      <c r="G90" s="47">
        <f t="shared" si="5"/>
        <v>0</v>
      </c>
      <c r="H90" s="52"/>
      <c r="I90" s="19"/>
      <c r="J90" s="15"/>
      <c r="K90"/>
      <c r="L90"/>
      <c r="M90"/>
      <c r="N90"/>
      <c r="O90"/>
    </row>
    <row r="91" spans="1:16" x14ac:dyDescent="0.25">
      <c r="A91" s="17">
        <v>74</v>
      </c>
      <c r="B91" s="34" t="str">
        <f>IF(N(C91)=0,"",IF(ISNUMBER(MATCH(C91,C$26:C90,)),INDEX(B$26:B90,MATCH(C91,C$26:C90,)),MAX(B$26:B90)+1))</f>
        <v/>
      </c>
      <c r="C91" s="55"/>
      <c r="D91" s="7"/>
      <c r="E91" s="25" t="str">
        <f t="shared" si="6"/>
        <v/>
      </c>
      <c r="F91" s="25" t="str">
        <f t="shared" si="7"/>
        <v/>
      </c>
      <c r="G91" s="47">
        <f t="shared" ref="G91:G114" si="8">--(C91+H91+K91&gt;0)</f>
        <v>0</v>
      </c>
      <c r="H91" s="52"/>
      <c r="I91" s="19"/>
      <c r="J91" s="15"/>
      <c r="K91"/>
      <c r="L91"/>
      <c r="M91"/>
      <c r="N91"/>
      <c r="O91"/>
    </row>
    <row r="92" spans="1:16" x14ac:dyDescent="0.25">
      <c r="A92" s="17">
        <v>75</v>
      </c>
      <c r="B92" s="34" t="str">
        <f>IF(N(C92)=0,"",IF(ISNUMBER(MATCH(C92,C$26:C91,)),INDEX(B$26:B91,MATCH(C92,C$26:C91,)),MAX(B$26:B91)+1))</f>
        <v/>
      </c>
      <c r="C92" s="55"/>
      <c r="D92" s="7"/>
      <c r="E92" s="25" t="str">
        <f t="shared" si="6"/>
        <v/>
      </c>
      <c r="F92" s="25" t="str">
        <f t="shared" si="7"/>
        <v/>
      </c>
      <c r="G92" s="47">
        <f t="shared" si="8"/>
        <v>0</v>
      </c>
      <c r="H92" s="52"/>
      <c r="I92" s="19"/>
      <c r="J92" s="15"/>
      <c r="K92"/>
      <c r="L92"/>
      <c r="M92"/>
      <c r="N92"/>
      <c r="O92"/>
    </row>
    <row r="93" spans="1:16" x14ac:dyDescent="0.25">
      <c r="A93" s="17">
        <v>76</v>
      </c>
      <c r="B93" s="34" t="str">
        <f>IF(N(C93)=0,"",IF(ISNUMBER(MATCH(C93,C$26:C92,)),INDEX(B$26:B92,MATCH(C93,C$26:C92,)),MAX(B$26:B92)+1))</f>
        <v/>
      </c>
      <c r="C93" s="55"/>
      <c r="D93" s="7"/>
      <c r="E93" s="25" t="str">
        <f t="shared" si="6"/>
        <v/>
      </c>
      <c r="F93" s="25" t="str">
        <f t="shared" si="7"/>
        <v/>
      </c>
      <c r="G93" s="47">
        <f t="shared" si="8"/>
        <v>0</v>
      </c>
      <c r="H93" s="52"/>
      <c r="I93" s="19"/>
      <c r="J93" s="15"/>
      <c r="K93"/>
      <c r="L93"/>
      <c r="M93"/>
      <c r="N93"/>
      <c r="O93"/>
    </row>
    <row r="94" spans="1:16" x14ac:dyDescent="0.25">
      <c r="A94" s="17">
        <v>77</v>
      </c>
      <c r="B94" s="34" t="str">
        <f>IF(N(C94)=0,"",IF(ISNUMBER(MATCH(C94,C$26:C93,)),INDEX(B$26:B93,MATCH(C94,C$26:C93,)),MAX(B$26:B93)+1))</f>
        <v/>
      </c>
      <c r="C94" s="55"/>
      <c r="D94" s="7"/>
      <c r="E94" s="25" t="str">
        <f t="shared" si="6"/>
        <v/>
      </c>
      <c r="F94" s="25" t="str">
        <f t="shared" si="7"/>
        <v/>
      </c>
      <c r="G94" s="47">
        <f t="shared" si="8"/>
        <v>0</v>
      </c>
      <c r="H94" s="52"/>
      <c r="I94" s="19"/>
      <c r="J94" s="15"/>
      <c r="K94"/>
      <c r="L94"/>
      <c r="M94"/>
      <c r="N94"/>
      <c r="O94"/>
    </row>
    <row r="95" spans="1:16" x14ac:dyDescent="0.25">
      <c r="A95" s="17">
        <v>78</v>
      </c>
      <c r="B95" s="34" t="str">
        <f>IF(N(C95)=0,"",IF(ISNUMBER(MATCH(C95,C$26:C94,)),INDEX(B$26:B94,MATCH(C95,C$26:C94,)),MAX(B$26:B94)+1))</f>
        <v/>
      </c>
      <c r="C95" s="55"/>
      <c r="D95" s="7"/>
      <c r="E95" s="25" t="str">
        <f t="shared" si="6"/>
        <v/>
      </c>
      <c r="F95" s="25" t="str">
        <f t="shared" si="7"/>
        <v/>
      </c>
      <c r="G95" s="47">
        <f t="shared" si="8"/>
        <v>0</v>
      </c>
      <c r="H95" s="52"/>
      <c r="I95" s="19"/>
      <c r="J95" s="15"/>
      <c r="K95"/>
      <c r="L95"/>
      <c r="M95"/>
      <c r="N95"/>
      <c r="O95"/>
    </row>
    <row r="96" spans="1:16" x14ac:dyDescent="0.25">
      <c r="A96" s="17">
        <v>79</v>
      </c>
      <c r="B96" s="34" t="str">
        <f>IF(N(C96)=0,"",IF(ISNUMBER(MATCH(C96,C$26:C95,)),INDEX(B$26:B95,MATCH(C96,C$26:C95,)),MAX(B$26:B95)+1))</f>
        <v/>
      </c>
      <c r="C96" s="55"/>
      <c r="D96" s="7"/>
      <c r="E96" s="25" t="str">
        <f t="shared" si="6"/>
        <v/>
      </c>
      <c r="F96" s="25" t="str">
        <f t="shared" si="7"/>
        <v/>
      </c>
      <c r="G96" s="47">
        <f t="shared" si="8"/>
        <v>0</v>
      </c>
      <c r="H96" s="52"/>
      <c r="I96" s="19"/>
      <c r="J96" s="15"/>
      <c r="K96"/>
      <c r="L96"/>
      <c r="M96"/>
      <c r="N96"/>
      <c r="O96"/>
    </row>
    <row r="97" spans="1:15" x14ac:dyDescent="0.25">
      <c r="A97" s="17">
        <v>80</v>
      </c>
      <c r="B97" s="34" t="str">
        <f>IF(N(C97)=0,"",IF(ISNUMBER(MATCH(C97,C$26:C96,)),INDEX(B$26:B96,MATCH(C97,C$26:C96,)),MAX(B$26:B96)+1))</f>
        <v/>
      </c>
      <c r="C97" s="55"/>
      <c r="D97" s="7"/>
      <c r="E97" s="25" t="str">
        <f t="shared" si="6"/>
        <v/>
      </c>
      <c r="F97" s="25" t="str">
        <f t="shared" si="7"/>
        <v/>
      </c>
      <c r="G97" s="47">
        <f t="shared" si="8"/>
        <v>0</v>
      </c>
      <c r="H97" s="52"/>
      <c r="I97" s="19"/>
      <c r="J97" s="17" t="s">
        <v>15</v>
      </c>
      <c r="K97"/>
      <c r="L97"/>
      <c r="M97"/>
      <c r="N97"/>
      <c r="O97"/>
    </row>
    <row r="98" spans="1:15" x14ac:dyDescent="0.25">
      <c r="A98" s="17">
        <v>81</v>
      </c>
      <c r="B98" s="34" t="str">
        <f>IF(N(C98)=0,"",IF(ISNUMBER(MATCH(C98,C$26:C97,)),INDEX(B$26:B97,MATCH(C98,C$26:C97,)),MAX(B$26:B97)+1))</f>
        <v/>
      </c>
      <c r="C98" s="55"/>
      <c r="D98" s="7"/>
      <c r="E98" s="25" t="str">
        <f t="shared" si="6"/>
        <v/>
      </c>
      <c r="F98" s="25" t="str">
        <f t="shared" si="7"/>
        <v/>
      </c>
      <c r="G98" s="47">
        <f t="shared" si="8"/>
        <v>0</v>
      </c>
      <c r="H98" s="52"/>
      <c r="I98" s="19"/>
      <c r="J98" s="17" t="s">
        <v>16</v>
      </c>
      <c r="K98"/>
      <c r="L98"/>
      <c r="M98"/>
      <c r="N98"/>
      <c r="O98"/>
    </row>
    <row r="99" spans="1:15" x14ac:dyDescent="0.25">
      <c r="A99" s="17">
        <v>82</v>
      </c>
      <c r="B99" s="34" t="str">
        <f>IF(N(C99)=0,"",IF(ISNUMBER(MATCH(C99,C$26:C98,)),INDEX(B$26:B98,MATCH(C99,C$26:C98,)),MAX(B$26:B98)+1))</f>
        <v/>
      </c>
      <c r="C99" s="55"/>
      <c r="D99" s="7"/>
      <c r="E99" s="25" t="str">
        <f t="shared" si="6"/>
        <v/>
      </c>
      <c r="F99" s="25" t="str">
        <f t="shared" si="7"/>
        <v/>
      </c>
      <c r="G99" s="47">
        <f t="shared" si="8"/>
        <v>0</v>
      </c>
      <c r="H99" s="52"/>
      <c r="I99" s="19"/>
      <c r="J99" s="15"/>
      <c r="K99"/>
      <c r="L99"/>
      <c r="M99"/>
      <c r="N99"/>
      <c r="O99"/>
    </row>
    <row r="100" spans="1:15" x14ac:dyDescent="0.25">
      <c r="A100" s="17">
        <v>83</v>
      </c>
      <c r="B100" s="34" t="str">
        <f>IF(N(C100)=0,"",IF(ISNUMBER(MATCH(C100,C$26:C99,)),INDEX(B$26:B99,MATCH(C100,C$26:C99,)),MAX(B$26:B99)+1))</f>
        <v/>
      </c>
      <c r="C100" s="55"/>
      <c r="D100" s="7"/>
      <c r="E100" s="25" t="str">
        <f t="shared" si="6"/>
        <v/>
      </c>
      <c r="F100" s="25" t="str">
        <f t="shared" si="7"/>
        <v/>
      </c>
      <c r="G100" s="47">
        <f t="shared" si="8"/>
        <v>0</v>
      </c>
      <c r="H100" s="52"/>
      <c r="I100" s="19"/>
      <c r="J100" s="15"/>
      <c r="K100"/>
      <c r="L100"/>
      <c r="M100"/>
      <c r="N100"/>
      <c r="O100"/>
    </row>
    <row r="101" spans="1:15" x14ac:dyDescent="0.25">
      <c r="A101" s="17">
        <v>84</v>
      </c>
      <c r="B101" s="34" t="str">
        <f>IF(N(C101)=0,"",IF(ISNUMBER(MATCH(C101,C$26:C100,)),INDEX(B$26:B100,MATCH(C101,C$26:C100,)),MAX(B$26:B100)+1))</f>
        <v/>
      </c>
      <c r="C101" s="55"/>
      <c r="D101" s="7"/>
      <c r="E101" s="25" t="str">
        <f t="shared" si="6"/>
        <v/>
      </c>
      <c r="F101" s="25" t="str">
        <f t="shared" si="7"/>
        <v/>
      </c>
      <c r="G101" s="47">
        <f t="shared" si="8"/>
        <v>0</v>
      </c>
      <c r="H101" s="52"/>
      <c r="I101" s="19"/>
      <c r="J101" s="15"/>
      <c r="K101"/>
      <c r="L101"/>
      <c r="M101"/>
      <c r="N101"/>
      <c r="O101"/>
    </row>
    <row r="102" spans="1:15" x14ac:dyDescent="0.25">
      <c r="A102" s="17">
        <v>85</v>
      </c>
      <c r="B102" s="34" t="str">
        <f>IF(N(C102)=0,"",IF(ISNUMBER(MATCH(C102,C$26:C101,)),INDEX(B$26:B101,MATCH(C102,C$26:C101,)),MAX(B$26:B101)+1))</f>
        <v/>
      </c>
      <c r="C102" s="55"/>
      <c r="D102" s="7"/>
      <c r="E102" s="25" t="str">
        <f t="shared" si="6"/>
        <v/>
      </c>
      <c r="F102" s="25" t="str">
        <f t="shared" si="7"/>
        <v/>
      </c>
      <c r="G102" s="47">
        <f t="shared" si="8"/>
        <v>0</v>
      </c>
      <c r="H102" s="52"/>
      <c r="I102" s="19"/>
      <c r="J102" s="15"/>
      <c r="K102"/>
      <c r="L102"/>
      <c r="M102"/>
      <c r="N102"/>
      <c r="O102"/>
    </row>
    <row r="103" spans="1:15" x14ac:dyDescent="0.25">
      <c r="A103" s="17">
        <v>86</v>
      </c>
      <c r="B103" s="34" t="str">
        <f>IF(N(C103)=0,"",IF(ISNUMBER(MATCH(C103,C$26:C102,)),INDEX(B$26:B102,MATCH(C103,C$26:C102,)),MAX(B$26:B102)+1))</f>
        <v/>
      </c>
      <c r="C103" s="55"/>
      <c r="D103" s="7"/>
      <c r="E103" s="25" t="str">
        <f t="shared" si="6"/>
        <v/>
      </c>
      <c r="F103" s="25" t="str">
        <f t="shared" si="7"/>
        <v/>
      </c>
      <c r="G103" s="47">
        <f t="shared" si="8"/>
        <v>0</v>
      </c>
      <c r="H103" s="52"/>
      <c r="I103" s="19"/>
      <c r="J103" s="15"/>
      <c r="K103"/>
      <c r="L103"/>
      <c r="M103"/>
      <c r="N103"/>
      <c r="O103"/>
    </row>
    <row r="104" spans="1:15" x14ac:dyDescent="0.25">
      <c r="A104" s="17">
        <v>87</v>
      </c>
      <c r="B104" s="34" t="str">
        <f>IF(N(C104)=0,"",IF(ISNUMBER(MATCH(C104,C$26:C103,)),INDEX(B$26:B103,MATCH(C104,C$26:C103,)),MAX(B$26:B103)+1))</f>
        <v/>
      </c>
      <c r="C104" s="55"/>
      <c r="D104" s="7"/>
      <c r="E104" s="25" t="str">
        <f t="shared" si="6"/>
        <v/>
      </c>
      <c r="F104" s="25" t="str">
        <f t="shared" si="7"/>
        <v/>
      </c>
      <c r="G104" s="47">
        <f t="shared" si="8"/>
        <v>0</v>
      </c>
      <c r="H104" s="52"/>
      <c r="I104" s="19"/>
      <c r="K104"/>
      <c r="L104"/>
      <c r="M104"/>
      <c r="N104"/>
      <c r="O104"/>
    </row>
    <row r="105" spans="1:15" x14ac:dyDescent="0.25">
      <c r="A105" s="17">
        <v>88</v>
      </c>
      <c r="B105" s="34" t="str">
        <f>IF(N(C105)=0,"",IF(ISNUMBER(MATCH(C105,C$26:C104,)),INDEX(B$26:B104,MATCH(C105,C$26:C104,)),MAX(B$26:B104)+1))</f>
        <v/>
      </c>
      <c r="C105" s="55"/>
      <c r="D105" s="7"/>
      <c r="E105" s="25" t="str">
        <f t="shared" si="6"/>
        <v/>
      </c>
      <c r="F105" s="25" t="str">
        <f t="shared" si="7"/>
        <v/>
      </c>
      <c r="G105" s="47">
        <f t="shared" si="8"/>
        <v>0</v>
      </c>
      <c r="H105" s="52"/>
      <c r="I105" s="19"/>
      <c r="K105"/>
      <c r="L105"/>
      <c r="M105"/>
      <c r="N105"/>
      <c r="O105"/>
    </row>
    <row r="106" spans="1:15" x14ac:dyDescent="0.25">
      <c r="A106" s="17">
        <v>89</v>
      </c>
      <c r="B106" s="34" t="str">
        <f>IF(N(C106)=0,"",IF(ISNUMBER(MATCH(C106,C$26:C105,)),INDEX(B$26:B105,MATCH(C106,C$26:C105,)),MAX(B$26:B105)+1))</f>
        <v/>
      </c>
      <c r="C106" s="55"/>
      <c r="D106" s="7"/>
      <c r="E106" s="25" t="str">
        <f t="shared" si="6"/>
        <v/>
      </c>
      <c r="F106" s="25" t="str">
        <f t="shared" si="7"/>
        <v/>
      </c>
      <c r="G106" s="47">
        <f t="shared" si="8"/>
        <v>0</v>
      </c>
      <c r="H106" s="52"/>
      <c r="I106" s="19"/>
      <c r="K106"/>
      <c r="L106"/>
      <c r="M106"/>
      <c r="N106"/>
      <c r="O106"/>
    </row>
    <row r="107" spans="1:15" x14ac:dyDescent="0.25">
      <c r="A107" s="17">
        <v>90</v>
      </c>
      <c r="B107" s="34" t="str">
        <f>IF(N(C107)=0,"",IF(ISNUMBER(MATCH(C107,C$26:C106,)),INDEX(B$26:B106,MATCH(C107,C$26:C106,)),MAX(B$26:B106)+1))</f>
        <v/>
      </c>
      <c r="C107" s="55"/>
      <c r="D107" s="7"/>
      <c r="E107" s="25" t="str">
        <f t="shared" si="6"/>
        <v/>
      </c>
      <c r="F107" s="25" t="str">
        <f t="shared" si="7"/>
        <v/>
      </c>
      <c r="G107" s="47">
        <f t="shared" si="8"/>
        <v>0</v>
      </c>
      <c r="H107" s="52"/>
      <c r="I107" s="19"/>
      <c r="K107"/>
      <c r="L107"/>
      <c r="M107"/>
      <c r="N107"/>
      <c r="O107"/>
    </row>
    <row r="108" spans="1:15" x14ac:dyDescent="0.25">
      <c r="A108" s="17">
        <v>91</v>
      </c>
      <c r="B108" s="34" t="str">
        <f>IF(N(C108)=0,"",IF(ISNUMBER(MATCH(C108,C$26:C107,)),INDEX(B$26:B107,MATCH(C108,C$26:C107,)),MAX(B$26:B107)+1))</f>
        <v/>
      </c>
      <c r="C108" s="55"/>
      <c r="D108" s="7"/>
      <c r="E108" s="25" t="str">
        <f t="shared" si="6"/>
        <v/>
      </c>
      <c r="F108" s="25" t="str">
        <f t="shared" si="7"/>
        <v/>
      </c>
      <c r="G108" s="47">
        <f t="shared" si="8"/>
        <v>0</v>
      </c>
      <c r="H108" s="52"/>
      <c r="I108" s="19"/>
      <c r="K108"/>
      <c r="L108"/>
      <c r="M108"/>
      <c r="N108"/>
      <c r="O108"/>
    </row>
    <row r="109" spans="1:15" x14ac:dyDescent="0.25">
      <c r="A109" s="17">
        <v>92</v>
      </c>
      <c r="B109" s="34" t="str">
        <f>IF(N(C109)=0,"",IF(ISNUMBER(MATCH(C109,C$26:C108,)),INDEX(B$26:B108,MATCH(C109,C$26:C108,)),MAX(B$26:B108)+1))</f>
        <v/>
      </c>
      <c r="C109" s="55"/>
      <c r="D109" s="7"/>
      <c r="E109" s="25" t="str">
        <f t="shared" si="6"/>
        <v/>
      </c>
      <c r="F109" s="25" t="str">
        <f t="shared" si="7"/>
        <v/>
      </c>
      <c r="G109" s="47">
        <f t="shared" si="8"/>
        <v>0</v>
      </c>
      <c r="H109" s="52"/>
      <c r="I109" s="19"/>
      <c r="K109"/>
      <c r="L109"/>
      <c r="M109"/>
      <c r="N109"/>
      <c r="O109"/>
    </row>
    <row r="110" spans="1:15" x14ac:dyDescent="0.25">
      <c r="A110" s="17">
        <v>93</v>
      </c>
      <c r="B110" s="34" t="str">
        <f>IF(N(C110)=0,"",IF(ISNUMBER(MATCH(C110,C$26:C109,)),INDEX(B$26:B109,MATCH(C110,C$26:C109,)),MAX(B$26:B109)+1))</f>
        <v/>
      </c>
      <c r="C110" s="55"/>
      <c r="D110" s="7"/>
      <c r="E110" s="25" t="str">
        <f t="shared" si="6"/>
        <v/>
      </c>
      <c r="F110" s="25" t="str">
        <f t="shared" si="7"/>
        <v/>
      </c>
      <c r="G110" s="47">
        <f t="shared" si="8"/>
        <v>0</v>
      </c>
      <c r="H110" s="52"/>
      <c r="I110" s="19"/>
      <c r="K110"/>
      <c r="L110"/>
      <c r="M110"/>
      <c r="N110"/>
      <c r="O110"/>
    </row>
    <row r="111" spans="1:15" x14ac:dyDescent="0.25">
      <c r="A111" s="17">
        <v>94</v>
      </c>
      <c r="B111" s="34" t="str">
        <f>IF(N(C111)=0,"",IF(ISNUMBER(MATCH(C111,C$26:C110,)),INDEX(B$26:B110,MATCH(C111,C$26:C110,)),MAX(B$26:B110)+1))</f>
        <v/>
      </c>
      <c r="C111" s="55"/>
      <c r="D111" s="7"/>
      <c r="E111" s="25" t="str">
        <f t="shared" si="6"/>
        <v/>
      </c>
      <c r="F111" s="25" t="str">
        <f t="shared" si="7"/>
        <v/>
      </c>
      <c r="G111" s="47">
        <f t="shared" si="8"/>
        <v>0</v>
      </c>
      <c r="H111" s="52"/>
      <c r="I111" s="19"/>
      <c r="K111"/>
      <c r="L111"/>
      <c r="M111"/>
      <c r="N111"/>
      <c r="O111"/>
    </row>
    <row r="112" spans="1:15" x14ac:dyDescent="0.25">
      <c r="A112" s="17">
        <v>95</v>
      </c>
      <c r="B112" s="34" t="str">
        <f>IF(N(C112)=0,"",IF(ISNUMBER(MATCH(C112,C$26:C111,)),INDEX(B$26:B111,MATCH(C112,C$26:C111,)),MAX(B$26:B111)+1))</f>
        <v/>
      </c>
      <c r="C112" s="55"/>
      <c r="D112" s="7"/>
      <c r="E112" s="25" t="str">
        <f t="shared" si="6"/>
        <v/>
      </c>
      <c r="F112" s="25" t="str">
        <f t="shared" si="7"/>
        <v/>
      </c>
      <c r="G112" s="47">
        <f t="shared" si="8"/>
        <v>0</v>
      </c>
      <c r="H112" s="52"/>
      <c r="I112" s="19"/>
      <c r="K112"/>
      <c r="L112"/>
      <c r="M112"/>
      <c r="N112"/>
      <c r="O112"/>
    </row>
    <row r="113" spans="1:15" x14ac:dyDescent="0.25">
      <c r="A113" s="17">
        <v>96</v>
      </c>
      <c r="B113" s="34" t="str">
        <f>IF(N(C113)=0,"",IF(ISNUMBER(MATCH(C113,C$26:C112,)),INDEX(B$26:B112,MATCH(C113,C$26:C112,)),MAX(B$26:B112)+1))</f>
        <v/>
      </c>
      <c r="C113" s="55"/>
      <c r="D113" s="7"/>
      <c r="E113" s="25" t="str">
        <f t="shared" si="6"/>
        <v/>
      </c>
      <c r="F113" s="25" t="str">
        <f t="shared" si="7"/>
        <v/>
      </c>
      <c r="G113" s="47">
        <f t="shared" si="8"/>
        <v>0</v>
      </c>
      <c r="H113" s="52"/>
      <c r="I113" s="19"/>
      <c r="K113"/>
      <c r="L113"/>
      <c r="M113"/>
      <c r="N113"/>
      <c r="O113"/>
    </row>
    <row r="114" spans="1:15" x14ac:dyDescent="0.25">
      <c r="A114" s="17">
        <v>97</v>
      </c>
      <c r="B114" s="34" t="str">
        <f>IF(N(C114)=0,"",IF(ISNUMBER(MATCH(C114,C$26:C113,)),INDEX(B$26:B113,MATCH(C114,C$26:C113,)),MAX(B$26:B113)+1))</f>
        <v/>
      </c>
      <c r="C114" s="55"/>
      <c r="D114" s="7"/>
      <c r="E114" s="25" t="str">
        <f t="shared" si="6"/>
        <v/>
      </c>
      <c r="F114" s="25" t="str">
        <f t="shared" si="7"/>
        <v/>
      </c>
      <c r="G114" s="47">
        <f t="shared" si="8"/>
        <v>0</v>
      </c>
      <c r="H114" s="52"/>
      <c r="I114" s="19"/>
      <c r="K114"/>
      <c r="L114"/>
      <c r="M114"/>
      <c r="N114"/>
      <c r="O114"/>
    </row>
    <row r="115" spans="1:15" x14ac:dyDescent="0.25">
      <c r="A115" s="17">
        <v>98</v>
      </c>
      <c r="B115" s="35" t="str">
        <f>IF(N(C115)=0,"",IF(ISNUMBER(MATCH(C115,C$26:C114,)),INDEX(B$26:B114,MATCH(C115,C$26:C114,)),MAX(B$26:B114)+1))</f>
        <v/>
      </c>
      <c r="C115" s="56"/>
      <c r="D115" s="8"/>
      <c r="E115" s="26" t="str">
        <f t="shared" si="6"/>
        <v/>
      </c>
      <c r="F115" s="26" t="str">
        <f t="shared" si="7"/>
        <v/>
      </c>
      <c r="G115" s="47">
        <v>1</v>
      </c>
      <c r="H115" s="53"/>
      <c r="I115" s="20"/>
      <c r="K115"/>
      <c r="L115"/>
      <c r="M115"/>
      <c r="N115"/>
      <c r="O115"/>
    </row>
    <row r="116" spans="1:15" x14ac:dyDescent="0.25">
      <c r="K116"/>
      <c r="L116"/>
      <c r="M116"/>
      <c r="N116"/>
      <c r="O116"/>
    </row>
    <row r="117" spans="1:15" x14ac:dyDescent="0.25">
      <c r="K117"/>
      <c r="L117"/>
      <c r="M117"/>
      <c r="N117"/>
      <c r="O117"/>
    </row>
    <row r="118" spans="1:15" x14ac:dyDescent="0.25">
      <c r="K118"/>
      <c r="L118"/>
      <c r="M118"/>
      <c r="N118"/>
      <c r="O118"/>
    </row>
    <row r="119" spans="1:15" x14ac:dyDescent="0.25">
      <c r="K119"/>
      <c r="L119"/>
      <c r="M119"/>
      <c r="N119"/>
      <c r="O119"/>
    </row>
    <row r="120" spans="1:15" x14ac:dyDescent="0.25">
      <c r="K120"/>
      <c r="L120"/>
      <c r="M120"/>
      <c r="N120"/>
      <c r="O120"/>
    </row>
    <row r="121" spans="1:15" x14ac:dyDescent="0.25">
      <c r="K121"/>
      <c r="L121"/>
      <c r="M121"/>
      <c r="N121"/>
      <c r="O121"/>
    </row>
    <row r="122" spans="1:15" x14ac:dyDescent="0.25">
      <c r="K122"/>
      <c r="L122"/>
      <c r="M122"/>
      <c r="N122"/>
      <c r="O122"/>
    </row>
    <row r="123" spans="1:15" x14ac:dyDescent="0.25">
      <c r="K123"/>
      <c r="L123"/>
      <c r="M123"/>
      <c r="N123"/>
      <c r="O123"/>
    </row>
    <row r="124" spans="1:15" x14ac:dyDescent="0.25">
      <c r="K124"/>
      <c r="L124"/>
      <c r="M124"/>
      <c r="N124"/>
      <c r="O124"/>
    </row>
    <row r="125" spans="1:15" x14ac:dyDescent="0.25">
      <c r="K125"/>
      <c r="L125"/>
      <c r="M125"/>
      <c r="N125"/>
      <c r="O125"/>
    </row>
    <row r="126" spans="1:15" x14ac:dyDescent="0.25">
      <c r="K126"/>
      <c r="L126"/>
      <c r="M126"/>
      <c r="N126"/>
      <c r="O126"/>
    </row>
    <row r="127" spans="1:15" x14ac:dyDescent="0.25">
      <c r="K127"/>
      <c r="L127"/>
      <c r="M127"/>
      <c r="N127"/>
      <c r="O127"/>
    </row>
    <row r="128" spans="1:15" x14ac:dyDescent="0.25">
      <c r="K128"/>
      <c r="L128"/>
      <c r="M128"/>
      <c r="N128"/>
      <c r="O128"/>
    </row>
    <row r="129" spans="11:15" x14ac:dyDescent="0.25">
      <c r="K129"/>
      <c r="L129"/>
      <c r="M129"/>
      <c r="N129"/>
      <c r="O129"/>
    </row>
    <row r="130" spans="11:15" x14ac:dyDescent="0.25">
      <c r="K130"/>
      <c r="L130"/>
      <c r="M130"/>
      <c r="N130"/>
      <c r="O130"/>
    </row>
    <row r="131" spans="11:15" x14ac:dyDescent="0.25">
      <c r="K131"/>
      <c r="L131"/>
      <c r="M131"/>
      <c r="N131"/>
      <c r="O131"/>
    </row>
    <row r="132" spans="11:15" x14ac:dyDescent="0.25">
      <c r="K132"/>
      <c r="L132"/>
      <c r="M132"/>
      <c r="N132"/>
      <c r="O132"/>
    </row>
    <row r="133" spans="11:15" x14ac:dyDescent="0.25">
      <c r="K133"/>
      <c r="L133"/>
      <c r="M133"/>
      <c r="N133"/>
      <c r="O133"/>
    </row>
    <row r="134" spans="11:15" x14ac:dyDescent="0.25">
      <c r="K134"/>
      <c r="L134"/>
      <c r="M134"/>
      <c r="N134"/>
      <c r="O134"/>
    </row>
    <row r="135" spans="11:15" x14ac:dyDescent="0.25">
      <c r="K135"/>
      <c r="L135"/>
      <c r="M135"/>
      <c r="N135"/>
      <c r="O135"/>
    </row>
    <row r="136" spans="11:15" x14ac:dyDescent="0.25">
      <c r="K136"/>
      <c r="L136"/>
      <c r="M136"/>
      <c r="N136"/>
      <c r="O136"/>
    </row>
    <row r="137" spans="11:15" x14ac:dyDescent="0.25">
      <c r="K137"/>
      <c r="L137"/>
      <c r="M137"/>
      <c r="N137"/>
      <c r="O137"/>
    </row>
    <row r="138" spans="11:15" x14ac:dyDescent="0.25">
      <c r="K138"/>
      <c r="L138"/>
      <c r="M138"/>
      <c r="N138"/>
      <c r="O138"/>
    </row>
    <row r="139" spans="11:15" x14ac:dyDescent="0.25">
      <c r="K139"/>
      <c r="L139"/>
      <c r="M139"/>
      <c r="N139"/>
      <c r="O139"/>
    </row>
    <row r="140" spans="11:15" x14ac:dyDescent="0.25">
      <c r="K140"/>
      <c r="L140"/>
      <c r="M140"/>
      <c r="N140"/>
      <c r="O140"/>
    </row>
    <row r="141" spans="11:15" x14ac:dyDescent="0.25">
      <c r="K141"/>
      <c r="L141"/>
      <c r="M141"/>
      <c r="N141"/>
      <c r="O141"/>
    </row>
    <row r="142" spans="11:15" x14ac:dyDescent="0.25">
      <c r="K142"/>
      <c r="L142"/>
      <c r="M142"/>
      <c r="N142"/>
      <c r="O142"/>
    </row>
    <row r="143" spans="11:15" x14ac:dyDescent="0.25">
      <c r="K143"/>
      <c r="L143"/>
      <c r="M143"/>
      <c r="N143"/>
      <c r="O143"/>
    </row>
    <row r="144" spans="11:15" x14ac:dyDescent="0.25">
      <c r="K144"/>
      <c r="L144"/>
      <c r="M144"/>
      <c r="N144"/>
      <c r="O144"/>
    </row>
    <row r="145" spans="11:15" x14ac:dyDescent="0.25">
      <c r="K145"/>
      <c r="L145"/>
      <c r="M145"/>
      <c r="N145"/>
      <c r="O145"/>
    </row>
    <row r="146" spans="11:15" x14ac:dyDescent="0.25">
      <c r="K146"/>
      <c r="L146"/>
      <c r="M146"/>
      <c r="N146"/>
      <c r="O146"/>
    </row>
    <row r="147" spans="11:15" x14ac:dyDescent="0.25">
      <c r="K147"/>
      <c r="L147"/>
      <c r="M147"/>
      <c r="N147"/>
      <c r="O147"/>
    </row>
    <row r="148" spans="11:15" x14ac:dyDescent="0.25">
      <c r="K148"/>
      <c r="L148"/>
      <c r="M148"/>
      <c r="N148"/>
      <c r="O148"/>
    </row>
    <row r="149" spans="11:15" x14ac:dyDescent="0.25">
      <c r="K149"/>
      <c r="L149"/>
      <c r="M149"/>
      <c r="N149"/>
      <c r="O149"/>
    </row>
    <row r="150" spans="11:15" x14ac:dyDescent="0.25">
      <c r="K150"/>
      <c r="L150"/>
      <c r="M150"/>
      <c r="N150"/>
      <c r="O150"/>
    </row>
    <row r="151" spans="11:15" x14ac:dyDescent="0.25">
      <c r="K151"/>
      <c r="L151"/>
      <c r="M151"/>
      <c r="N151"/>
      <c r="O151"/>
    </row>
    <row r="152" spans="11:15" x14ac:dyDescent="0.25">
      <c r="K152"/>
      <c r="L152"/>
      <c r="M152"/>
      <c r="N152"/>
      <c r="O152"/>
    </row>
    <row r="153" spans="11:15" x14ac:dyDescent="0.25">
      <c r="K153"/>
      <c r="L153"/>
      <c r="M153"/>
      <c r="N153"/>
      <c r="O153"/>
    </row>
    <row r="154" spans="11:15" x14ac:dyDescent="0.25">
      <c r="K154"/>
      <c r="L154"/>
      <c r="M154"/>
      <c r="N154"/>
      <c r="O154"/>
    </row>
    <row r="155" spans="11:15" x14ac:dyDescent="0.25">
      <c r="K155"/>
      <c r="L155"/>
      <c r="M155"/>
      <c r="N155"/>
      <c r="O155"/>
    </row>
    <row r="156" spans="11:15" x14ac:dyDescent="0.25">
      <c r="K156"/>
      <c r="L156"/>
      <c r="M156"/>
      <c r="N156"/>
      <c r="O156"/>
    </row>
    <row r="157" spans="11:15" x14ac:dyDescent="0.25">
      <c r="K157"/>
      <c r="L157"/>
      <c r="M157"/>
      <c r="N157"/>
      <c r="O157"/>
    </row>
    <row r="158" spans="11:15" x14ac:dyDescent="0.25">
      <c r="K158"/>
      <c r="L158"/>
      <c r="M158"/>
      <c r="N158"/>
      <c r="O158"/>
    </row>
    <row r="159" spans="11:15" x14ac:dyDescent="0.25">
      <c r="K159"/>
      <c r="L159"/>
      <c r="M159"/>
      <c r="N159"/>
      <c r="O159"/>
    </row>
    <row r="160" spans="11:15" x14ac:dyDescent="0.25">
      <c r="K160"/>
      <c r="L160"/>
      <c r="M160"/>
      <c r="N160"/>
      <c r="O160"/>
    </row>
    <row r="161" spans="11:15" x14ac:dyDescent="0.25">
      <c r="K161"/>
      <c r="L161"/>
      <c r="M161"/>
      <c r="N161"/>
      <c r="O161"/>
    </row>
    <row r="162" spans="11:15" x14ac:dyDescent="0.25">
      <c r="K162"/>
      <c r="L162"/>
      <c r="M162"/>
      <c r="N162"/>
      <c r="O162"/>
    </row>
    <row r="163" spans="11:15" x14ac:dyDescent="0.25">
      <c r="K163"/>
      <c r="L163"/>
      <c r="M163"/>
      <c r="N163"/>
      <c r="O163"/>
    </row>
    <row r="164" spans="11:15" x14ac:dyDescent="0.25">
      <c r="K164"/>
      <c r="L164"/>
      <c r="M164"/>
      <c r="N164"/>
      <c r="O164"/>
    </row>
    <row r="165" spans="11:15" x14ac:dyDescent="0.25">
      <c r="K165"/>
      <c r="L165"/>
      <c r="M165"/>
      <c r="N165"/>
      <c r="O165"/>
    </row>
    <row r="166" spans="11:15" x14ac:dyDescent="0.25">
      <c r="K166"/>
      <c r="L166"/>
      <c r="M166"/>
      <c r="N166"/>
      <c r="O166"/>
    </row>
    <row r="167" spans="11:15" x14ac:dyDescent="0.25">
      <c r="K167"/>
      <c r="L167"/>
      <c r="M167"/>
      <c r="N167"/>
      <c r="O167"/>
    </row>
    <row r="168" spans="11:15" x14ac:dyDescent="0.25">
      <c r="K168"/>
      <c r="L168"/>
      <c r="M168"/>
      <c r="N168"/>
      <c r="O168"/>
    </row>
    <row r="169" spans="11:15" x14ac:dyDescent="0.25">
      <c r="K169"/>
      <c r="L169"/>
      <c r="M169"/>
      <c r="N169"/>
      <c r="O169"/>
    </row>
    <row r="170" spans="11:15" x14ac:dyDescent="0.25">
      <c r="K170"/>
      <c r="L170"/>
      <c r="M170"/>
      <c r="N170"/>
      <c r="O170"/>
    </row>
    <row r="171" spans="11:15" x14ac:dyDescent="0.25">
      <c r="K171"/>
      <c r="L171"/>
      <c r="M171"/>
      <c r="N171"/>
      <c r="O171"/>
    </row>
    <row r="172" spans="11:15" x14ac:dyDescent="0.25">
      <c r="K172"/>
      <c r="L172"/>
      <c r="M172"/>
      <c r="N172"/>
      <c r="O172"/>
    </row>
    <row r="173" spans="11:15" x14ac:dyDescent="0.25">
      <c r="K173"/>
      <c r="L173"/>
      <c r="M173"/>
      <c r="N173"/>
      <c r="O173"/>
    </row>
    <row r="174" spans="11:15" x14ac:dyDescent="0.25">
      <c r="K174"/>
      <c r="L174"/>
      <c r="M174"/>
      <c r="N174"/>
      <c r="O174"/>
    </row>
    <row r="175" spans="11:15" x14ac:dyDescent="0.25">
      <c r="K175"/>
      <c r="L175"/>
      <c r="M175"/>
      <c r="N175"/>
      <c r="O175"/>
    </row>
    <row r="176" spans="11:15" x14ac:dyDescent="0.25">
      <c r="K176"/>
      <c r="L176"/>
      <c r="M176"/>
      <c r="N176"/>
      <c r="O176"/>
    </row>
    <row r="177" spans="11:15" x14ac:dyDescent="0.25">
      <c r="K177"/>
      <c r="L177"/>
      <c r="M177"/>
      <c r="N177"/>
      <c r="O177"/>
    </row>
    <row r="178" spans="11:15" x14ac:dyDescent="0.25">
      <c r="K178"/>
      <c r="L178"/>
      <c r="M178"/>
      <c r="N178"/>
      <c r="O178"/>
    </row>
    <row r="179" spans="11:15" x14ac:dyDescent="0.25">
      <c r="K179"/>
      <c r="L179"/>
      <c r="M179"/>
      <c r="N179"/>
      <c r="O179"/>
    </row>
    <row r="180" spans="11:15" x14ac:dyDescent="0.25">
      <c r="K180"/>
      <c r="L180"/>
      <c r="M180"/>
      <c r="N180"/>
      <c r="O180"/>
    </row>
    <row r="181" spans="11:15" x14ac:dyDescent="0.25">
      <c r="K181"/>
      <c r="L181"/>
      <c r="M181"/>
      <c r="N181"/>
      <c r="O181"/>
    </row>
    <row r="182" spans="11:15" x14ac:dyDescent="0.25">
      <c r="K182"/>
      <c r="L182"/>
      <c r="M182"/>
      <c r="N182"/>
      <c r="O182"/>
    </row>
    <row r="183" spans="11:15" x14ac:dyDescent="0.25">
      <c r="K183"/>
      <c r="L183"/>
      <c r="M183"/>
      <c r="N183"/>
      <c r="O183"/>
    </row>
    <row r="184" spans="11:15" x14ac:dyDescent="0.25">
      <c r="K184"/>
      <c r="L184"/>
      <c r="M184"/>
      <c r="N184"/>
      <c r="O184"/>
    </row>
    <row r="185" spans="11:15" x14ac:dyDescent="0.25">
      <c r="K185"/>
      <c r="L185"/>
      <c r="M185"/>
      <c r="N185"/>
      <c r="O185"/>
    </row>
    <row r="186" spans="11:15" x14ac:dyDescent="0.25">
      <c r="K186"/>
      <c r="L186"/>
      <c r="M186"/>
      <c r="N186"/>
      <c r="O186"/>
    </row>
    <row r="187" spans="11:15" x14ac:dyDescent="0.25">
      <c r="K187"/>
      <c r="L187"/>
      <c r="M187"/>
      <c r="N187"/>
      <c r="O187"/>
    </row>
    <row r="188" spans="11:15" x14ac:dyDescent="0.25">
      <c r="K188"/>
      <c r="L188"/>
      <c r="M188"/>
      <c r="N188"/>
      <c r="O188"/>
    </row>
    <row r="189" spans="11:15" x14ac:dyDescent="0.25">
      <c r="K189"/>
      <c r="L189"/>
      <c r="M189"/>
      <c r="N189"/>
      <c r="O189"/>
    </row>
    <row r="190" spans="11:15" x14ac:dyDescent="0.25">
      <c r="K190"/>
      <c r="L190"/>
      <c r="M190"/>
      <c r="N190"/>
      <c r="O190"/>
    </row>
    <row r="191" spans="11:15" x14ac:dyDescent="0.25">
      <c r="K191"/>
      <c r="L191"/>
      <c r="M191"/>
      <c r="N191"/>
      <c r="O191"/>
    </row>
    <row r="192" spans="11:15" x14ac:dyDescent="0.25">
      <c r="K192"/>
      <c r="L192"/>
      <c r="M192"/>
      <c r="N192"/>
      <c r="O192"/>
    </row>
    <row r="193" spans="11:15" x14ac:dyDescent="0.25">
      <c r="K193"/>
      <c r="L193"/>
      <c r="M193"/>
      <c r="N193"/>
      <c r="O193"/>
    </row>
    <row r="194" spans="11:15" x14ac:dyDescent="0.25">
      <c r="K194"/>
      <c r="L194"/>
      <c r="M194"/>
      <c r="N194"/>
      <c r="O194"/>
    </row>
    <row r="195" spans="11:15" x14ac:dyDescent="0.25">
      <c r="K195"/>
      <c r="L195"/>
      <c r="M195"/>
      <c r="N195"/>
      <c r="O195"/>
    </row>
    <row r="196" spans="11:15" x14ac:dyDescent="0.25">
      <c r="K196"/>
      <c r="L196"/>
      <c r="M196"/>
      <c r="N196"/>
      <c r="O196"/>
    </row>
    <row r="197" spans="11:15" x14ac:dyDescent="0.25">
      <c r="K197"/>
      <c r="L197"/>
      <c r="M197"/>
      <c r="N197"/>
      <c r="O197"/>
    </row>
    <row r="198" spans="11:15" x14ac:dyDescent="0.25">
      <c r="K198"/>
      <c r="L198"/>
      <c r="M198"/>
      <c r="N198"/>
      <c r="O198"/>
    </row>
    <row r="199" spans="11:15" x14ac:dyDescent="0.25">
      <c r="K199"/>
      <c r="L199"/>
      <c r="M199"/>
      <c r="N199"/>
      <c r="O199"/>
    </row>
    <row r="200" spans="11:15" x14ac:dyDescent="0.25">
      <c r="K200"/>
      <c r="L200"/>
      <c r="M200"/>
      <c r="N200"/>
      <c r="O200"/>
    </row>
    <row r="201" spans="11:15" x14ac:dyDescent="0.25">
      <c r="K201"/>
      <c r="L201"/>
      <c r="M201"/>
      <c r="N201"/>
      <c r="O201"/>
    </row>
    <row r="202" spans="11:15" x14ac:dyDescent="0.25">
      <c r="K202"/>
      <c r="L202"/>
      <c r="M202"/>
      <c r="N202"/>
      <c r="O202"/>
    </row>
    <row r="203" spans="11:15" x14ac:dyDescent="0.25">
      <c r="K203"/>
      <c r="L203"/>
      <c r="M203"/>
      <c r="N203"/>
      <c r="O203"/>
    </row>
    <row r="204" spans="11:15" x14ac:dyDescent="0.25">
      <c r="K204"/>
      <c r="L204"/>
      <c r="M204"/>
      <c r="N204"/>
      <c r="O204"/>
    </row>
    <row r="205" spans="11:15" x14ac:dyDescent="0.25">
      <c r="K205"/>
      <c r="L205"/>
      <c r="M205"/>
      <c r="N205"/>
      <c r="O205"/>
    </row>
    <row r="206" spans="11:15" x14ac:dyDescent="0.25">
      <c r="K206"/>
      <c r="L206"/>
      <c r="M206"/>
      <c r="N206"/>
      <c r="O206"/>
    </row>
    <row r="207" spans="11:15" x14ac:dyDescent="0.25">
      <c r="K207"/>
      <c r="L207"/>
      <c r="M207"/>
      <c r="N207"/>
      <c r="O207"/>
    </row>
    <row r="208" spans="11:15" x14ac:dyDescent="0.25">
      <c r="K208"/>
      <c r="L208"/>
      <c r="M208"/>
      <c r="N208"/>
      <c r="O208"/>
    </row>
    <row r="209" spans="11:15" x14ac:dyDescent="0.25">
      <c r="K209"/>
      <c r="L209"/>
      <c r="M209"/>
      <c r="N209"/>
      <c r="O209"/>
    </row>
    <row r="210" spans="11:15" x14ac:dyDescent="0.25">
      <c r="K210"/>
      <c r="L210"/>
      <c r="M210"/>
      <c r="N210"/>
      <c r="O210"/>
    </row>
    <row r="211" spans="11:15" x14ac:dyDescent="0.25">
      <c r="K211"/>
      <c r="L211"/>
      <c r="M211"/>
      <c r="N211"/>
      <c r="O211"/>
    </row>
    <row r="212" spans="11:15" x14ac:dyDescent="0.25">
      <c r="K212"/>
      <c r="L212"/>
      <c r="M212"/>
      <c r="N212"/>
      <c r="O212"/>
    </row>
    <row r="213" spans="11:15" x14ac:dyDescent="0.25">
      <c r="K213"/>
      <c r="L213"/>
      <c r="M213"/>
      <c r="N213"/>
      <c r="O213"/>
    </row>
    <row r="214" spans="11:15" x14ac:dyDescent="0.25">
      <c r="K214"/>
      <c r="L214"/>
      <c r="M214"/>
      <c r="N214"/>
      <c r="O214"/>
    </row>
    <row r="215" spans="11:15" x14ac:dyDescent="0.25">
      <c r="K215"/>
      <c r="L215"/>
      <c r="M215"/>
      <c r="N215"/>
      <c r="O215"/>
    </row>
    <row r="216" spans="11:15" x14ac:dyDescent="0.25">
      <c r="K216"/>
      <c r="L216"/>
      <c r="M216"/>
      <c r="N216"/>
      <c r="O216"/>
    </row>
    <row r="217" spans="11:15" x14ac:dyDescent="0.25">
      <c r="K217"/>
      <c r="L217"/>
      <c r="M217"/>
      <c r="N217"/>
      <c r="O217"/>
    </row>
    <row r="218" spans="11:15" x14ac:dyDescent="0.25">
      <c r="K218"/>
      <c r="L218"/>
      <c r="M218"/>
      <c r="N218"/>
      <c r="O218"/>
    </row>
    <row r="219" spans="11:15" x14ac:dyDescent="0.25">
      <c r="K219"/>
      <c r="L219"/>
      <c r="M219"/>
      <c r="N219"/>
      <c r="O219"/>
    </row>
    <row r="220" spans="11:15" x14ac:dyDescent="0.25">
      <c r="K220"/>
      <c r="L220"/>
      <c r="M220"/>
      <c r="N220"/>
      <c r="O220"/>
    </row>
    <row r="221" spans="11:15" x14ac:dyDescent="0.25">
      <c r="K221"/>
      <c r="L221"/>
      <c r="M221"/>
      <c r="N221"/>
      <c r="O221"/>
    </row>
    <row r="222" spans="11:15" x14ac:dyDescent="0.25">
      <c r="K222"/>
      <c r="L222"/>
      <c r="M222"/>
      <c r="N222"/>
      <c r="O222"/>
    </row>
    <row r="223" spans="11:15" x14ac:dyDescent="0.25">
      <c r="K223"/>
      <c r="L223"/>
      <c r="M223"/>
      <c r="N223"/>
      <c r="O223"/>
    </row>
    <row r="224" spans="11:15" x14ac:dyDescent="0.25">
      <c r="K224"/>
      <c r="L224"/>
      <c r="M224"/>
      <c r="N224"/>
      <c r="O224"/>
    </row>
    <row r="225" spans="11:15" x14ac:dyDescent="0.25">
      <c r="K225"/>
      <c r="L225"/>
      <c r="M225"/>
      <c r="N225"/>
      <c r="O225"/>
    </row>
    <row r="226" spans="11:15" x14ac:dyDescent="0.25">
      <c r="K226"/>
      <c r="L226"/>
      <c r="M226"/>
      <c r="N226"/>
      <c r="O226"/>
    </row>
    <row r="227" spans="11:15" x14ac:dyDescent="0.25">
      <c r="K227"/>
      <c r="L227"/>
      <c r="M227"/>
      <c r="N227"/>
      <c r="O227"/>
    </row>
    <row r="228" spans="11:15" x14ac:dyDescent="0.25">
      <c r="K228"/>
      <c r="L228"/>
      <c r="M228"/>
      <c r="N228"/>
      <c r="O228"/>
    </row>
    <row r="229" spans="11:15" x14ac:dyDescent="0.25">
      <c r="K229"/>
      <c r="L229"/>
      <c r="M229"/>
      <c r="N229"/>
      <c r="O229"/>
    </row>
    <row r="230" spans="11:15" x14ac:dyDescent="0.25">
      <c r="K230"/>
      <c r="L230"/>
      <c r="M230"/>
      <c r="N230"/>
      <c r="O230"/>
    </row>
    <row r="231" spans="11:15" x14ac:dyDescent="0.25">
      <c r="K231"/>
      <c r="L231"/>
      <c r="M231"/>
      <c r="N231"/>
      <c r="O231"/>
    </row>
    <row r="232" spans="11:15" x14ac:dyDescent="0.25">
      <c r="K232"/>
      <c r="L232"/>
      <c r="M232"/>
      <c r="N232"/>
      <c r="O232"/>
    </row>
    <row r="233" spans="11:15" x14ac:dyDescent="0.25">
      <c r="K233"/>
      <c r="L233"/>
      <c r="M233"/>
      <c r="N233"/>
      <c r="O233"/>
    </row>
    <row r="234" spans="11:15" x14ac:dyDescent="0.25">
      <c r="K234"/>
      <c r="L234"/>
      <c r="M234"/>
      <c r="N234"/>
      <c r="O234"/>
    </row>
    <row r="235" spans="11:15" x14ac:dyDescent="0.25">
      <c r="K235"/>
      <c r="L235"/>
      <c r="M235"/>
      <c r="N235"/>
      <c r="O235"/>
    </row>
    <row r="236" spans="11:15" x14ac:dyDescent="0.25">
      <c r="K236"/>
      <c r="L236"/>
      <c r="M236"/>
      <c r="N236"/>
      <c r="O236"/>
    </row>
    <row r="237" spans="11:15" x14ac:dyDescent="0.25">
      <c r="K237"/>
      <c r="L237"/>
      <c r="M237"/>
      <c r="N237"/>
      <c r="O237"/>
    </row>
    <row r="238" spans="11:15" x14ac:dyDescent="0.25">
      <c r="K238"/>
      <c r="L238"/>
      <c r="M238"/>
      <c r="N238"/>
      <c r="O238"/>
    </row>
    <row r="239" spans="11:15" x14ac:dyDescent="0.25">
      <c r="K239"/>
      <c r="L239"/>
      <c r="M239"/>
      <c r="N239"/>
      <c r="O239"/>
    </row>
    <row r="240" spans="11:15" x14ac:dyDescent="0.25">
      <c r="K240"/>
      <c r="L240"/>
      <c r="M240"/>
      <c r="N240"/>
      <c r="O240"/>
    </row>
    <row r="241" spans="11:15" x14ac:dyDescent="0.25">
      <c r="K241"/>
      <c r="L241"/>
      <c r="M241"/>
      <c r="N241"/>
      <c r="O241"/>
    </row>
    <row r="242" spans="11:15" x14ac:dyDescent="0.25">
      <c r="K242"/>
      <c r="L242"/>
      <c r="M242"/>
      <c r="N242"/>
      <c r="O242"/>
    </row>
    <row r="243" spans="11:15" x14ac:dyDescent="0.25">
      <c r="K243"/>
      <c r="L243"/>
      <c r="M243"/>
      <c r="N243"/>
      <c r="O243"/>
    </row>
    <row r="244" spans="11:15" x14ac:dyDescent="0.25">
      <c r="K244"/>
      <c r="L244"/>
      <c r="M244"/>
      <c r="N244"/>
      <c r="O244"/>
    </row>
    <row r="245" spans="11:15" x14ac:dyDescent="0.25">
      <c r="K245"/>
      <c r="L245"/>
      <c r="M245"/>
      <c r="N245"/>
      <c r="O245"/>
    </row>
    <row r="246" spans="11:15" x14ac:dyDescent="0.25">
      <c r="K246"/>
      <c r="L246"/>
      <c r="M246"/>
      <c r="N246"/>
      <c r="O246"/>
    </row>
    <row r="247" spans="11:15" x14ac:dyDescent="0.25">
      <c r="K247"/>
      <c r="L247"/>
      <c r="M247"/>
      <c r="N247"/>
      <c r="O247"/>
    </row>
    <row r="248" spans="11:15" x14ac:dyDescent="0.25">
      <c r="K248"/>
      <c r="L248"/>
      <c r="M248"/>
      <c r="N248"/>
      <c r="O248"/>
    </row>
    <row r="249" spans="11:15" x14ac:dyDescent="0.25">
      <c r="K249"/>
      <c r="L249"/>
      <c r="M249"/>
      <c r="N249"/>
      <c r="O249"/>
    </row>
    <row r="250" spans="11:15" x14ac:dyDescent="0.25">
      <c r="K250"/>
      <c r="L250"/>
      <c r="M250"/>
      <c r="N250"/>
      <c r="O250"/>
    </row>
    <row r="251" spans="11:15" x14ac:dyDescent="0.25">
      <c r="K251"/>
      <c r="L251"/>
      <c r="M251"/>
      <c r="N251"/>
      <c r="O251"/>
    </row>
    <row r="252" spans="11:15" x14ac:dyDescent="0.25">
      <c r="K252"/>
      <c r="L252"/>
      <c r="M252"/>
      <c r="N252"/>
      <c r="O252"/>
    </row>
    <row r="253" spans="11:15" x14ac:dyDescent="0.25">
      <c r="K253"/>
      <c r="L253"/>
      <c r="M253"/>
      <c r="N253"/>
      <c r="O253"/>
    </row>
    <row r="254" spans="11:15" x14ac:dyDescent="0.25">
      <c r="K254"/>
      <c r="L254"/>
      <c r="M254"/>
      <c r="N254"/>
      <c r="O254"/>
    </row>
    <row r="255" spans="11:15" x14ac:dyDescent="0.25">
      <c r="K255"/>
      <c r="L255"/>
      <c r="M255"/>
      <c r="N255"/>
      <c r="O255"/>
    </row>
    <row r="256" spans="11:15" x14ac:dyDescent="0.25">
      <c r="K256"/>
      <c r="L256"/>
      <c r="M256"/>
      <c r="N256"/>
      <c r="O256"/>
    </row>
    <row r="257" spans="11:15" x14ac:dyDescent="0.25">
      <c r="K257"/>
      <c r="L257"/>
      <c r="M257"/>
      <c r="N257"/>
      <c r="O257"/>
    </row>
    <row r="258" spans="11:15" x14ac:dyDescent="0.25">
      <c r="K258"/>
      <c r="L258"/>
      <c r="M258"/>
      <c r="N258"/>
      <c r="O258"/>
    </row>
    <row r="259" spans="11:15" x14ac:dyDescent="0.25">
      <c r="K259"/>
      <c r="L259"/>
      <c r="M259"/>
      <c r="N259"/>
      <c r="O259"/>
    </row>
    <row r="260" spans="11:15" x14ac:dyDescent="0.25">
      <c r="K260"/>
      <c r="L260"/>
      <c r="M260"/>
      <c r="N260"/>
      <c r="O260"/>
    </row>
    <row r="261" spans="11:15" x14ac:dyDescent="0.25">
      <c r="K261"/>
      <c r="L261"/>
      <c r="M261"/>
      <c r="N261"/>
      <c r="O261"/>
    </row>
    <row r="262" spans="11:15" x14ac:dyDescent="0.25">
      <c r="K262"/>
      <c r="L262"/>
      <c r="M262"/>
      <c r="N262"/>
      <c r="O262"/>
    </row>
    <row r="263" spans="11:15" x14ac:dyDescent="0.25">
      <c r="K263"/>
      <c r="L263"/>
      <c r="M263"/>
      <c r="N263"/>
      <c r="O263"/>
    </row>
    <row r="264" spans="11:15" x14ac:dyDescent="0.25">
      <c r="K264"/>
      <c r="L264"/>
      <c r="M264"/>
      <c r="N264"/>
      <c r="O264"/>
    </row>
    <row r="265" spans="11:15" x14ac:dyDescent="0.25">
      <c r="K265"/>
      <c r="L265"/>
      <c r="M265"/>
      <c r="N265"/>
      <c r="O265"/>
    </row>
    <row r="266" spans="11:15" x14ac:dyDescent="0.25">
      <c r="K266"/>
      <c r="L266"/>
      <c r="M266"/>
      <c r="N266"/>
      <c r="O266"/>
    </row>
    <row r="267" spans="11:15" x14ac:dyDescent="0.25">
      <c r="K267"/>
      <c r="L267"/>
      <c r="M267"/>
      <c r="N267"/>
      <c r="O267"/>
    </row>
    <row r="268" spans="11:15" x14ac:dyDescent="0.25">
      <c r="K268"/>
      <c r="L268"/>
      <c r="M268"/>
      <c r="N268"/>
      <c r="O268"/>
    </row>
    <row r="269" spans="11:15" x14ac:dyDescent="0.25">
      <c r="K269"/>
      <c r="L269"/>
      <c r="M269"/>
      <c r="N269"/>
      <c r="O269"/>
    </row>
    <row r="270" spans="11:15" x14ac:dyDescent="0.25">
      <c r="K270"/>
      <c r="L270"/>
      <c r="M270"/>
      <c r="N270"/>
      <c r="O270"/>
    </row>
    <row r="271" spans="11:15" x14ac:dyDescent="0.25">
      <c r="K271"/>
      <c r="L271"/>
      <c r="M271"/>
      <c r="N271"/>
      <c r="O271"/>
    </row>
    <row r="272" spans="11:15" x14ac:dyDescent="0.25">
      <c r="K272"/>
      <c r="L272"/>
      <c r="M272"/>
      <c r="N272"/>
      <c r="O272"/>
    </row>
    <row r="273" spans="11:15" x14ac:dyDescent="0.25">
      <c r="K273"/>
      <c r="L273"/>
      <c r="M273"/>
      <c r="N273"/>
      <c r="O273"/>
    </row>
    <row r="274" spans="11:15" x14ac:dyDescent="0.25">
      <c r="K274"/>
      <c r="L274"/>
      <c r="M274"/>
      <c r="N274"/>
      <c r="O274"/>
    </row>
    <row r="275" spans="11:15" x14ac:dyDescent="0.25">
      <c r="K275"/>
      <c r="L275"/>
      <c r="M275"/>
      <c r="N275"/>
      <c r="O275"/>
    </row>
    <row r="276" spans="11:15" x14ac:dyDescent="0.25">
      <c r="K276"/>
      <c r="L276"/>
      <c r="M276"/>
      <c r="N276"/>
      <c r="O276"/>
    </row>
    <row r="277" spans="11:15" x14ac:dyDescent="0.25">
      <c r="K277"/>
      <c r="L277"/>
      <c r="M277"/>
      <c r="N277"/>
      <c r="O277"/>
    </row>
    <row r="278" spans="11:15" x14ac:dyDescent="0.25">
      <c r="K278"/>
      <c r="L278"/>
      <c r="M278"/>
      <c r="N278"/>
      <c r="O278"/>
    </row>
    <row r="279" spans="11:15" x14ac:dyDescent="0.25">
      <c r="K279"/>
      <c r="L279"/>
      <c r="M279"/>
      <c r="N279"/>
      <c r="O279"/>
    </row>
    <row r="280" spans="11:15" x14ac:dyDescent="0.25">
      <c r="K280"/>
      <c r="L280"/>
      <c r="M280"/>
      <c r="N280"/>
      <c r="O280"/>
    </row>
    <row r="281" spans="11:15" x14ac:dyDescent="0.25">
      <c r="K281"/>
      <c r="L281"/>
      <c r="M281"/>
      <c r="N281"/>
      <c r="O281"/>
    </row>
    <row r="282" spans="11:15" x14ac:dyDescent="0.25">
      <c r="K282"/>
      <c r="L282"/>
      <c r="M282"/>
      <c r="N282"/>
      <c r="O282"/>
    </row>
    <row r="283" spans="11:15" x14ac:dyDescent="0.25">
      <c r="K283"/>
      <c r="L283"/>
      <c r="M283"/>
      <c r="N283"/>
      <c r="O283"/>
    </row>
    <row r="284" spans="11:15" x14ac:dyDescent="0.25">
      <c r="K284"/>
      <c r="L284"/>
      <c r="M284"/>
      <c r="N284"/>
      <c r="O284"/>
    </row>
    <row r="285" spans="11:15" x14ac:dyDescent="0.25">
      <c r="K285"/>
      <c r="L285"/>
      <c r="M285"/>
      <c r="N285"/>
      <c r="O285"/>
    </row>
    <row r="286" spans="11:15" x14ac:dyDescent="0.25">
      <c r="K286"/>
      <c r="L286"/>
      <c r="M286"/>
      <c r="N286"/>
      <c r="O286"/>
    </row>
    <row r="287" spans="11:15" x14ac:dyDescent="0.25">
      <c r="K287"/>
      <c r="L287"/>
      <c r="M287"/>
      <c r="N287"/>
      <c r="O287"/>
    </row>
    <row r="288" spans="11:15" x14ac:dyDescent="0.25">
      <c r="K288"/>
      <c r="L288"/>
      <c r="M288"/>
      <c r="N288"/>
      <c r="O288"/>
    </row>
    <row r="289" spans="11:15" x14ac:dyDescent="0.25">
      <c r="K289"/>
      <c r="L289"/>
      <c r="M289"/>
      <c r="N289"/>
      <c r="O289"/>
    </row>
    <row r="290" spans="11:15" x14ac:dyDescent="0.25">
      <c r="K290"/>
      <c r="L290"/>
      <c r="M290"/>
      <c r="N290"/>
      <c r="O290"/>
    </row>
    <row r="291" spans="11:15" x14ac:dyDescent="0.25">
      <c r="K291"/>
      <c r="L291"/>
      <c r="M291"/>
      <c r="N291"/>
      <c r="O291"/>
    </row>
    <row r="292" spans="11:15" x14ac:dyDescent="0.25">
      <c r="K292"/>
      <c r="L292"/>
      <c r="M292"/>
      <c r="N292"/>
      <c r="O292"/>
    </row>
    <row r="293" spans="11:15" x14ac:dyDescent="0.25">
      <c r="K293"/>
      <c r="L293"/>
      <c r="M293"/>
      <c r="N293"/>
      <c r="O293"/>
    </row>
    <row r="294" spans="11:15" x14ac:dyDescent="0.25">
      <c r="K294"/>
      <c r="L294"/>
      <c r="M294"/>
      <c r="N294"/>
      <c r="O294"/>
    </row>
    <row r="295" spans="11:15" x14ac:dyDescent="0.25">
      <c r="K295"/>
      <c r="L295"/>
      <c r="M295"/>
      <c r="N295"/>
      <c r="O295"/>
    </row>
    <row r="296" spans="11:15" x14ac:dyDescent="0.25">
      <c r="K296"/>
      <c r="L296"/>
      <c r="M296"/>
      <c r="N296"/>
      <c r="O296"/>
    </row>
    <row r="297" spans="11:15" x14ac:dyDescent="0.25">
      <c r="K297"/>
      <c r="L297"/>
      <c r="M297"/>
      <c r="N297"/>
      <c r="O297"/>
    </row>
    <row r="298" spans="11:15" x14ac:dyDescent="0.25">
      <c r="K298"/>
      <c r="L298"/>
      <c r="M298"/>
      <c r="N298"/>
      <c r="O298"/>
    </row>
    <row r="299" spans="11:15" x14ac:dyDescent="0.25">
      <c r="K299"/>
      <c r="L299"/>
      <c r="M299"/>
      <c r="N299"/>
      <c r="O299"/>
    </row>
    <row r="300" spans="11:15" x14ac:dyDescent="0.25">
      <c r="K300"/>
      <c r="L300"/>
      <c r="M300"/>
      <c r="N300"/>
      <c r="O300"/>
    </row>
    <row r="301" spans="11:15" x14ac:dyDescent="0.25">
      <c r="K301"/>
      <c r="L301"/>
      <c r="M301"/>
      <c r="N301"/>
      <c r="O301"/>
    </row>
    <row r="302" spans="11:15" x14ac:dyDescent="0.25">
      <c r="K302"/>
      <c r="L302"/>
      <c r="M302"/>
      <c r="N302"/>
      <c r="O302"/>
    </row>
    <row r="303" spans="11:15" x14ac:dyDescent="0.25">
      <c r="K303"/>
      <c r="L303"/>
      <c r="M303"/>
      <c r="N303"/>
      <c r="O303"/>
    </row>
    <row r="304" spans="11:15" x14ac:dyDescent="0.25">
      <c r="K304"/>
      <c r="L304"/>
      <c r="M304"/>
      <c r="N304"/>
      <c r="O304"/>
    </row>
    <row r="305" spans="11:15" x14ac:dyDescent="0.25">
      <c r="K305"/>
      <c r="L305"/>
      <c r="M305"/>
      <c r="N305"/>
      <c r="O305"/>
    </row>
    <row r="306" spans="11:15" x14ac:dyDescent="0.25">
      <c r="K306"/>
      <c r="L306"/>
      <c r="M306"/>
      <c r="N306"/>
      <c r="O306"/>
    </row>
    <row r="307" spans="11:15" x14ac:dyDescent="0.25">
      <c r="K307"/>
      <c r="L307"/>
      <c r="M307"/>
      <c r="N307"/>
      <c r="O307"/>
    </row>
    <row r="308" spans="11:15" x14ac:dyDescent="0.25">
      <c r="K308"/>
      <c r="L308"/>
      <c r="M308"/>
      <c r="N308"/>
      <c r="O308"/>
    </row>
    <row r="309" spans="11:15" x14ac:dyDescent="0.25">
      <c r="K309"/>
      <c r="L309"/>
      <c r="M309"/>
      <c r="N309"/>
      <c r="O309"/>
    </row>
    <row r="310" spans="11:15" x14ac:dyDescent="0.25">
      <c r="K310"/>
      <c r="L310"/>
      <c r="M310"/>
      <c r="N310"/>
      <c r="O310"/>
    </row>
    <row r="311" spans="11:15" x14ac:dyDescent="0.25">
      <c r="K311"/>
      <c r="L311"/>
      <c r="M311"/>
      <c r="N311"/>
      <c r="O311"/>
    </row>
    <row r="312" spans="11:15" x14ac:dyDescent="0.25">
      <c r="K312"/>
      <c r="L312"/>
      <c r="M312"/>
      <c r="N312"/>
      <c r="O312"/>
    </row>
    <row r="313" spans="11:15" x14ac:dyDescent="0.25">
      <c r="K313"/>
      <c r="L313"/>
      <c r="M313"/>
      <c r="N313"/>
      <c r="O313"/>
    </row>
    <row r="314" spans="11:15" x14ac:dyDescent="0.25">
      <c r="K314"/>
      <c r="L314"/>
      <c r="M314"/>
      <c r="N314"/>
      <c r="O314"/>
    </row>
    <row r="315" spans="11:15" x14ac:dyDescent="0.25">
      <c r="K315"/>
      <c r="L315"/>
      <c r="M315"/>
      <c r="N315"/>
      <c r="O315"/>
    </row>
    <row r="316" spans="11:15" x14ac:dyDescent="0.25">
      <c r="K316"/>
      <c r="L316"/>
      <c r="M316"/>
      <c r="N316"/>
      <c r="O316"/>
    </row>
    <row r="317" spans="11:15" x14ac:dyDescent="0.25">
      <c r="K317"/>
      <c r="L317"/>
      <c r="M317"/>
      <c r="N317"/>
      <c r="O317"/>
    </row>
    <row r="318" spans="11:15" x14ac:dyDescent="0.25">
      <c r="K318"/>
      <c r="L318"/>
      <c r="M318"/>
      <c r="N318"/>
      <c r="O318"/>
    </row>
    <row r="319" spans="11:15" x14ac:dyDescent="0.25">
      <c r="K319"/>
      <c r="L319"/>
      <c r="M319"/>
      <c r="N319"/>
      <c r="O319"/>
    </row>
    <row r="320" spans="11:15" x14ac:dyDescent="0.25">
      <c r="K320"/>
      <c r="L320"/>
      <c r="M320"/>
      <c r="N320"/>
      <c r="O320"/>
    </row>
    <row r="321" spans="11:15" x14ac:dyDescent="0.25">
      <c r="K321"/>
      <c r="L321"/>
      <c r="M321"/>
      <c r="N321"/>
      <c r="O321"/>
    </row>
    <row r="322" spans="11:15" x14ac:dyDescent="0.25">
      <c r="K322"/>
      <c r="L322"/>
      <c r="M322"/>
      <c r="N322"/>
      <c r="O322"/>
    </row>
    <row r="323" spans="11:15" x14ac:dyDescent="0.25">
      <c r="K323"/>
      <c r="L323"/>
      <c r="M323"/>
      <c r="N323"/>
      <c r="O323"/>
    </row>
    <row r="324" spans="11:15" x14ac:dyDescent="0.25">
      <c r="K324"/>
      <c r="L324"/>
      <c r="M324"/>
      <c r="N324"/>
      <c r="O324"/>
    </row>
    <row r="325" spans="11:15" x14ac:dyDescent="0.25">
      <c r="K325"/>
      <c r="L325"/>
      <c r="M325"/>
      <c r="N325"/>
      <c r="O325"/>
    </row>
    <row r="326" spans="11:15" x14ac:dyDescent="0.25">
      <c r="K326"/>
      <c r="L326"/>
      <c r="M326"/>
      <c r="N326"/>
      <c r="O326"/>
    </row>
    <row r="327" spans="11:15" x14ac:dyDescent="0.25">
      <c r="K327"/>
      <c r="L327"/>
      <c r="M327"/>
      <c r="N327"/>
      <c r="O327"/>
    </row>
    <row r="328" spans="11:15" x14ac:dyDescent="0.25">
      <c r="K328"/>
      <c r="L328"/>
      <c r="M328"/>
      <c r="N328"/>
      <c r="O328"/>
    </row>
    <row r="329" spans="11:15" x14ac:dyDescent="0.25">
      <c r="K329"/>
      <c r="L329"/>
      <c r="M329"/>
      <c r="N329"/>
      <c r="O329"/>
    </row>
    <row r="330" spans="11:15" x14ac:dyDescent="0.25">
      <c r="K330"/>
      <c r="L330"/>
      <c r="M330"/>
      <c r="N330"/>
      <c r="O330"/>
    </row>
    <row r="331" spans="11:15" x14ac:dyDescent="0.25">
      <c r="K331"/>
      <c r="L331"/>
      <c r="M331"/>
      <c r="N331"/>
      <c r="O331"/>
    </row>
    <row r="332" spans="11:15" x14ac:dyDescent="0.25">
      <c r="K332"/>
      <c r="L332"/>
      <c r="M332"/>
      <c r="N332"/>
      <c r="O332"/>
    </row>
    <row r="333" spans="11:15" x14ac:dyDescent="0.25">
      <c r="K333"/>
      <c r="L333"/>
      <c r="M333"/>
      <c r="N333"/>
      <c r="O333"/>
    </row>
    <row r="334" spans="11:15" x14ac:dyDescent="0.25">
      <c r="K334"/>
      <c r="L334"/>
      <c r="M334"/>
      <c r="N334"/>
      <c r="O334"/>
    </row>
    <row r="335" spans="11:15" x14ac:dyDescent="0.25">
      <c r="K335"/>
      <c r="L335"/>
      <c r="M335"/>
      <c r="N335"/>
      <c r="O335"/>
    </row>
    <row r="336" spans="11:15" x14ac:dyDescent="0.25">
      <c r="K336"/>
      <c r="L336"/>
      <c r="M336"/>
      <c r="N336"/>
      <c r="O336"/>
    </row>
    <row r="337" spans="11:15" x14ac:dyDescent="0.25">
      <c r="K337"/>
      <c r="L337"/>
      <c r="M337"/>
      <c r="N337"/>
      <c r="O337"/>
    </row>
    <row r="338" spans="11:15" x14ac:dyDescent="0.25">
      <c r="K338"/>
      <c r="L338"/>
      <c r="M338"/>
      <c r="N338"/>
      <c r="O338"/>
    </row>
    <row r="339" spans="11:15" x14ac:dyDescent="0.25">
      <c r="K339"/>
      <c r="L339"/>
      <c r="M339"/>
      <c r="N339"/>
      <c r="O339"/>
    </row>
    <row r="340" spans="11:15" x14ac:dyDescent="0.25">
      <c r="K340"/>
      <c r="L340"/>
      <c r="M340"/>
      <c r="N340"/>
      <c r="O340"/>
    </row>
    <row r="341" spans="11:15" x14ac:dyDescent="0.25">
      <c r="K341"/>
      <c r="L341"/>
      <c r="M341"/>
      <c r="N341"/>
      <c r="O341"/>
    </row>
    <row r="342" spans="11:15" x14ac:dyDescent="0.25">
      <c r="K342"/>
      <c r="L342"/>
      <c r="M342"/>
      <c r="N342"/>
      <c r="O342"/>
    </row>
    <row r="343" spans="11:15" x14ac:dyDescent="0.25">
      <c r="K343"/>
      <c r="L343"/>
      <c r="M343"/>
      <c r="N343"/>
      <c r="O343"/>
    </row>
    <row r="344" spans="11:15" x14ac:dyDescent="0.25">
      <c r="K344"/>
      <c r="L344"/>
      <c r="M344"/>
      <c r="N344"/>
      <c r="O344"/>
    </row>
    <row r="345" spans="11:15" x14ac:dyDescent="0.25">
      <c r="K345"/>
      <c r="L345"/>
      <c r="M345"/>
      <c r="N345"/>
      <c r="O345"/>
    </row>
    <row r="346" spans="11:15" x14ac:dyDescent="0.25">
      <c r="K346"/>
      <c r="L346"/>
      <c r="M346"/>
      <c r="N346"/>
      <c r="O346"/>
    </row>
    <row r="347" spans="11:15" x14ac:dyDescent="0.25">
      <c r="K347"/>
      <c r="L347"/>
      <c r="M347"/>
      <c r="N347"/>
      <c r="O347"/>
    </row>
    <row r="348" spans="11:15" x14ac:dyDescent="0.25">
      <c r="K348"/>
      <c r="L348"/>
      <c r="M348"/>
      <c r="N348"/>
      <c r="O348"/>
    </row>
    <row r="349" spans="11:15" x14ac:dyDescent="0.25">
      <c r="K349"/>
      <c r="L349"/>
      <c r="M349"/>
      <c r="N349"/>
      <c r="O349"/>
    </row>
    <row r="350" spans="11:15" x14ac:dyDescent="0.25">
      <c r="K350"/>
      <c r="L350"/>
      <c r="M350"/>
      <c r="N350"/>
      <c r="O350"/>
    </row>
    <row r="351" spans="11:15" x14ac:dyDescent="0.25">
      <c r="K351"/>
      <c r="L351"/>
      <c r="M351"/>
      <c r="N351"/>
      <c r="O351"/>
    </row>
    <row r="352" spans="11:15" x14ac:dyDescent="0.25">
      <c r="K352"/>
      <c r="L352"/>
      <c r="M352"/>
      <c r="N352"/>
      <c r="O352"/>
    </row>
    <row r="353" spans="11:15" x14ac:dyDescent="0.25">
      <c r="K353"/>
      <c r="L353"/>
      <c r="M353"/>
      <c r="N353"/>
      <c r="O353"/>
    </row>
    <row r="354" spans="11:15" x14ac:dyDescent="0.25">
      <c r="K354"/>
      <c r="L354"/>
      <c r="M354"/>
      <c r="N354"/>
      <c r="O354"/>
    </row>
    <row r="355" spans="11:15" x14ac:dyDescent="0.25">
      <c r="K355"/>
      <c r="L355"/>
      <c r="M355"/>
      <c r="N355"/>
      <c r="O355"/>
    </row>
    <row r="356" spans="11:15" x14ac:dyDescent="0.25">
      <c r="K356"/>
      <c r="L356"/>
      <c r="M356"/>
      <c r="N356"/>
      <c r="O356"/>
    </row>
    <row r="357" spans="11:15" x14ac:dyDescent="0.25">
      <c r="K357"/>
      <c r="L357"/>
      <c r="M357"/>
      <c r="N357"/>
      <c r="O357"/>
    </row>
    <row r="358" spans="11:15" x14ac:dyDescent="0.25">
      <c r="K358"/>
      <c r="L358"/>
      <c r="M358"/>
      <c r="N358"/>
      <c r="O358"/>
    </row>
    <row r="359" spans="11:15" x14ac:dyDescent="0.25">
      <c r="K359"/>
      <c r="L359"/>
      <c r="M359"/>
      <c r="N359"/>
      <c r="O359"/>
    </row>
    <row r="360" spans="11:15" x14ac:dyDescent="0.25">
      <c r="K360"/>
      <c r="L360"/>
      <c r="M360"/>
      <c r="N360"/>
      <c r="O360"/>
    </row>
    <row r="361" spans="11:15" x14ac:dyDescent="0.25">
      <c r="K361"/>
      <c r="L361"/>
      <c r="M361"/>
      <c r="N361"/>
      <c r="O361"/>
    </row>
    <row r="362" spans="11:15" x14ac:dyDescent="0.25">
      <c r="K362"/>
      <c r="L362"/>
      <c r="M362"/>
      <c r="N362"/>
      <c r="O362"/>
    </row>
    <row r="363" spans="11:15" x14ac:dyDescent="0.25">
      <c r="K363"/>
      <c r="L363"/>
      <c r="M363"/>
      <c r="N363"/>
      <c r="O363"/>
    </row>
    <row r="364" spans="11:15" x14ac:dyDescent="0.25">
      <c r="K364"/>
      <c r="L364"/>
      <c r="M364"/>
      <c r="N364"/>
      <c r="O364"/>
    </row>
    <row r="365" spans="11:15" x14ac:dyDescent="0.25">
      <c r="K365"/>
      <c r="L365"/>
      <c r="M365"/>
      <c r="N365"/>
      <c r="O365"/>
    </row>
    <row r="366" spans="11:15" x14ac:dyDescent="0.25">
      <c r="K366"/>
      <c r="L366"/>
      <c r="M366"/>
      <c r="N366"/>
      <c r="O366"/>
    </row>
    <row r="367" spans="11:15" x14ac:dyDescent="0.25">
      <c r="K367"/>
      <c r="L367"/>
      <c r="M367"/>
      <c r="N367"/>
      <c r="O367"/>
    </row>
    <row r="368" spans="11:15" x14ac:dyDescent="0.25">
      <c r="K368"/>
      <c r="L368"/>
      <c r="M368"/>
      <c r="N368"/>
      <c r="O368"/>
    </row>
    <row r="369" spans="11:15" x14ac:dyDescent="0.25">
      <c r="K369"/>
      <c r="L369"/>
      <c r="M369"/>
      <c r="N369"/>
      <c r="O369"/>
    </row>
    <row r="370" spans="11:15" x14ac:dyDescent="0.25">
      <c r="K370"/>
      <c r="L370"/>
      <c r="M370"/>
      <c r="N370"/>
      <c r="O370"/>
    </row>
    <row r="371" spans="11:15" x14ac:dyDescent="0.25">
      <c r="K371"/>
      <c r="L371"/>
      <c r="M371"/>
      <c r="N371"/>
      <c r="O371"/>
    </row>
    <row r="372" spans="11:15" x14ac:dyDescent="0.25">
      <c r="K372"/>
      <c r="L372"/>
      <c r="M372"/>
      <c r="N372"/>
      <c r="O372"/>
    </row>
    <row r="373" spans="11:15" x14ac:dyDescent="0.25">
      <c r="K373"/>
      <c r="L373"/>
      <c r="M373"/>
      <c r="N373"/>
      <c r="O373"/>
    </row>
    <row r="374" spans="11:15" x14ac:dyDescent="0.25">
      <c r="K374"/>
      <c r="L374"/>
      <c r="M374"/>
      <c r="N374"/>
      <c r="O374"/>
    </row>
    <row r="375" spans="11:15" x14ac:dyDescent="0.25">
      <c r="K375"/>
      <c r="L375"/>
      <c r="M375"/>
      <c r="N375"/>
      <c r="O375"/>
    </row>
    <row r="376" spans="11:15" x14ac:dyDescent="0.25">
      <c r="K376"/>
      <c r="L376"/>
      <c r="M376"/>
      <c r="N376"/>
      <c r="O376"/>
    </row>
    <row r="377" spans="11:15" x14ac:dyDescent="0.25">
      <c r="K377"/>
      <c r="L377"/>
      <c r="M377"/>
      <c r="N377"/>
      <c r="O377"/>
    </row>
    <row r="378" spans="11:15" x14ac:dyDescent="0.25">
      <c r="K378"/>
      <c r="L378"/>
      <c r="M378"/>
      <c r="N378"/>
      <c r="O378"/>
    </row>
    <row r="379" spans="11:15" x14ac:dyDescent="0.25">
      <c r="K379"/>
      <c r="L379"/>
      <c r="M379"/>
      <c r="N379"/>
      <c r="O379"/>
    </row>
    <row r="380" spans="11:15" x14ac:dyDescent="0.25">
      <c r="K380"/>
      <c r="L380"/>
      <c r="M380"/>
      <c r="N380"/>
      <c r="O380"/>
    </row>
    <row r="381" spans="11:15" x14ac:dyDescent="0.25">
      <c r="K381"/>
      <c r="L381"/>
      <c r="M381"/>
      <c r="N381"/>
      <c r="O381"/>
    </row>
    <row r="382" spans="11:15" x14ac:dyDescent="0.25">
      <c r="K382"/>
      <c r="L382"/>
      <c r="M382"/>
      <c r="N382"/>
      <c r="O382"/>
    </row>
    <row r="383" spans="11:15" x14ac:dyDescent="0.25">
      <c r="K383"/>
      <c r="L383"/>
      <c r="M383"/>
      <c r="N383"/>
      <c r="O383"/>
    </row>
    <row r="384" spans="11:15" x14ac:dyDescent="0.25">
      <c r="K384"/>
      <c r="L384"/>
      <c r="M384"/>
      <c r="N384"/>
      <c r="O384"/>
    </row>
    <row r="385" spans="11:15" x14ac:dyDescent="0.25">
      <c r="K385"/>
      <c r="L385"/>
      <c r="M385"/>
      <c r="N385"/>
      <c r="O385"/>
    </row>
    <row r="386" spans="11:15" x14ac:dyDescent="0.25">
      <c r="K386"/>
      <c r="L386"/>
      <c r="M386"/>
      <c r="N386"/>
      <c r="O386"/>
    </row>
    <row r="387" spans="11:15" x14ac:dyDescent="0.25">
      <c r="K387"/>
      <c r="L387"/>
      <c r="M387"/>
      <c r="N387"/>
      <c r="O387"/>
    </row>
    <row r="388" spans="11:15" x14ac:dyDescent="0.25">
      <c r="K388"/>
      <c r="L388"/>
      <c r="M388"/>
      <c r="N388"/>
      <c r="O388"/>
    </row>
    <row r="389" spans="11:15" x14ac:dyDescent="0.25">
      <c r="K389"/>
      <c r="L389"/>
      <c r="M389"/>
      <c r="N389"/>
      <c r="O389"/>
    </row>
    <row r="390" spans="11:15" x14ac:dyDescent="0.25">
      <c r="K390"/>
      <c r="L390"/>
      <c r="M390"/>
      <c r="N390"/>
      <c r="O390"/>
    </row>
    <row r="391" spans="11:15" x14ac:dyDescent="0.25">
      <c r="K391"/>
      <c r="L391"/>
      <c r="M391"/>
      <c r="N391"/>
      <c r="O391"/>
    </row>
    <row r="392" spans="11:15" x14ac:dyDescent="0.25">
      <c r="K392"/>
      <c r="L392"/>
      <c r="M392"/>
      <c r="N392"/>
      <c r="O392"/>
    </row>
    <row r="393" spans="11:15" x14ac:dyDescent="0.25">
      <c r="K393"/>
      <c r="L393"/>
      <c r="M393"/>
      <c r="N393"/>
      <c r="O393"/>
    </row>
    <row r="394" spans="11:15" x14ac:dyDescent="0.25">
      <c r="K394"/>
      <c r="L394"/>
      <c r="M394"/>
      <c r="N394"/>
      <c r="O394"/>
    </row>
    <row r="395" spans="11:15" x14ac:dyDescent="0.25">
      <c r="K395"/>
      <c r="L395"/>
      <c r="M395"/>
      <c r="N395"/>
      <c r="O395"/>
    </row>
    <row r="396" spans="11:15" x14ac:dyDescent="0.25">
      <c r="K396"/>
      <c r="L396"/>
      <c r="M396"/>
      <c r="N396"/>
      <c r="O396"/>
    </row>
    <row r="397" spans="11:15" x14ac:dyDescent="0.25">
      <c r="K397"/>
      <c r="L397"/>
      <c r="M397"/>
      <c r="N397"/>
      <c r="O397"/>
    </row>
    <row r="398" spans="11:15" x14ac:dyDescent="0.25">
      <c r="K398"/>
      <c r="L398"/>
      <c r="M398"/>
      <c r="N398"/>
      <c r="O398"/>
    </row>
    <row r="399" spans="11:15" x14ac:dyDescent="0.25">
      <c r="K399"/>
      <c r="L399"/>
      <c r="M399"/>
      <c r="N399"/>
      <c r="O399"/>
    </row>
    <row r="400" spans="11:15" x14ac:dyDescent="0.25">
      <c r="K400"/>
      <c r="L400"/>
      <c r="M400"/>
      <c r="N400"/>
      <c r="O400"/>
    </row>
    <row r="401" spans="11:15" x14ac:dyDescent="0.25">
      <c r="K401"/>
      <c r="L401"/>
      <c r="M401"/>
      <c r="N401"/>
      <c r="O401"/>
    </row>
    <row r="402" spans="11:15" x14ac:dyDescent="0.25">
      <c r="K402"/>
      <c r="L402"/>
      <c r="M402"/>
      <c r="N402"/>
      <c r="O402"/>
    </row>
    <row r="403" spans="11:15" x14ac:dyDescent="0.25">
      <c r="K403"/>
      <c r="L403"/>
      <c r="M403"/>
      <c r="N403"/>
      <c r="O403"/>
    </row>
    <row r="404" spans="11:15" x14ac:dyDescent="0.25">
      <c r="K404"/>
      <c r="L404"/>
      <c r="M404"/>
      <c r="N404"/>
      <c r="O404"/>
    </row>
    <row r="405" spans="11:15" x14ac:dyDescent="0.25">
      <c r="K405"/>
      <c r="L405"/>
      <c r="M405"/>
      <c r="N405"/>
      <c r="O405"/>
    </row>
    <row r="406" spans="11:15" x14ac:dyDescent="0.25">
      <c r="K406"/>
      <c r="L406"/>
      <c r="M406"/>
      <c r="N406"/>
      <c r="O406"/>
    </row>
    <row r="407" spans="11:15" x14ac:dyDescent="0.25">
      <c r="K407"/>
      <c r="L407"/>
      <c r="M407"/>
      <c r="N407"/>
      <c r="O407"/>
    </row>
    <row r="408" spans="11:15" x14ac:dyDescent="0.25">
      <c r="K408"/>
      <c r="L408"/>
      <c r="M408"/>
      <c r="N408"/>
      <c r="O408"/>
    </row>
    <row r="409" spans="11:15" x14ac:dyDescent="0.25">
      <c r="K409"/>
      <c r="L409"/>
      <c r="M409"/>
      <c r="N409"/>
      <c r="O409"/>
    </row>
    <row r="410" spans="11:15" x14ac:dyDescent="0.25">
      <c r="K410"/>
      <c r="L410"/>
      <c r="M410"/>
      <c r="N410"/>
      <c r="O410"/>
    </row>
    <row r="411" spans="11:15" x14ac:dyDescent="0.25">
      <c r="K411"/>
      <c r="L411"/>
      <c r="M411"/>
      <c r="N411"/>
      <c r="O411"/>
    </row>
    <row r="412" spans="11:15" x14ac:dyDescent="0.25">
      <c r="K412"/>
      <c r="L412"/>
      <c r="M412"/>
      <c r="N412"/>
      <c r="O412"/>
    </row>
    <row r="413" spans="11:15" x14ac:dyDescent="0.25">
      <c r="K413"/>
      <c r="L413"/>
      <c r="M413"/>
      <c r="N413"/>
      <c r="O413"/>
    </row>
    <row r="414" spans="11:15" x14ac:dyDescent="0.25">
      <c r="K414"/>
      <c r="L414"/>
      <c r="M414"/>
      <c r="N414"/>
      <c r="O414"/>
    </row>
    <row r="415" spans="11:15" x14ac:dyDescent="0.25">
      <c r="K415"/>
      <c r="L415"/>
      <c r="M415"/>
      <c r="N415"/>
      <c r="O415"/>
    </row>
    <row r="416" spans="11:15" x14ac:dyDescent="0.25">
      <c r="K416"/>
      <c r="L416"/>
      <c r="M416"/>
      <c r="N416"/>
      <c r="O416"/>
    </row>
    <row r="417" spans="11:15" x14ac:dyDescent="0.25">
      <c r="K417"/>
      <c r="L417"/>
      <c r="M417"/>
      <c r="N417"/>
      <c r="O417"/>
    </row>
    <row r="418" spans="11:15" x14ac:dyDescent="0.25">
      <c r="K418"/>
      <c r="L418"/>
      <c r="M418"/>
      <c r="N418"/>
      <c r="O418"/>
    </row>
    <row r="419" spans="11:15" x14ac:dyDescent="0.25">
      <c r="K419"/>
      <c r="L419"/>
      <c r="M419"/>
      <c r="N419"/>
      <c r="O419"/>
    </row>
    <row r="420" spans="11:15" x14ac:dyDescent="0.25">
      <c r="K420"/>
      <c r="L420"/>
      <c r="M420"/>
      <c r="N420"/>
      <c r="O420"/>
    </row>
    <row r="421" spans="11:15" x14ac:dyDescent="0.25">
      <c r="K421"/>
      <c r="L421"/>
      <c r="M421"/>
      <c r="N421"/>
      <c r="O421"/>
    </row>
    <row r="422" spans="11:15" x14ac:dyDescent="0.25">
      <c r="K422"/>
      <c r="L422"/>
      <c r="M422"/>
      <c r="N422"/>
      <c r="O422"/>
    </row>
    <row r="423" spans="11:15" x14ac:dyDescent="0.25">
      <c r="K423"/>
      <c r="L423"/>
      <c r="M423"/>
      <c r="N423"/>
      <c r="O423"/>
    </row>
    <row r="424" spans="11:15" x14ac:dyDescent="0.25">
      <c r="K424"/>
      <c r="L424"/>
      <c r="M424"/>
      <c r="N424"/>
      <c r="O424"/>
    </row>
    <row r="425" spans="11:15" x14ac:dyDescent="0.25">
      <c r="K425"/>
      <c r="L425"/>
      <c r="M425"/>
      <c r="N425"/>
      <c r="O425"/>
    </row>
    <row r="426" spans="11:15" x14ac:dyDescent="0.25">
      <c r="K426"/>
      <c r="L426"/>
      <c r="M426"/>
      <c r="N426"/>
      <c r="O426"/>
    </row>
    <row r="427" spans="11:15" x14ac:dyDescent="0.25">
      <c r="K427"/>
      <c r="L427"/>
      <c r="M427"/>
      <c r="N427"/>
      <c r="O427"/>
    </row>
    <row r="428" spans="11:15" x14ac:dyDescent="0.25">
      <c r="K428"/>
      <c r="L428"/>
      <c r="M428"/>
      <c r="N428"/>
      <c r="O428"/>
    </row>
    <row r="429" spans="11:15" x14ac:dyDescent="0.25">
      <c r="K429"/>
      <c r="L429"/>
      <c r="M429"/>
      <c r="N429"/>
      <c r="O429"/>
    </row>
    <row r="430" spans="11:15" x14ac:dyDescent="0.25">
      <c r="K430"/>
      <c r="L430"/>
      <c r="M430"/>
      <c r="N430"/>
      <c r="O430"/>
    </row>
    <row r="431" spans="11:15" x14ac:dyDescent="0.25">
      <c r="K431"/>
      <c r="L431"/>
      <c r="M431"/>
      <c r="N431"/>
      <c r="O431"/>
    </row>
    <row r="432" spans="11:15" x14ac:dyDescent="0.25">
      <c r="K432"/>
      <c r="L432"/>
      <c r="M432"/>
      <c r="N432"/>
      <c r="O432"/>
    </row>
    <row r="433" spans="11:15" x14ac:dyDescent="0.25">
      <c r="K433"/>
      <c r="L433"/>
      <c r="M433"/>
      <c r="N433"/>
      <c r="O433"/>
    </row>
    <row r="434" spans="11:15" x14ac:dyDescent="0.25">
      <c r="K434"/>
      <c r="L434"/>
      <c r="M434"/>
      <c r="N434"/>
      <c r="O434"/>
    </row>
    <row r="435" spans="11:15" x14ac:dyDescent="0.25">
      <c r="K435"/>
      <c r="L435"/>
      <c r="M435"/>
      <c r="N435"/>
      <c r="O435"/>
    </row>
    <row r="436" spans="11:15" x14ac:dyDescent="0.25">
      <c r="K436"/>
      <c r="L436"/>
      <c r="M436"/>
      <c r="N436"/>
      <c r="O436"/>
    </row>
    <row r="437" spans="11:15" x14ac:dyDescent="0.25">
      <c r="K437"/>
      <c r="L437"/>
      <c r="M437"/>
      <c r="N437"/>
      <c r="O437"/>
    </row>
    <row r="438" spans="11:15" x14ac:dyDescent="0.25">
      <c r="K438"/>
      <c r="L438"/>
      <c r="M438"/>
      <c r="N438"/>
      <c r="O438"/>
    </row>
    <row r="439" spans="11:15" x14ac:dyDescent="0.25">
      <c r="K439"/>
      <c r="L439"/>
      <c r="M439"/>
      <c r="N439"/>
      <c r="O439"/>
    </row>
    <row r="440" spans="11:15" x14ac:dyDescent="0.25">
      <c r="K440"/>
      <c r="L440"/>
      <c r="M440"/>
      <c r="N440"/>
      <c r="O440"/>
    </row>
    <row r="441" spans="11:15" x14ac:dyDescent="0.25">
      <c r="K441"/>
      <c r="L441"/>
      <c r="M441"/>
      <c r="N441"/>
      <c r="O441"/>
    </row>
    <row r="442" spans="11:15" x14ac:dyDescent="0.25">
      <c r="K442"/>
      <c r="L442"/>
      <c r="M442"/>
      <c r="N442"/>
      <c r="O442"/>
    </row>
    <row r="443" spans="11:15" x14ac:dyDescent="0.25">
      <c r="K443"/>
      <c r="L443"/>
      <c r="M443"/>
      <c r="N443"/>
      <c r="O443"/>
    </row>
    <row r="444" spans="11:15" x14ac:dyDescent="0.25">
      <c r="K444"/>
      <c r="L444"/>
      <c r="M444"/>
      <c r="N444"/>
      <c r="O444"/>
    </row>
    <row r="445" spans="11:15" x14ac:dyDescent="0.25">
      <c r="K445"/>
      <c r="L445"/>
      <c r="M445"/>
      <c r="N445"/>
      <c r="O445"/>
    </row>
    <row r="446" spans="11:15" x14ac:dyDescent="0.25">
      <c r="K446"/>
      <c r="L446"/>
      <c r="M446"/>
      <c r="N446"/>
      <c r="O446"/>
    </row>
    <row r="447" spans="11:15" x14ac:dyDescent="0.25">
      <c r="K447"/>
      <c r="L447"/>
      <c r="M447"/>
      <c r="N447"/>
      <c r="O447"/>
    </row>
    <row r="448" spans="11:15" x14ac:dyDescent="0.25">
      <c r="K448"/>
      <c r="L448"/>
      <c r="M448"/>
      <c r="N448"/>
      <c r="O448"/>
    </row>
    <row r="449" spans="11:15" x14ac:dyDescent="0.25">
      <c r="K449"/>
      <c r="L449"/>
      <c r="M449"/>
      <c r="N449"/>
      <c r="O449"/>
    </row>
    <row r="450" spans="11:15" x14ac:dyDescent="0.25">
      <c r="K450"/>
      <c r="L450"/>
      <c r="M450"/>
      <c r="N450"/>
      <c r="O450"/>
    </row>
    <row r="451" spans="11:15" x14ac:dyDescent="0.25">
      <c r="K451"/>
      <c r="L451"/>
      <c r="M451"/>
      <c r="N451"/>
      <c r="O451"/>
    </row>
    <row r="452" spans="11:15" x14ac:dyDescent="0.25">
      <c r="K452"/>
      <c r="L452"/>
      <c r="M452"/>
      <c r="N452"/>
      <c r="O452"/>
    </row>
    <row r="453" spans="11:15" x14ac:dyDescent="0.25">
      <c r="K453"/>
      <c r="L453"/>
      <c r="M453"/>
      <c r="N453"/>
      <c r="O453"/>
    </row>
    <row r="454" spans="11:15" x14ac:dyDescent="0.25">
      <c r="K454"/>
      <c r="L454"/>
      <c r="M454"/>
      <c r="N454"/>
      <c r="O454"/>
    </row>
    <row r="455" spans="11:15" x14ac:dyDescent="0.25">
      <c r="K455"/>
      <c r="L455"/>
      <c r="M455"/>
      <c r="N455"/>
      <c r="O455"/>
    </row>
    <row r="456" spans="11:15" x14ac:dyDescent="0.25">
      <c r="K456"/>
      <c r="L456"/>
      <c r="M456"/>
      <c r="N456"/>
      <c r="O456"/>
    </row>
    <row r="457" spans="11:15" x14ac:dyDescent="0.25">
      <c r="K457"/>
      <c r="L457"/>
      <c r="M457"/>
      <c r="N457"/>
      <c r="O457"/>
    </row>
    <row r="458" spans="11:15" x14ac:dyDescent="0.25">
      <c r="K458"/>
      <c r="L458"/>
      <c r="M458"/>
      <c r="N458"/>
      <c r="O458"/>
    </row>
    <row r="459" spans="11:15" x14ac:dyDescent="0.25">
      <c r="K459"/>
      <c r="L459"/>
      <c r="M459"/>
      <c r="N459"/>
      <c r="O459"/>
    </row>
    <row r="460" spans="11:15" x14ac:dyDescent="0.25">
      <c r="K460"/>
      <c r="L460"/>
      <c r="M460"/>
      <c r="N460"/>
      <c r="O460"/>
    </row>
    <row r="461" spans="11:15" x14ac:dyDescent="0.25">
      <c r="K461"/>
      <c r="L461"/>
      <c r="M461"/>
      <c r="N461"/>
      <c r="O461"/>
    </row>
    <row r="462" spans="11:15" x14ac:dyDescent="0.25">
      <c r="K462"/>
      <c r="L462"/>
      <c r="M462"/>
      <c r="N462"/>
      <c r="O462"/>
    </row>
    <row r="463" spans="11:15" x14ac:dyDescent="0.25">
      <c r="K463"/>
      <c r="L463"/>
      <c r="M463"/>
      <c r="N463"/>
      <c r="O463"/>
    </row>
    <row r="464" spans="11:15" x14ac:dyDescent="0.25">
      <c r="K464"/>
      <c r="L464"/>
      <c r="M464"/>
      <c r="N464"/>
      <c r="O464"/>
    </row>
    <row r="465" spans="11:15" x14ac:dyDescent="0.25">
      <c r="K465"/>
      <c r="L465"/>
      <c r="M465"/>
      <c r="N465"/>
      <c r="O465"/>
    </row>
    <row r="466" spans="11:15" x14ac:dyDescent="0.25">
      <c r="K466"/>
      <c r="L466"/>
      <c r="M466"/>
      <c r="N466"/>
      <c r="O466"/>
    </row>
    <row r="467" spans="11:15" x14ac:dyDescent="0.25">
      <c r="K467"/>
      <c r="L467"/>
      <c r="M467"/>
      <c r="N467"/>
      <c r="O467"/>
    </row>
    <row r="468" spans="11:15" x14ac:dyDescent="0.25">
      <c r="K468"/>
      <c r="L468"/>
      <c r="M468"/>
      <c r="N468"/>
      <c r="O468"/>
    </row>
    <row r="469" spans="11:15" x14ac:dyDescent="0.25">
      <c r="K469"/>
      <c r="L469"/>
      <c r="M469"/>
      <c r="N469"/>
      <c r="O469"/>
    </row>
    <row r="470" spans="11:15" x14ac:dyDescent="0.25">
      <c r="K470"/>
      <c r="L470"/>
      <c r="M470"/>
      <c r="N470"/>
      <c r="O470"/>
    </row>
    <row r="471" spans="11:15" x14ac:dyDescent="0.25">
      <c r="K471"/>
      <c r="L471"/>
      <c r="M471"/>
      <c r="N471"/>
      <c r="O471"/>
    </row>
    <row r="472" spans="11:15" x14ac:dyDescent="0.25">
      <c r="K472"/>
      <c r="L472"/>
      <c r="M472"/>
      <c r="N472"/>
      <c r="O472"/>
    </row>
    <row r="473" spans="11:15" x14ac:dyDescent="0.25">
      <c r="K473"/>
      <c r="L473"/>
      <c r="M473"/>
      <c r="N473"/>
      <c r="O473"/>
    </row>
    <row r="474" spans="11:15" x14ac:dyDescent="0.25">
      <c r="K474"/>
      <c r="L474"/>
      <c r="M474"/>
      <c r="N474"/>
      <c r="O474"/>
    </row>
    <row r="475" spans="11:15" x14ac:dyDescent="0.25">
      <c r="K475"/>
      <c r="L475"/>
      <c r="M475"/>
      <c r="N475"/>
      <c r="O475"/>
    </row>
    <row r="476" spans="11:15" x14ac:dyDescent="0.25">
      <c r="K476"/>
      <c r="L476"/>
      <c r="M476"/>
      <c r="N476"/>
      <c r="O476"/>
    </row>
    <row r="477" spans="11:15" x14ac:dyDescent="0.25">
      <c r="K477"/>
      <c r="L477"/>
      <c r="M477"/>
      <c r="N477"/>
      <c r="O477"/>
    </row>
    <row r="478" spans="11:15" x14ac:dyDescent="0.25">
      <c r="K478"/>
      <c r="L478"/>
      <c r="M478"/>
      <c r="N478"/>
      <c r="O478"/>
    </row>
    <row r="479" spans="11:15" x14ac:dyDescent="0.25">
      <c r="K479"/>
      <c r="L479"/>
      <c r="M479"/>
      <c r="N479"/>
      <c r="O479"/>
    </row>
    <row r="480" spans="11:15" x14ac:dyDescent="0.25">
      <c r="K480"/>
      <c r="L480"/>
      <c r="M480"/>
      <c r="N480"/>
      <c r="O480"/>
    </row>
    <row r="481" spans="11:15" x14ac:dyDescent="0.25">
      <c r="K481"/>
      <c r="L481"/>
      <c r="M481"/>
      <c r="N481"/>
      <c r="O481"/>
    </row>
    <row r="482" spans="11:15" x14ac:dyDescent="0.25">
      <c r="K482"/>
      <c r="L482"/>
      <c r="M482"/>
      <c r="N482"/>
      <c r="O482"/>
    </row>
    <row r="483" spans="11:15" x14ac:dyDescent="0.25">
      <c r="K483"/>
      <c r="L483"/>
      <c r="M483"/>
      <c r="N483"/>
      <c r="O483"/>
    </row>
    <row r="484" spans="11:15" x14ac:dyDescent="0.25">
      <c r="K484"/>
      <c r="L484"/>
      <c r="M484"/>
      <c r="N484"/>
      <c r="O484"/>
    </row>
    <row r="485" spans="11:15" x14ac:dyDescent="0.25">
      <c r="K485"/>
      <c r="L485"/>
      <c r="M485"/>
      <c r="N485"/>
      <c r="O485"/>
    </row>
    <row r="486" spans="11:15" x14ac:dyDescent="0.25">
      <c r="K486"/>
      <c r="L486"/>
      <c r="M486"/>
      <c r="N486"/>
      <c r="O486"/>
    </row>
    <row r="487" spans="11:15" x14ac:dyDescent="0.25">
      <c r="K487"/>
      <c r="L487"/>
      <c r="M487"/>
      <c r="N487"/>
      <c r="O487"/>
    </row>
    <row r="488" spans="11:15" x14ac:dyDescent="0.25">
      <c r="K488"/>
      <c r="L488"/>
      <c r="M488"/>
      <c r="N488"/>
      <c r="O488"/>
    </row>
    <row r="489" spans="11:15" x14ac:dyDescent="0.25">
      <c r="K489"/>
      <c r="L489"/>
      <c r="M489"/>
      <c r="N489"/>
      <c r="O489"/>
    </row>
    <row r="490" spans="11:15" x14ac:dyDescent="0.25">
      <c r="K490"/>
      <c r="L490"/>
      <c r="M490"/>
      <c r="N490"/>
      <c r="O490"/>
    </row>
    <row r="491" spans="11:15" x14ac:dyDescent="0.25">
      <c r="K491"/>
      <c r="L491"/>
      <c r="M491"/>
      <c r="N491"/>
      <c r="O491"/>
    </row>
    <row r="492" spans="11:15" x14ac:dyDescent="0.25">
      <c r="K492"/>
      <c r="L492"/>
      <c r="M492"/>
      <c r="N492"/>
      <c r="O492"/>
    </row>
    <row r="493" spans="11:15" x14ac:dyDescent="0.25">
      <c r="K493"/>
      <c r="L493"/>
      <c r="M493"/>
      <c r="N493"/>
      <c r="O493"/>
    </row>
    <row r="494" spans="11:15" x14ac:dyDescent="0.25">
      <c r="K494"/>
      <c r="L494"/>
      <c r="M494"/>
      <c r="N494"/>
      <c r="O494"/>
    </row>
    <row r="495" spans="11:15" x14ac:dyDescent="0.25">
      <c r="K495"/>
      <c r="L495"/>
      <c r="M495"/>
      <c r="N495"/>
      <c r="O495"/>
    </row>
    <row r="496" spans="11:15" x14ac:dyDescent="0.25">
      <c r="K496"/>
      <c r="L496"/>
      <c r="M496"/>
      <c r="N496"/>
      <c r="O496"/>
    </row>
    <row r="497" spans="11:15" x14ac:dyDescent="0.25">
      <c r="K497"/>
      <c r="L497"/>
      <c r="M497"/>
      <c r="N497"/>
      <c r="O497"/>
    </row>
    <row r="498" spans="11:15" x14ac:dyDescent="0.25">
      <c r="K498"/>
      <c r="L498"/>
      <c r="M498"/>
      <c r="N498"/>
      <c r="O498"/>
    </row>
    <row r="499" spans="11:15" x14ac:dyDescent="0.25">
      <c r="K499"/>
      <c r="L499"/>
      <c r="M499"/>
      <c r="N499"/>
      <c r="O499"/>
    </row>
    <row r="500" spans="11:15" x14ac:dyDescent="0.25">
      <c r="K500"/>
      <c r="L500"/>
      <c r="M500"/>
      <c r="N500"/>
      <c r="O500"/>
    </row>
    <row r="501" spans="11:15" x14ac:dyDescent="0.25">
      <c r="K501"/>
      <c r="L501"/>
      <c r="M501"/>
      <c r="N501"/>
      <c r="O501"/>
    </row>
    <row r="502" spans="11:15" x14ac:dyDescent="0.25">
      <c r="K502"/>
      <c r="L502"/>
      <c r="M502"/>
      <c r="N502"/>
      <c r="O502"/>
    </row>
    <row r="503" spans="11:15" x14ac:dyDescent="0.25">
      <c r="K503"/>
      <c r="L503"/>
      <c r="M503"/>
      <c r="N503"/>
      <c r="O503"/>
    </row>
    <row r="504" spans="11:15" x14ac:dyDescent="0.25">
      <c r="K504"/>
      <c r="L504"/>
      <c r="M504"/>
      <c r="N504"/>
      <c r="O504"/>
    </row>
    <row r="505" spans="11:15" x14ac:dyDescent="0.25">
      <c r="K505"/>
      <c r="L505"/>
      <c r="M505"/>
      <c r="N505"/>
      <c r="O505"/>
    </row>
    <row r="506" spans="11:15" x14ac:dyDescent="0.25">
      <c r="K506"/>
      <c r="L506"/>
      <c r="M506"/>
      <c r="N506"/>
      <c r="O506"/>
    </row>
    <row r="507" spans="11:15" x14ac:dyDescent="0.25">
      <c r="K507"/>
      <c r="L507"/>
      <c r="M507"/>
      <c r="N507"/>
      <c r="O507"/>
    </row>
    <row r="508" spans="11:15" x14ac:dyDescent="0.25">
      <c r="K508"/>
      <c r="L508"/>
      <c r="M508"/>
      <c r="N508"/>
      <c r="O508"/>
    </row>
    <row r="509" spans="11:15" x14ac:dyDescent="0.25">
      <c r="K509"/>
      <c r="L509"/>
      <c r="M509"/>
      <c r="N509"/>
      <c r="O509"/>
    </row>
    <row r="510" spans="11:15" x14ac:dyDescent="0.25">
      <c r="K510"/>
      <c r="L510"/>
      <c r="M510"/>
      <c r="N510"/>
      <c r="O510"/>
    </row>
    <row r="511" spans="11:15" x14ac:dyDescent="0.25">
      <c r="K511"/>
      <c r="L511"/>
      <c r="M511"/>
      <c r="N511"/>
      <c r="O511"/>
    </row>
    <row r="512" spans="11:15" x14ac:dyDescent="0.25">
      <c r="K512"/>
      <c r="L512"/>
      <c r="M512"/>
      <c r="N512"/>
      <c r="O512"/>
    </row>
    <row r="513" spans="11:15" x14ac:dyDescent="0.25">
      <c r="K513"/>
      <c r="L513"/>
      <c r="M513"/>
      <c r="N513"/>
      <c r="O513"/>
    </row>
    <row r="514" spans="11:15" x14ac:dyDescent="0.25">
      <c r="K514"/>
      <c r="L514"/>
      <c r="M514"/>
      <c r="N514"/>
      <c r="O514"/>
    </row>
    <row r="515" spans="11:15" x14ac:dyDescent="0.25">
      <c r="K515"/>
      <c r="L515"/>
      <c r="M515"/>
      <c r="N515"/>
      <c r="O515"/>
    </row>
    <row r="516" spans="11:15" x14ac:dyDescent="0.25">
      <c r="K516"/>
      <c r="L516"/>
      <c r="M516"/>
      <c r="N516"/>
      <c r="O516"/>
    </row>
    <row r="517" spans="11:15" x14ac:dyDescent="0.25">
      <c r="K517"/>
      <c r="L517"/>
      <c r="M517"/>
      <c r="N517"/>
      <c r="O517"/>
    </row>
    <row r="518" spans="11:15" x14ac:dyDescent="0.25">
      <c r="K518"/>
      <c r="L518"/>
      <c r="M518"/>
      <c r="N518"/>
      <c r="O518"/>
    </row>
    <row r="519" spans="11:15" x14ac:dyDescent="0.25">
      <c r="K519"/>
      <c r="L519"/>
      <c r="M519"/>
      <c r="N519"/>
      <c r="O519"/>
    </row>
    <row r="520" spans="11:15" x14ac:dyDescent="0.25">
      <c r="K520"/>
      <c r="L520"/>
      <c r="M520"/>
      <c r="N520"/>
      <c r="O520"/>
    </row>
    <row r="521" spans="11:15" x14ac:dyDescent="0.25">
      <c r="K521"/>
      <c r="L521"/>
      <c r="M521"/>
      <c r="N521"/>
      <c r="O521"/>
    </row>
    <row r="522" spans="11:15" x14ac:dyDescent="0.25">
      <c r="K522"/>
      <c r="L522"/>
      <c r="M522"/>
      <c r="N522"/>
      <c r="O522"/>
    </row>
    <row r="523" spans="11:15" x14ac:dyDescent="0.25">
      <c r="K523"/>
      <c r="L523"/>
      <c r="M523"/>
      <c r="N523"/>
      <c r="O523"/>
    </row>
    <row r="524" spans="11:15" x14ac:dyDescent="0.25">
      <c r="K524"/>
      <c r="L524"/>
      <c r="M524"/>
      <c r="N524"/>
      <c r="O524"/>
    </row>
    <row r="525" spans="11:15" x14ac:dyDescent="0.25">
      <c r="K525"/>
      <c r="L525"/>
      <c r="M525"/>
      <c r="N525"/>
      <c r="O525"/>
    </row>
    <row r="526" spans="11:15" x14ac:dyDescent="0.25">
      <c r="K526"/>
      <c r="L526"/>
      <c r="M526"/>
      <c r="N526"/>
      <c r="O526"/>
    </row>
    <row r="527" spans="11:15" x14ac:dyDescent="0.25">
      <c r="K527"/>
      <c r="L527"/>
      <c r="M527"/>
      <c r="N527"/>
      <c r="O527"/>
    </row>
    <row r="528" spans="11:15" x14ac:dyDescent="0.25">
      <c r="K528"/>
      <c r="L528"/>
      <c r="M528"/>
      <c r="N528"/>
      <c r="O528"/>
    </row>
    <row r="529" spans="11:15" x14ac:dyDescent="0.25">
      <c r="K529"/>
      <c r="L529"/>
      <c r="M529"/>
      <c r="N529"/>
      <c r="O529"/>
    </row>
    <row r="530" spans="11:15" x14ac:dyDescent="0.25">
      <c r="K530"/>
      <c r="L530"/>
      <c r="M530"/>
      <c r="N530"/>
      <c r="O530"/>
    </row>
    <row r="531" spans="11:15" x14ac:dyDescent="0.25">
      <c r="K531"/>
      <c r="L531"/>
      <c r="M531"/>
      <c r="N531"/>
      <c r="O531"/>
    </row>
    <row r="532" spans="11:15" x14ac:dyDescent="0.25">
      <c r="K532"/>
      <c r="L532"/>
      <c r="M532"/>
      <c r="N532"/>
      <c r="O532"/>
    </row>
    <row r="533" spans="11:15" x14ac:dyDescent="0.25">
      <c r="K533"/>
      <c r="L533"/>
      <c r="M533"/>
      <c r="N533"/>
      <c r="O533"/>
    </row>
    <row r="534" spans="11:15" x14ac:dyDescent="0.25">
      <c r="K534"/>
      <c r="L534"/>
      <c r="M534"/>
      <c r="N534"/>
      <c r="O534"/>
    </row>
    <row r="535" spans="11:15" x14ac:dyDescent="0.25">
      <c r="K535"/>
      <c r="L535"/>
      <c r="M535"/>
      <c r="N535"/>
      <c r="O535"/>
    </row>
    <row r="536" spans="11:15" x14ac:dyDescent="0.25">
      <c r="K536"/>
      <c r="L536"/>
      <c r="M536"/>
      <c r="N536"/>
      <c r="O536"/>
    </row>
    <row r="537" spans="11:15" x14ac:dyDescent="0.25">
      <c r="K537"/>
      <c r="L537"/>
      <c r="M537"/>
      <c r="N537"/>
      <c r="O537"/>
    </row>
    <row r="538" spans="11:15" x14ac:dyDescent="0.25">
      <c r="K538"/>
      <c r="L538"/>
      <c r="M538"/>
      <c r="N538"/>
      <c r="O538"/>
    </row>
    <row r="539" spans="11:15" x14ac:dyDescent="0.25">
      <c r="K539"/>
      <c r="L539"/>
      <c r="M539"/>
      <c r="N539"/>
      <c r="O539"/>
    </row>
    <row r="540" spans="11:15" x14ac:dyDescent="0.25">
      <c r="K540"/>
      <c r="L540"/>
      <c r="M540"/>
      <c r="N540"/>
      <c r="O540"/>
    </row>
    <row r="541" spans="11:15" x14ac:dyDescent="0.25">
      <c r="K541"/>
      <c r="L541"/>
      <c r="M541"/>
      <c r="N541"/>
      <c r="O541"/>
    </row>
    <row r="542" spans="11:15" x14ac:dyDescent="0.25">
      <c r="K542"/>
      <c r="L542"/>
      <c r="M542"/>
      <c r="N542"/>
      <c r="O542"/>
    </row>
    <row r="543" spans="11:15" x14ac:dyDescent="0.25">
      <c r="K543"/>
      <c r="L543"/>
      <c r="M543"/>
      <c r="N543"/>
      <c r="O543"/>
    </row>
    <row r="544" spans="11:15" x14ac:dyDescent="0.25">
      <c r="K544"/>
      <c r="L544"/>
      <c r="M544"/>
      <c r="N544"/>
      <c r="O544"/>
    </row>
    <row r="545" spans="11:15" x14ac:dyDescent="0.25">
      <c r="K545"/>
      <c r="L545"/>
      <c r="M545"/>
      <c r="N545"/>
      <c r="O545"/>
    </row>
    <row r="546" spans="11:15" x14ac:dyDescent="0.25">
      <c r="K546"/>
      <c r="L546"/>
      <c r="M546"/>
      <c r="N546"/>
      <c r="O546"/>
    </row>
    <row r="547" spans="11:15" x14ac:dyDescent="0.25">
      <c r="K547"/>
      <c r="L547"/>
      <c r="M547"/>
      <c r="N547"/>
      <c r="O547"/>
    </row>
    <row r="548" spans="11:15" x14ac:dyDescent="0.25">
      <c r="K548"/>
      <c r="L548"/>
      <c r="M548"/>
      <c r="N548"/>
      <c r="O548"/>
    </row>
    <row r="549" spans="11:15" x14ac:dyDescent="0.25">
      <c r="K549"/>
      <c r="L549"/>
      <c r="M549"/>
      <c r="N549"/>
      <c r="O549"/>
    </row>
    <row r="550" spans="11:15" x14ac:dyDescent="0.25">
      <c r="K550"/>
      <c r="L550"/>
      <c r="M550"/>
      <c r="N550"/>
      <c r="O550"/>
    </row>
    <row r="551" spans="11:15" x14ac:dyDescent="0.25">
      <c r="K551"/>
      <c r="L551"/>
      <c r="M551"/>
      <c r="N551"/>
      <c r="O551"/>
    </row>
    <row r="552" spans="11:15" x14ac:dyDescent="0.25">
      <c r="K552"/>
      <c r="L552"/>
      <c r="M552"/>
      <c r="N552"/>
      <c r="O552"/>
    </row>
    <row r="553" spans="11:15" x14ac:dyDescent="0.25">
      <c r="K553"/>
      <c r="L553"/>
      <c r="M553"/>
      <c r="N553"/>
      <c r="O553"/>
    </row>
    <row r="554" spans="11:15" x14ac:dyDescent="0.25">
      <c r="K554"/>
      <c r="L554"/>
      <c r="M554"/>
      <c r="N554"/>
      <c r="O554"/>
    </row>
    <row r="555" spans="11:15" x14ac:dyDescent="0.25">
      <c r="K555"/>
      <c r="L555"/>
      <c r="M555"/>
      <c r="N555"/>
      <c r="O555"/>
    </row>
    <row r="556" spans="11:15" x14ac:dyDescent="0.25">
      <c r="K556"/>
      <c r="L556"/>
      <c r="M556"/>
      <c r="N556"/>
      <c r="O556"/>
    </row>
    <row r="557" spans="11:15" x14ac:dyDescent="0.25">
      <c r="K557"/>
      <c r="L557"/>
      <c r="M557"/>
      <c r="N557"/>
      <c r="O557"/>
    </row>
    <row r="558" spans="11:15" x14ac:dyDescent="0.25">
      <c r="K558"/>
      <c r="L558"/>
      <c r="M558"/>
      <c r="N558"/>
      <c r="O558"/>
    </row>
    <row r="559" spans="11:15" x14ac:dyDescent="0.25">
      <c r="K559"/>
      <c r="L559"/>
      <c r="M559"/>
      <c r="N559"/>
      <c r="O559"/>
    </row>
    <row r="560" spans="11:15" x14ac:dyDescent="0.25">
      <c r="K560"/>
      <c r="L560"/>
      <c r="M560"/>
      <c r="N560"/>
      <c r="O560"/>
    </row>
    <row r="561" spans="11:15" x14ac:dyDescent="0.25">
      <c r="K561"/>
      <c r="L561"/>
      <c r="M561"/>
      <c r="N561"/>
      <c r="O561"/>
    </row>
    <row r="562" spans="11:15" x14ac:dyDescent="0.25">
      <c r="K562"/>
      <c r="L562"/>
      <c r="M562"/>
      <c r="N562"/>
      <c r="O562"/>
    </row>
    <row r="563" spans="11:15" x14ac:dyDescent="0.25">
      <c r="K563"/>
      <c r="L563"/>
      <c r="M563"/>
      <c r="N563"/>
      <c r="O563"/>
    </row>
    <row r="564" spans="11:15" x14ac:dyDescent="0.25">
      <c r="K564"/>
      <c r="L564"/>
      <c r="M564"/>
      <c r="N564"/>
      <c r="O564"/>
    </row>
    <row r="565" spans="11:15" x14ac:dyDescent="0.25">
      <c r="K565"/>
      <c r="L565"/>
      <c r="M565"/>
      <c r="N565"/>
      <c r="O565"/>
    </row>
    <row r="566" spans="11:15" x14ac:dyDescent="0.25">
      <c r="K566"/>
      <c r="L566"/>
      <c r="M566"/>
      <c r="N566"/>
      <c r="O566"/>
    </row>
    <row r="567" spans="11:15" x14ac:dyDescent="0.25">
      <c r="K567"/>
      <c r="L567"/>
      <c r="M567"/>
      <c r="N567"/>
      <c r="O567"/>
    </row>
    <row r="568" spans="11:15" x14ac:dyDescent="0.25">
      <c r="K568"/>
      <c r="L568"/>
      <c r="M568"/>
      <c r="N568"/>
      <c r="O568"/>
    </row>
    <row r="569" spans="11:15" x14ac:dyDescent="0.25">
      <c r="K569"/>
      <c r="L569"/>
      <c r="M569"/>
      <c r="N569"/>
      <c r="O569"/>
    </row>
    <row r="570" spans="11:15" x14ac:dyDescent="0.25">
      <c r="K570"/>
      <c r="L570"/>
      <c r="M570"/>
      <c r="N570"/>
      <c r="O570"/>
    </row>
    <row r="571" spans="11:15" x14ac:dyDescent="0.25">
      <c r="K571"/>
      <c r="L571"/>
      <c r="M571"/>
      <c r="N571"/>
      <c r="O571"/>
    </row>
    <row r="572" spans="11:15" x14ac:dyDescent="0.25">
      <c r="K572"/>
      <c r="L572"/>
      <c r="M572"/>
      <c r="N572"/>
      <c r="O572"/>
    </row>
    <row r="573" spans="11:15" x14ac:dyDescent="0.25">
      <c r="K573"/>
      <c r="L573"/>
      <c r="M573"/>
      <c r="N573"/>
      <c r="O573"/>
    </row>
    <row r="574" spans="11:15" x14ac:dyDescent="0.25">
      <c r="K574"/>
      <c r="L574"/>
      <c r="M574"/>
      <c r="N574"/>
      <c r="O574"/>
    </row>
    <row r="575" spans="11:15" x14ac:dyDescent="0.25">
      <c r="K575"/>
      <c r="L575"/>
      <c r="M575"/>
      <c r="N575"/>
      <c r="O575"/>
    </row>
    <row r="576" spans="11:15" x14ac:dyDescent="0.25">
      <c r="K576"/>
      <c r="L576"/>
      <c r="M576"/>
      <c r="N576"/>
      <c r="O576"/>
    </row>
    <row r="577" spans="11:15" x14ac:dyDescent="0.25">
      <c r="K577"/>
      <c r="L577"/>
      <c r="M577"/>
      <c r="N577"/>
      <c r="O577"/>
    </row>
    <row r="578" spans="11:15" x14ac:dyDescent="0.25">
      <c r="K578"/>
      <c r="L578"/>
      <c r="M578"/>
      <c r="N578"/>
      <c r="O578"/>
    </row>
    <row r="579" spans="11:15" x14ac:dyDescent="0.25">
      <c r="K579"/>
      <c r="L579"/>
      <c r="M579"/>
      <c r="N579"/>
      <c r="O579"/>
    </row>
    <row r="580" spans="11:15" x14ac:dyDescent="0.25">
      <c r="K580"/>
      <c r="L580"/>
      <c r="M580"/>
      <c r="N580"/>
      <c r="O580"/>
    </row>
    <row r="581" spans="11:15" x14ac:dyDescent="0.25">
      <c r="K581"/>
      <c r="L581"/>
      <c r="M581"/>
      <c r="N581"/>
      <c r="O581"/>
    </row>
    <row r="582" spans="11:15" x14ac:dyDescent="0.25">
      <c r="K582"/>
      <c r="L582"/>
      <c r="M582"/>
      <c r="N582"/>
      <c r="O582"/>
    </row>
    <row r="583" spans="11:15" x14ac:dyDescent="0.25">
      <c r="K583"/>
      <c r="L583"/>
      <c r="M583"/>
      <c r="N583"/>
      <c r="O583"/>
    </row>
    <row r="584" spans="11:15" x14ac:dyDescent="0.25">
      <c r="K584"/>
      <c r="L584"/>
      <c r="M584"/>
      <c r="N584"/>
      <c r="O584"/>
    </row>
    <row r="585" spans="11:15" x14ac:dyDescent="0.25">
      <c r="K585"/>
      <c r="L585"/>
      <c r="M585"/>
      <c r="N585"/>
      <c r="O585"/>
    </row>
    <row r="586" spans="11:15" x14ac:dyDescent="0.25">
      <c r="K586"/>
      <c r="L586"/>
      <c r="M586"/>
      <c r="N586"/>
      <c r="O586"/>
    </row>
    <row r="587" spans="11:15" x14ac:dyDescent="0.25">
      <c r="K587"/>
      <c r="L587"/>
      <c r="M587"/>
      <c r="N587"/>
      <c r="O587"/>
    </row>
    <row r="588" spans="11:15" x14ac:dyDescent="0.25">
      <c r="K588"/>
      <c r="L588"/>
      <c r="M588"/>
      <c r="N588"/>
      <c r="O588"/>
    </row>
    <row r="589" spans="11:15" x14ac:dyDescent="0.25">
      <c r="K589"/>
      <c r="L589"/>
      <c r="M589"/>
      <c r="N589"/>
      <c r="O589"/>
    </row>
    <row r="590" spans="11:15" x14ac:dyDescent="0.25">
      <c r="K590"/>
      <c r="L590"/>
      <c r="M590"/>
      <c r="N590"/>
      <c r="O590"/>
    </row>
    <row r="591" spans="11:15" x14ac:dyDescent="0.25">
      <c r="K591"/>
      <c r="L591"/>
      <c r="M591"/>
      <c r="N591"/>
      <c r="O591"/>
    </row>
    <row r="592" spans="11:15" x14ac:dyDescent="0.25">
      <c r="K592"/>
      <c r="L592"/>
      <c r="M592"/>
      <c r="N592"/>
      <c r="O592"/>
    </row>
    <row r="593" spans="11:15" x14ac:dyDescent="0.25">
      <c r="K593"/>
      <c r="L593"/>
      <c r="M593"/>
      <c r="N593"/>
      <c r="O593"/>
    </row>
    <row r="594" spans="11:15" x14ac:dyDescent="0.25">
      <c r="K594"/>
      <c r="L594"/>
      <c r="M594"/>
      <c r="N594"/>
      <c r="O594"/>
    </row>
    <row r="595" spans="11:15" x14ac:dyDescent="0.25">
      <c r="K595"/>
      <c r="L595"/>
      <c r="M595"/>
      <c r="N595"/>
      <c r="O595"/>
    </row>
    <row r="596" spans="11:15" x14ac:dyDescent="0.25">
      <c r="K596"/>
      <c r="L596"/>
      <c r="M596"/>
      <c r="N596"/>
      <c r="O596"/>
    </row>
    <row r="597" spans="11:15" x14ac:dyDescent="0.25">
      <c r="K597"/>
      <c r="L597"/>
      <c r="M597"/>
      <c r="N597"/>
      <c r="O597"/>
    </row>
    <row r="598" spans="11:15" x14ac:dyDescent="0.25">
      <c r="K598"/>
      <c r="L598"/>
      <c r="M598"/>
      <c r="N598"/>
      <c r="O598"/>
    </row>
    <row r="599" spans="11:15" x14ac:dyDescent="0.25">
      <c r="K599"/>
      <c r="L599"/>
      <c r="M599"/>
      <c r="N599"/>
      <c r="O599"/>
    </row>
    <row r="600" spans="11:15" x14ac:dyDescent="0.25">
      <c r="K600"/>
      <c r="L600"/>
      <c r="M600"/>
      <c r="N600"/>
      <c r="O600"/>
    </row>
    <row r="601" spans="11:15" x14ac:dyDescent="0.25">
      <c r="K601"/>
      <c r="L601"/>
      <c r="M601"/>
      <c r="N601"/>
      <c r="O601"/>
    </row>
    <row r="602" spans="11:15" x14ac:dyDescent="0.25">
      <c r="K602"/>
      <c r="L602"/>
      <c r="M602"/>
      <c r="N602"/>
      <c r="O602"/>
    </row>
    <row r="603" spans="11:15" x14ac:dyDescent="0.25">
      <c r="K603"/>
      <c r="L603"/>
      <c r="M603"/>
      <c r="N603"/>
      <c r="O603"/>
    </row>
    <row r="604" spans="11:15" x14ac:dyDescent="0.25">
      <c r="K604"/>
      <c r="L604"/>
      <c r="M604"/>
      <c r="N604"/>
      <c r="O604"/>
    </row>
    <row r="605" spans="11:15" x14ac:dyDescent="0.25">
      <c r="K605"/>
      <c r="L605"/>
      <c r="M605"/>
      <c r="N605"/>
      <c r="O605"/>
    </row>
    <row r="606" spans="11:15" x14ac:dyDescent="0.25">
      <c r="K606"/>
      <c r="L606"/>
      <c r="M606"/>
      <c r="N606"/>
      <c r="O606"/>
    </row>
    <row r="607" spans="11:15" x14ac:dyDescent="0.25">
      <c r="K607"/>
      <c r="L607"/>
      <c r="M607"/>
      <c r="N607"/>
      <c r="O607"/>
    </row>
    <row r="608" spans="11:15" x14ac:dyDescent="0.25">
      <c r="K608"/>
      <c r="L608"/>
      <c r="M608"/>
      <c r="N608"/>
      <c r="O608"/>
    </row>
    <row r="609" spans="11:15" x14ac:dyDescent="0.25">
      <c r="K609"/>
      <c r="L609"/>
      <c r="M609"/>
      <c r="N609"/>
      <c r="O609"/>
    </row>
    <row r="610" spans="11:15" x14ac:dyDescent="0.25">
      <c r="K610"/>
      <c r="L610"/>
      <c r="M610"/>
      <c r="N610"/>
      <c r="O610"/>
    </row>
    <row r="611" spans="11:15" x14ac:dyDescent="0.25">
      <c r="K611"/>
      <c r="L611"/>
      <c r="M611"/>
      <c r="N611"/>
      <c r="O611"/>
    </row>
    <row r="612" spans="11:15" x14ac:dyDescent="0.25">
      <c r="K612"/>
      <c r="L612"/>
      <c r="M612"/>
      <c r="N612"/>
      <c r="O612"/>
    </row>
    <row r="613" spans="11:15" x14ac:dyDescent="0.25">
      <c r="K613"/>
      <c r="L613"/>
      <c r="M613"/>
      <c r="N613"/>
      <c r="O613"/>
    </row>
    <row r="614" spans="11:15" x14ac:dyDescent="0.25">
      <c r="K614"/>
      <c r="L614"/>
      <c r="M614"/>
      <c r="N614"/>
      <c r="O614"/>
    </row>
    <row r="615" spans="11:15" x14ac:dyDescent="0.25">
      <c r="K615"/>
      <c r="L615"/>
      <c r="M615"/>
      <c r="N615"/>
      <c r="O615"/>
    </row>
    <row r="616" spans="11:15" x14ac:dyDescent="0.25">
      <c r="K616"/>
      <c r="L616"/>
      <c r="M616"/>
      <c r="N616"/>
      <c r="O616"/>
    </row>
    <row r="617" spans="11:15" x14ac:dyDescent="0.25">
      <c r="K617"/>
      <c r="L617"/>
      <c r="M617"/>
      <c r="N617"/>
      <c r="O617"/>
    </row>
    <row r="618" spans="11:15" x14ac:dyDescent="0.25">
      <c r="K618"/>
      <c r="L618"/>
      <c r="M618"/>
      <c r="N618"/>
      <c r="O618"/>
    </row>
    <row r="619" spans="11:15" x14ac:dyDescent="0.25">
      <c r="K619"/>
      <c r="L619"/>
      <c r="M619"/>
      <c r="N619"/>
      <c r="O619"/>
    </row>
    <row r="620" spans="11:15" x14ac:dyDescent="0.25">
      <c r="K620"/>
      <c r="L620"/>
      <c r="M620"/>
      <c r="N620"/>
      <c r="O620"/>
    </row>
    <row r="621" spans="11:15" x14ac:dyDescent="0.25">
      <c r="K621"/>
      <c r="L621"/>
      <c r="M621"/>
      <c r="N621"/>
      <c r="O621"/>
    </row>
    <row r="622" spans="11:15" x14ac:dyDescent="0.25">
      <c r="K622"/>
      <c r="L622"/>
      <c r="M622"/>
      <c r="N622"/>
      <c r="O622"/>
    </row>
    <row r="623" spans="11:15" x14ac:dyDescent="0.25">
      <c r="K623"/>
      <c r="L623"/>
      <c r="M623"/>
      <c r="N623"/>
      <c r="O623"/>
    </row>
    <row r="624" spans="11:15" x14ac:dyDescent="0.25">
      <c r="K624"/>
      <c r="L624"/>
      <c r="M624"/>
      <c r="N624"/>
      <c r="O624"/>
    </row>
    <row r="625" spans="11:15" x14ac:dyDescent="0.25">
      <c r="K625"/>
      <c r="L625"/>
      <c r="M625"/>
      <c r="N625"/>
      <c r="O625"/>
    </row>
    <row r="626" spans="11:15" x14ac:dyDescent="0.25">
      <c r="K626"/>
      <c r="L626"/>
      <c r="M626"/>
      <c r="N626"/>
      <c r="O626"/>
    </row>
    <row r="627" spans="11:15" x14ac:dyDescent="0.25">
      <c r="K627"/>
      <c r="L627"/>
      <c r="M627"/>
      <c r="N627"/>
      <c r="O627"/>
    </row>
    <row r="628" spans="11:15" x14ac:dyDescent="0.25">
      <c r="K628"/>
      <c r="L628"/>
      <c r="M628"/>
      <c r="N628"/>
      <c r="O628"/>
    </row>
    <row r="629" spans="11:15" x14ac:dyDescent="0.25">
      <c r="K629"/>
      <c r="L629"/>
      <c r="M629"/>
      <c r="N629"/>
      <c r="O629"/>
    </row>
    <row r="630" spans="11:15" x14ac:dyDescent="0.25">
      <c r="K630"/>
      <c r="L630"/>
      <c r="M630"/>
      <c r="N630"/>
      <c r="O630"/>
    </row>
    <row r="631" spans="11:15" x14ac:dyDescent="0.25">
      <c r="K631"/>
      <c r="L631"/>
      <c r="M631"/>
      <c r="N631"/>
      <c r="O631"/>
    </row>
    <row r="632" spans="11:15" x14ac:dyDescent="0.25">
      <c r="K632"/>
      <c r="L632"/>
      <c r="M632"/>
      <c r="N632"/>
      <c r="O632"/>
    </row>
    <row r="633" spans="11:15" x14ac:dyDescent="0.25">
      <c r="K633"/>
      <c r="L633"/>
      <c r="M633"/>
      <c r="N633"/>
      <c r="O633"/>
    </row>
    <row r="634" spans="11:15" x14ac:dyDescent="0.25">
      <c r="K634"/>
      <c r="L634"/>
      <c r="M634"/>
      <c r="N634"/>
      <c r="O634"/>
    </row>
    <row r="635" spans="11:15" x14ac:dyDescent="0.25">
      <c r="K635"/>
      <c r="L635"/>
      <c r="M635"/>
      <c r="N635"/>
      <c r="O635"/>
    </row>
    <row r="636" spans="11:15" x14ac:dyDescent="0.25">
      <c r="K636"/>
      <c r="L636"/>
      <c r="M636"/>
      <c r="N636"/>
      <c r="O636"/>
    </row>
    <row r="637" spans="11:15" x14ac:dyDescent="0.25">
      <c r="K637"/>
      <c r="L637"/>
      <c r="M637"/>
      <c r="N637"/>
      <c r="O637"/>
    </row>
    <row r="638" spans="11:15" x14ac:dyDescent="0.25">
      <c r="K638"/>
      <c r="L638"/>
      <c r="M638"/>
      <c r="N638"/>
      <c r="O638"/>
    </row>
    <row r="639" spans="11:15" x14ac:dyDescent="0.25">
      <c r="K639"/>
      <c r="L639"/>
      <c r="M639"/>
      <c r="N639"/>
      <c r="O639"/>
    </row>
    <row r="640" spans="11:15" x14ac:dyDescent="0.25">
      <c r="K640"/>
      <c r="L640"/>
      <c r="M640"/>
      <c r="N640"/>
      <c r="O640"/>
    </row>
    <row r="641" spans="11:15" x14ac:dyDescent="0.25">
      <c r="K641"/>
      <c r="L641"/>
      <c r="M641"/>
      <c r="N641"/>
      <c r="O641"/>
    </row>
    <row r="642" spans="11:15" x14ac:dyDescent="0.25">
      <c r="K642"/>
      <c r="L642"/>
      <c r="M642"/>
      <c r="N642"/>
      <c r="O642"/>
    </row>
    <row r="643" spans="11:15" x14ac:dyDescent="0.25">
      <c r="K643"/>
      <c r="L643"/>
      <c r="M643"/>
      <c r="N643"/>
      <c r="O643"/>
    </row>
    <row r="644" spans="11:15" x14ac:dyDescent="0.25">
      <c r="K644"/>
      <c r="L644"/>
      <c r="M644"/>
      <c r="N644"/>
      <c r="O644"/>
    </row>
    <row r="645" spans="11:15" x14ac:dyDescent="0.25">
      <c r="K645"/>
      <c r="L645"/>
      <c r="M645"/>
      <c r="N645"/>
      <c r="O645"/>
    </row>
    <row r="646" spans="11:15" x14ac:dyDescent="0.25">
      <c r="K646"/>
      <c r="L646"/>
      <c r="M646"/>
      <c r="N646"/>
      <c r="O646"/>
    </row>
    <row r="647" spans="11:15" x14ac:dyDescent="0.25">
      <c r="K647"/>
      <c r="L647"/>
      <c r="M647"/>
      <c r="N647"/>
      <c r="O647"/>
    </row>
    <row r="648" spans="11:15" x14ac:dyDescent="0.25">
      <c r="K648"/>
      <c r="L648"/>
      <c r="M648"/>
      <c r="N648"/>
      <c r="O648"/>
    </row>
    <row r="649" spans="11:15" x14ac:dyDescent="0.25">
      <c r="K649"/>
      <c r="L649"/>
      <c r="M649"/>
      <c r="N649"/>
      <c r="O649"/>
    </row>
    <row r="650" spans="11:15" x14ac:dyDescent="0.25">
      <c r="K650"/>
      <c r="L650"/>
      <c r="M650"/>
      <c r="N650"/>
      <c r="O650"/>
    </row>
    <row r="651" spans="11:15" x14ac:dyDescent="0.25">
      <c r="K651"/>
      <c r="L651"/>
      <c r="M651"/>
      <c r="N651"/>
      <c r="O651"/>
    </row>
    <row r="652" spans="11:15" x14ac:dyDescent="0.25">
      <c r="K652"/>
      <c r="L652"/>
      <c r="M652"/>
      <c r="N652"/>
      <c r="O652"/>
    </row>
    <row r="653" spans="11:15" x14ac:dyDescent="0.25">
      <c r="K653"/>
      <c r="L653"/>
      <c r="M653"/>
      <c r="N653"/>
      <c r="O653"/>
    </row>
    <row r="654" spans="11:15" x14ac:dyDescent="0.25">
      <c r="K654"/>
      <c r="L654"/>
      <c r="M654"/>
      <c r="N654"/>
      <c r="O654"/>
    </row>
    <row r="655" spans="11:15" x14ac:dyDescent="0.25">
      <c r="K655"/>
      <c r="L655"/>
      <c r="M655"/>
      <c r="N655"/>
      <c r="O655"/>
    </row>
    <row r="656" spans="11:15" x14ac:dyDescent="0.25">
      <c r="K656"/>
      <c r="L656"/>
      <c r="M656"/>
      <c r="N656"/>
      <c r="O656"/>
    </row>
    <row r="657" spans="11:15" x14ac:dyDescent="0.25">
      <c r="K657"/>
      <c r="L657"/>
      <c r="M657"/>
      <c r="N657"/>
      <c r="O657"/>
    </row>
    <row r="658" spans="11:15" x14ac:dyDescent="0.25">
      <c r="K658"/>
      <c r="L658"/>
      <c r="M658"/>
      <c r="N658"/>
      <c r="O658"/>
    </row>
    <row r="659" spans="11:15" x14ac:dyDescent="0.25">
      <c r="K659"/>
      <c r="L659"/>
      <c r="M659"/>
      <c r="N659"/>
      <c r="O659"/>
    </row>
    <row r="660" spans="11:15" x14ac:dyDescent="0.25">
      <c r="K660"/>
      <c r="L660"/>
      <c r="M660"/>
      <c r="N660"/>
      <c r="O660"/>
    </row>
    <row r="661" spans="11:15" x14ac:dyDescent="0.25">
      <c r="K661"/>
      <c r="L661"/>
      <c r="M661"/>
      <c r="N661"/>
      <c r="O661"/>
    </row>
    <row r="662" spans="11:15" x14ac:dyDescent="0.25">
      <c r="K662"/>
      <c r="L662"/>
      <c r="M662"/>
      <c r="N662"/>
      <c r="O662"/>
    </row>
    <row r="663" spans="11:15" x14ac:dyDescent="0.25">
      <c r="K663"/>
      <c r="L663"/>
      <c r="M663"/>
      <c r="N663"/>
      <c r="O663"/>
    </row>
    <row r="664" spans="11:15" x14ac:dyDescent="0.25">
      <c r="K664"/>
      <c r="L664"/>
      <c r="M664"/>
      <c r="N664"/>
      <c r="O664"/>
    </row>
    <row r="665" spans="11:15" x14ac:dyDescent="0.25">
      <c r="K665"/>
      <c r="L665"/>
      <c r="M665"/>
      <c r="N665"/>
      <c r="O665"/>
    </row>
    <row r="666" spans="11:15" x14ac:dyDescent="0.25">
      <c r="K666"/>
      <c r="L666"/>
      <c r="M666"/>
      <c r="N666"/>
      <c r="O666"/>
    </row>
    <row r="667" spans="11:15" x14ac:dyDescent="0.25">
      <c r="K667"/>
      <c r="L667"/>
      <c r="M667"/>
      <c r="N667"/>
      <c r="O667"/>
    </row>
    <row r="668" spans="11:15" x14ac:dyDescent="0.25">
      <c r="K668"/>
      <c r="L668"/>
      <c r="M668"/>
      <c r="N668"/>
      <c r="O668"/>
    </row>
    <row r="669" spans="11:15" x14ac:dyDescent="0.25">
      <c r="K669"/>
      <c r="L669"/>
      <c r="M669"/>
      <c r="N669"/>
      <c r="O669"/>
    </row>
    <row r="670" spans="11:15" x14ac:dyDescent="0.25">
      <c r="K670"/>
      <c r="L670"/>
      <c r="M670"/>
      <c r="N670"/>
      <c r="O670"/>
    </row>
    <row r="671" spans="11:15" x14ac:dyDescent="0.25">
      <c r="K671"/>
      <c r="L671"/>
      <c r="M671"/>
      <c r="N671"/>
      <c r="O671"/>
    </row>
    <row r="672" spans="11:15" x14ac:dyDescent="0.25">
      <c r="K672"/>
      <c r="L672"/>
      <c r="M672"/>
      <c r="N672"/>
      <c r="O672"/>
    </row>
    <row r="673" spans="11:15" x14ac:dyDescent="0.25">
      <c r="K673"/>
      <c r="L673"/>
      <c r="M673"/>
      <c r="N673"/>
      <c r="O673"/>
    </row>
    <row r="674" spans="11:15" x14ac:dyDescent="0.25">
      <c r="K674"/>
      <c r="L674"/>
      <c r="M674"/>
      <c r="N674"/>
      <c r="O674"/>
    </row>
    <row r="675" spans="11:15" x14ac:dyDescent="0.25">
      <c r="K675"/>
      <c r="L675"/>
      <c r="M675"/>
      <c r="N675"/>
      <c r="O675"/>
    </row>
    <row r="676" spans="11:15" x14ac:dyDescent="0.25">
      <c r="K676"/>
      <c r="L676"/>
      <c r="M676"/>
      <c r="N676"/>
      <c r="O676"/>
    </row>
    <row r="677" spans="11:15" x14ac:dyDescent="0.25">
      <c r="K677"/>
      <c r="L677"/>
      <c r="M677"/>
      <c r="N677"/>
      <c r="O677"/>
    </row>
    <row r="678" spans="11:15" x14ac:dyDescent="0.25">
      <c r="K678"/>
      <c r="L678"/>
      <c r="M678"/>
      <c r="N678"/>
      <c r="O678"/>
    </row>
    <row r="679" spans="11:15" x14ac:dyDescent="0.25">
      <c r="K679"/>
      <c r="L679"/>
      <c r="M679"/>
      <c r="N679"/>
      <c r="O679"/>
    </row>
    <row r="680" spans="11:15" x14ac:dyDescent="0.25">
      <c r="K680"/>
      <c r="L680"/>
      <c r="M680"/>
      <c r="N680"/>
      <c r="O680"/>
    </row>
    <row r="681" spans="11:15" x14ac:dyDescent="0.25">
      <c r="K681"/>
      <c r="L681"/>
      <c r="M681"/>
      <c r="N681"/>
      <c r="O681"/>
    </row>
    <row r="682" spans="11:15" x14ac:dyDescent="0.25">
      <c r="K682"/>
      <c r="L682"/>
      <c r="M682"/>
      <c r="N682"/>
      <c r="O682"/>
    </row>
    <row r="683" spans="11:15" x14ac:dyDescent="0.25">
      <c r="K683"/>
      <c r="L683"/>
      <c r="M683"/>
      <c r="N683"/>
      <c r="O683"/>
    </row>
    <row r="684" spans="11:15" x14ac:dyDescent="0.25">
      <c r="K684"/>
      <c r="L684"/>
      <c r="M684"/>
      <c r="N684"/>
      <c r="O684"/>
    </row>
    <row r="685" spans="11:15" x14ac:dyDescent="0.25">
      <c r="K685"/>
      <c r="L685"/>
      <c r="M685"/>
      <c r="N685"/>
      <c r="O685"/>
    </row>
    <row r="686" spans="11:15" x14ac:dyDescent="0.25">
      <c r="K686"/>
      <c r="L686"/>
      <c r="M686"/>
      <c r="N686"/>
      <c r="O686"/>
    </row>
    <row r="687" spans="11:15" x14ac:dyDescent="0.25">
      <c r="K687"/>
      <c r="L687"/>
      <c r="M687"/>
      <c r="N687"/>
      <c r="O687"/>
    </row>
    <row r="688" spans="11:15" x14ac:dyDescent="0.25">
      <c r="K688"/>
      <c r="L688"/>
      <c r="M688"/>
      <c r="N688"/>
      <c r="O688"/>
    </row>
    <row r="689" spans="11:15" x14ac:dyDescent="0.25">
      <c r="K689"/>
      <c r="L689"/>
      <c r="M689"/>
      <c r="N689"/>
      <c r="O689"/>
    </row>
    <row r="690" spans="11:15" x14ac:dyDescent="0.25">
      <c r="K690"/>
      <c r="L690"/>
      <c r="M690"/>
      <c r="N690"/>
      <c r="O690"/>
    </row>
    <row r="691" spans="11:15" x14ac:dyDescent="0.25">
      <c r="K691"/>
      <c r="L691"/>
      <c r="M691"/>
      <c r="N691"/>
      <c r="O691"/>
    </row>
    <row r="692" spans="11:15" x14ac:dyDescent="0.25">
      <c r="K692"/>
      <c r="L692"/>
      <c r="M692"/>
      <c r="N692"/>
      <c r="O692"/>
    </row>
    <row r="693" spans="11:15" x14ac:dyDescent="0.25">
      <c r="K693"/>
      <c r="L693"/>
      <c r="M693"/>
      <c r="N693"/>
      <c r="O693"/>
    </row>
    <row r="694" spans="11:15" x14ac:dyDescent="0.25">
      <c r="K694"/>
      <c r="L694"/>
      <c r="M694"/>
      <c r="N694"/>
      <c r="O694"/>
    </row>
    <row r="695" spans="11:15" x14ac:dyDescent="0.25">
      <c r="K695"/>
      <c r="L695"/>
      <c r="M695"/>
      <c r="N695"/>
      <c r="O695"/>
    </row>
    <row r="696" spans="11:15" x14ac:dyDescent="0.25">
      <c r="K696"/>
      <c r="L696"/>
      <c r="M696"/>
      <c r="N696"/>
      <c r="O696"/>
    </row>
    <row r="697" spans="11:15" x14ac:dyDescent="0.25">
      <c r="K697"/>
      <c r="L697"/>
      <c r="M697"/>
      <c r="N697"/>
      <c r="O697"/>
    </row>
    <row r="698" spans="11:15" x14ac:dyDescent="0.25">
      <c r="K698"/>
      <c r="L698"/>
      <c r="M698"/>
      <c r="N698"/>
      <c r="O698"/>
    </row>
    <row r="699" spans="11:15" x14ac:dyDescent="0.25">
      <c r="K699"/>
      <c r="L699"/>
      <c r="M699"/>
      <c r="N699"/>
      <c r="O699"/>
    </row>
    <row r="700" spans="11:15" x14ac:dyDescent="0.25">
      <c r="K700"/>
      <c r="L700"/>
      <c r="M700"/>
      <c r="N700"/>
      <c r="O700"/>
    </row>
    <row r="701" spans="11:15" x14ac:dyDescent="0.25">
      <c r="K701"/>
      <c r="L701"/>
      <c r="M701"/>
      <c r="N701"/>
      <c r="O701"/>
    </row>
    <row r="702" spans="11:15" x14ac:dyDescent="0.25">
      <c r="K702"/>
      <c r="L702"/>
      <c r="M702"/>
      <c r="N702"/>
      <c r="O702"/>
    </row>
    <row r="703" spans="11:15" x14ac:dyDescent="0.25">
      <c r="K703"/>
      <c r="L703"/>
      <c r="M703"/>
      <c r="N703"/>
      <c r="O703"/>
    </row>
    <row r="704" spans="11:15" x14ac:dyDescent="0.25">
      <c r="K704"/>
      <c r="L704"/>
      <c r="M704"/>
      <c r="N704"/>
      <c r="O704"/>
    </row>
    <row r="705" spans="11:15" x14ac:dyDescent="0.25">
      <c r="K705"/>
      <c r="L705"/>
      <c r="M705"/>
      <c r="N705"/>
      <c r="O705"/>
    </row>
    <row r="706" spans="11:15" x14ac:dyDescent="0.25">
      <c r="K706"/>
      <c r="L706"/>
      <c r="M706"/>
      <c r="N706"/>
      <c r="O706"/>
    </row>
    <row r="707" spans="11:15" x14ac:dyDescent="0.25">
      <c r="K707"/>
      <c r="L707"/>
      <c r="M707"/>
      <c r="N707"/>
      <c r="O707"/>
    </row>
    <row r="708" spans="11:15" x14ac:dyDescent="0.25">
      <c r="K708"/>
      <c r="L708"/>
      <c r="M708"/>
      <c r="N708"/>
      <c r="O708"/>
    </row>
    <row r="709" spans="11:15" x14ac:dyDescent="0.25">
      <c r="K709"/>
      <c r="L709"/>
      <c r="M709"/>
      <c r="N709"/>
      <c r="O709"/>
    </row>
    <row r="710" spans="11:15" x14ac:dyDescent="0.25">
      <c r="K710"/>
      <c r="L710"/>
      <c r="M710"/>
      <c r="N710"/>
      <c r="O710"/>
    </row>
    <row r="711" spans="11:15" x14ac:dyDescent="0.25">
      <c r="K711"/>
      <c r="L711"/>
      <c r="M711"/>
      <c r="N711"/>
      <c r="O711"/>
    </row>
    <row r="712" spans="11:15" x14ac:dyDescent="0.25">
      <c r="K712"/>
      <c r="L712"/>
      <c r="M712"/>
      <c r="N712"/>
      <c r="O712"/>
    </row>
    <row r="713" spans="11:15" x14ac:dyDescent="0.25">
      <c r="K713"/>
      <c r="L713"/>
      <c r="M713"/>
      <c r="N713"/>
      <c r="O713"/>
    </row>
    <row r="714" spans="11:15" x14ac:dyDescent="0.25">
      <c r="K714"/>
      <c r="L714"/>
      <c r="M714"/>
      <c r="N714"/>
      <c r="O714"/>
    </row>
    <row r="715" spans="11:15" x14ac:dyDescent="0.25">
      <c r="K715"/>
      <c r="L715"/>
      <c r="M715"/>
      <c r="N715"/>
      <c r="O715"/>
    </row>
    <row r="716" spans="11:15" x14ac:dyDescent="0.25">
      <c r="K716"/>
      <c r="L716"/>
      <c r="M716"/>
      <c r="N716"/>
      <c r="O716"/>
    </row>
    <row r="717" spans="11:15" x14ac:dyDescent="0.25">
      <c r="K717"/>
      <c r="L717"/>
      <c r="M717"/>
      <c r="N717"/>
      <c r="O717"/>
    </row>
    <row r="718" spans="11:15" x14ac:dyDescent="0.25">
      <c r="K718"/>
      <c r="L718"/>
      <c r="M718"/>
      <c r="N718"/>
      <c r="O718"/>
    </row>
    <row r="719" spans="11:15" x14ac:dyDescent="0.25">
      <c r="K719"/>
      <c r="L719"/>
      <c r="M719"/>
      <c r="N719"/>
      <c r="O719"/>
    </row>
    <row r="720" spans="11:15" x14ac:dyDescent="0.25">
      <c r="K720"/>
      <c r="L720"/>
      <c r="M720"/>
      <c r="N720"/>
      <c r="O720"/>
    </row>
    <row r="721" spans="11:15" x14ac:dyDescent="0.25">
      <c r="K721"/>
      <c r="L721"/>
      <c r="M721"/>
      <c r="N721"/>
      <c r="O721"/>
    </row>
    <row r="722" spans="11:15" x14ac:dyDescent="0.25">
      <c r="K722"/>
      <c r="L722"/>
      <c r="M722"/>
      <c r="N722"/>
      <c r="O722"/>
    </row>
    <row r="723" spans="11:15" x14ac:dyDescent="0.25">
      <c r="K723"/>
      <c r="L723"/>
      <c r="M723"/>
      <c r="N723"/>
      <c r="O723"/>
    </row>
    <row r="724" spans="11:15" x14ac:dyDescent="0.25">
      <c r="K724"/>
      <c r="L724"/>
      <c r="M724"/>
      <c r="N724"/>
      <c r="O724"/>
    </row>
    <row r="725" spans="11:15" x14ac:dyDescent="0.25">
      <c r="K725"/>
      <c r="L725"/>
      <c r="M725"/>
      <c r="N725"/>
      <c r="O725"/>
    </row>
    <row r="726" spans="11:15" x14ac:dyDescent="0.25">
      <c r="K726"/>
      <c r="L726"/>
      <c r="M726"/>
      <c r="N726"/>
      <c r="O726"/>
    </row>
    <row r="727" spans="11:15" x14ac:dyDescent="0.25">
      <c r="K727"/>
      <c r="L727"/>
      <c r="M727"/>
      <c r="N727"/>
      <c r="O727"/>
    </row>
    <row r="728" spans="11:15" x14ac:dyDescent="0.25">
      <c r="K728"/>
      <c r="L728"/>
      <c r="M728"/>
      <c r="N728"/>
      <c r="O728"/>
    </row>
    <row r="729" spans="11:15" x14ac:dyDescent="0.25">
      <c r="K729"/>
      <c r="L729"/>
      <c r="M729"/>
      <c r="N729"/>
      <c r="O729"/>
    </row>
    <row r="730" spans="11:15" x14ac:dyDescent="0.25">
      <c r="K730"/>
      <c r="L730"/>
      <c r="M730"/>
      <c r="N730"/>
      <c r="O730"/>
    </row>
    <row r="731" spans="11:15" x14ac:dyDescent="0.25">
      <c r="K731"/>
      <c r="L731"/>
      <c r="M731"/>
      <c r="N731"/>
      <c r="O731"/>
    </row>
    <row r="732" spans="11:15" x14ac:dyDescent="0.25">
      <c r="K732"/>
      <c r="L732"/>
      <c r="M732"/>
      <c r="N732"/>
      <c r="O732"/>
    </row>
    <row r="733" spans="11:15" x14ac:dyDescent="0.25">
      <c r="K733"/>
      <c r="L733"/>
      <c r="M733"/>
      <c r="N733"/>
      <c r="O733"/>
    </row>
    <row r="734" spans="11:15" x14ac:dyDescent="0.25">
      <c r="K734"/>
      <c r="L734"/>
      <c r="M734"/>
      <c r="N734"/>
      <c r="O734"/>
    </row>
    <row r="735" spans="11:15" x14ac:dyDescent="0.25">
      <c r="K735"/>
      <c r="L735"/>
      <c r="M735"/>
      <c r="N735"/>
      <c r="O735"/>
    </row>
    <row r="736" spans="11:15" x14ac:dyDescent="0.25">
      <c r="K736"/>
      <c r="L736"/>
      <c r="M736"/>
      <c r="N736"/>
      <c r="O736"/>
    </row>
    <row r="737" spans="11:15" x14ac:dyDescent="0.25">
      <c r="K737"/>
      <c r="L737"/>
      <c r="M737"/>
      <c r="N737"/>
      <c r="O737"/>
    </row>
    <row r="738" spans="11:15" x14ac:dyDescent="0.25">
      <c r="K738"/>
      <c r="L738"/>
      <c r="M738"/>
      <c r="N738"/>
      <c r="O738"/>
    </row>
    <row r="739" spans="11:15" x14ac:dyDescent="0.25">
      <c r="K739"/>
      <c r="L739"/>
      <c r="M739"/>
      <c r="N739"/>
      <c r="O739"/>
    </row>
    <row r="740" spans="11:15" x14ac:dyDescent="0.25">
      <c r="K740"/>
      <c r="L740"/>
      <c r="M740"/>
      <c r="N740"/>
      <c r="O740"/>
    </row>
    <row r="741" spans="11:15" x14ac:dyDescent="0.25">
      <c r="K741"/>
      <c r="L741"/>
      <c r="M741"/>
      <c r="N741"/>
      <c r="O741"/>
    </row>
    <row r="742" spans="11:15" x14ac:dyDescent="0.25">
      <c r="K742"/>
      <c r="L742"/>
      <c r="M742"/>
      <c r="N742"/>
      <c r="O742"/>
    </row>
    <row r="743" spans="11:15" x14ac:dyDescent="0.25">
      <c r="K743"/>
      <c r="L743"/>
      <c r="M743"/>
      <c r="N743"/>
      <c r="O743"/>
    </row>
    <row r="744" spans="11:15" x14ac:dyDescent="0.25">
      <c r="K744"/>
      <c r="L744"/>
      <c r="M744"/>
      <c r="N744"/>
      <c r="O744"/>
    </row>
    <row r="745" spans="11:15" x14ac:dyDescent="0.25">
      <c r="K745"/>
      <c r="L745"/>
      <c r="M745"/>
      <c r="N745"/>
      <c r="O745"/>
    </row>
    <row r="746" spans="11:15" x14ac:dyDescent="0.25">
      <c r="K746"/>
      <c r="L746"/>
      <c r="M746"/>
      <c r="N746"/>
      <c r="O746"/>
    </row>
    <row r="747" spans="11:15" x14ac:dyDescent="0.25">
      <c r="K747"/>
      <c r="L747"/>
      <c r="M747"/>
      <c r="N747"/>
      <c r="O747"/>
    </row>
    <row r="748" spans="11:15" x14ac:dyDescent="0.25">
      <c r="K748"/>
      <c r="L748"/>
      <c r="M748"/>
      <c r="N748"/>
      <c r="O748"/>
    </row>
    <row r="749" spans="11:15" x14ac:dyDescent="0.25">
      <c r="K749"/>
      <c r="L749"/>
      <c r="M749"/>
      <c r="N749"/>
      <c r="O749"/>
    </row>
    <row r="750" spans="11:15" x14ac:dyDescent="0.25">
      <c r="K750"/>
      <c r="L750"/>
      <c r="M750"/>
      <c r="N750"/>
      <c r="O750"/>
    </row>
    <row r="751" spans="11:15" x14ac:dyDescent="0.25">
      <c r="K751"/>
      <c r="L751"/>
      <c r="M751"/>
      <c r="N751"/>
      <c r="O751"/>
    </row>
    <row r="752" spans="11:15" x14ac:dyDescent="0.25">
      <c r="K752"/>
      <c r="L752"/>
      <c r="M752"/>
      <c r="N752"/>
      <c r="O752"/>
    </row>
    <row r="753" spans="11:15" x14ac:dyDescent="0.25">
      <c r="K753"/>
      <c r="L753"/>
      <c r="M753"/>
      <c r="N753"/>
      <c r="O753"/>
    </row>
    <row r="754" spans="11:15" x14ac:dyDescent="0.25">
      <c r="K754"/>
      <c r="L754"/>
      <c r="M754"/>
      <c r="N754"/>
      <c r="O754"/>
    </row>
    <row r="755" spans="11:15" x14ac:dyDescent="0.25">
      <c r="K755"/>
      <c r="L755"/>
      <c r="M755"/>
      <c r="N755"/>
      <c r="O755"/>
    </row>
    <row r="756" spans="11:15" x14ac:dyDescent="0.25">
      <c r="K756"/>
      <c r="L756"/>
      <c r="M756"/>
      <c r="N756"/>
      <c r="O756"/>
    </row>
    <row r="757" spans="11:15" x14ac:dyDescent="0.25">
      <c r="K757"/>
      <c r="L757"/>
      <c r="M757"/>
      <c r="N757"/>
      <c r="O757"/>
    </row>
    <row r="758" spans="11:15" x14ac:dyDescent="0.25">
      <c r="K758"/>
      <c r="L758"/>
      <c r="M758"/>
      <c r="N758"/>
      <c r="O758"/>
    </row>
    <row r="759" spans="11:15" x14ac:dyDescent="0.25">
      <c r="K759"/>
      <c r="L759"/>
      <c r="M759"/>
      <c r="N759"/>
      <c r="O759"/>
    </row>
    <row r="760" spans="11:15" x14ac:dyDescent="0.25">
      <c r="K760"/>
      <c r="L760"/>
      <c r="M760"/>
      <c r="N760"/>
      <c r="O760"/>
    </row>
    <row r="761" spans="11:15" x14ac:dyDescent="0.25">
      <c r="K761"/>
      <c r="L761"/>
      <c r="M761"/>
      <c r="N761"/>
      <c r="O761"/>
    </row>
    <row r="762" spans="11:15" x14ac:dyDescent="0.25">
      <c r="K762"/>
      <c r="L762"/>
      <c r="M762"/>
      <c r="N762"/>
      <c r="O762"/>
    </row>
    <row r="763" spans="11:15" x14ac:dyDescent="0.25">
      <c r="K763"/>
      <c r="L763"/>
      <c r="M763"/>
      <c r="N763"/>
      <c r="O763"/>
    </row>
    <row r="764" spans="11:15" x14ac:dyDescent="0.25">
      <c r="K764"/>
      <c r="L764"/>
      <c r="M764"/>
      <c r="N764"/>
      <c r="O764"/>
    </row>
    <row r="765" spans="11:15" x14ac:dyDescent="0.25">
      <c r="K765"/>
      <c r="L765"/>
      <c r="M765"/>
      <c r="N765"/>
      <c r="O765"/>
    </row>
    <row r="766" spans="11:15" x14ac:dyDescent="0.25">
      <c r="K766"/>
      <c r="L766"/>
      <c r="M766"/>
      <c r="N766"/>
      <c r="O766"/>
    </row>
    <row r="767" spans="11:15" x14ac:dyDescent="0.25">
      <c r="K767"/>
      <c r="L767"/>
      <c r="M767"/>
      <c r="N767"/>
      <c r="O767"/>
    </row>
    <row r="768" spans="11:15" x14ac:dyDescent="0.25">
      <c r="K768"/>
      <c r="L768"/>
      <c r="M768"/>
      <c r="N768"/>
      <c r="O768"/>
    </row>
    <row r="769" spans="11:15" x14ac:dyDescent="0.25">
      <c r="K769"/>
      <c r="L769"/>
      <c r="M769"/>
      <c r="N769"/>
      <c r="O769"/>
    </row>
    <row r="770" spans="11:15" x14ac:dyDescent="0.25">
      <c r="K770"/>
      <c r="L770"/>
      <c r="M770"/>
      <c r="N770"/>
      <c r="O770"/>
    </row>
    <row r="771" spans="11:15" x14ac:dyDescent="0.25">
      <c r="K771"/>
      <c r="L771"/>
      <c r="M771"/>
      <c r="N771"/>
      <c r="O771"/>
    </row>
    <row r="772" spans="11:15" x14ac:dyDescent="0.25">
      <c r="K772"/>
      <c r="L772"/>
      <c r="M772"/>
      <c r="N772"/>
      <c r="O772"/>
    </row>
    <row r="773" spans="11:15" x14ac:dyDescent="0.25">
      <c r="K773"/>
      <c r="L773"/>
      <c r="M773"/>
      <c r="N773"/>
      <c r="O773"/>
    </row>
    <row r="774" spans="11:15" x14ac:dyDescent="0.25">
      <c r="K774"/>
      <c r="L774"/>
      <c r="M774"/>
      <c r="N774"/>
      <c r="O774"/>
    </row>
    <row r="775" spans="11:15" x14ac:dyDescent="0.25">
      <c r="K775"/>
      <c r="L775"/>
      <c r="M775"/>
      <c r="N775"/>
      <c r="O775"/>
    </row>
    <row r="776" spans="11:15" x14ac:dyDescent="0.25">
      <c r="K776"/>
      <c r="L776"/>
      <c r="M776"/>
      <c r="N776"/>
      <c r="O776"/>
    </row>
    <row r="777" spans="11:15" x14ac:dyDescent="0.25">
      <c r="K777"/>
      <c r="L777"/>
      <c r="M777"/>
      <c r="N777"/>
      <c r="O777"/>
    </row>
    <row r="778" spans="11:15" x14ac:dyDescent="0.25">
      <c r="K778"/>
      <c r="L778"/>
      <c r="M778"/>
      <c r="N778"/>
      <c r="O778"/>
    </row>
    <row r="779" spans="11:15" x14ac:dyDescent="0.25">
      <c r="K779"/>
      <c r="L779"/>
      <c r="M779"/>
      <c r="N779"/>
      <c r="O779"/>
    </row>
    <row r="780" spans="11:15" x14ac:dyDescent="0.25">
      <c r="K780"/>
      <c r="L780"/>
      <c r="M780"/>
      <c r="N780"/>
      <c r="O780"/>
    </row>
    <row r="781" spans="11:15" x14ac:dyDescent="0.25">
      <c r="K781"/>
      <c r="L781"/>
      <c r="M781"/>
      <c r="N781"/>
      <c r="O781"/>
    </row>
    <row r="782" spans="11:15" x14ac:dyDescent="0.25">
      <c r="K782"/>
      <c r="L782"/>
      <c r="M782"/>
      <c r="N782"/>
      <c r="O782"/>
    </row>
    <row r="783" spans="11:15" x14ac:dyDescent="0.25">
      <c r="K783"/>
      <c r="L783"/>
      <c r="M783"/>
      <c r="N783"/>
      <c r="O783"/>
    </row>
    <row r="784" spans="11:15" x14ac:dyDescent="0.25">
      <c r="K784"/>
      <c r="L784"/>
      <c r="M784"/>
      <c r="N784"/>
      <c r="O784"/>
    </row>
    <row r="785" spans="11:15" x14ac:dyDescent="0.25">
      <c r="K785"/>
      <c r="L785"/>
      <c r="M785"/>
      <c r="N785"/>
      <c r="O785"/>
    </row>
    <row r="786" spans="11:15" x14ac:dyDescent="0.25">
      <c r="K786"/>
      <c r="L786"/>
      <c r="M786"/>
      <c r="N786"/>
      <c r="O786"/>
    </row>
    <row r="787" spans="11:15" x14ac:dyDescent="0.25">
      <c r="K787"/>
      <c r="L787"/>
      <c r="M787"/>
      <c r="N787"/>
      <c r="O787"/>
    </row>
    <row r="788" spans="11:15" x14ac:dyDescent="0.25">
      <c r="K788"/>
      <c r="L788"/>
      <c r="M788"/>
      <c r="N788"/>
      <c r="O788"/>
    </row>
    <row r="789" spans="11:15" x14ac:dyDescent="0.25">
      <c r="K789"/>
      <c r="L789"/>
      <c r="M789"/>
      <c r="N789"/>
      <c r="O789"/>
    </row>
    <row r="790" spans="11:15" x14ac:dyDescent="0.25">
      <c r="K790"/>
      <c r="L790"/>
      <c r="M790"/>
      <c r="N790"/>
      <c r="O790"/>
    </row>
    <row r="791" spans="11:15" x14ac:dyDescent="0.25">
      <c r="K791"/>
      <c r="L791"/>
      <c r="M791"/>
      <c r="N791"/>
      <c r="O791"/>
    </row>
    <row r="792" spans="11:15" x14ac:dyDescent="0.25">
      <c r="K792"/>
      <c r="L792"/>
      <c r="M792"/>
      <c r="N792"/>
      <c r="O792"/>
    </row>
    <row r="793" spans="11:15" x14ac:dyDescent="0.25">
      <c r="K793"/>
      <c r="L793"/>
      <c r="M793"/>
      <c r="N793"/>
      <c r="O793"/>
    </row>
    <row r="794" spans="11:15" x14ac:dyDescent="0.25">
      <c r="K794"/>
      <c r="L794"/>
      <c r="M794"/>
      <c r="N794"/>
      <c r="O794"/>
    </row>
    <row r="795" spans="11:15" x14ac:dyDescent="0.25">
      <c r="K795"/>
      <c r="L795"/>
      <c r="M795"/>
      <c r="N795"/>
      <c r="O795"/>
    </row>
    <row r="796" spans="11:15" x14ac:dyDescent="0.25">
      <c r="K796"/>
      <c r="L796"/>
      <c r="M796"/>
      <c r="N796"/>
      <c r="O796"/>
    </row>
    <row r="797" spans="11:15" x14ac:dyDescent="0.25">
      <c r="K797"/>
      <c r="L797"/>
      <c r="M797"/>
      <c r="N797"/>
      <c r="O797"/>
    </row>
    <row r="798" spans="11:15" x14ac:dyDescent="0.25">
      <c r="K798"/>
      <c r="L798"/>
      <c r="M798"/>
      <c r="N798"/>
      <c r="O798"/>
    </row>
    <row r="799" spans="11:15" x14ac:dyDescent="0.25">
      <c r="K799"/>
      <c r="L799"/>
      <c r="M799"/>
      <c r="N799"/>
      <c r="O799"/>
    </row>
    <row r="800" spans="11:15" x14ac:dyDescent="0.25">
      <c r="K800"/>
      <c r="L800"/>
      <c r="M800"/>
      <c r="N800"/>
      <c r="O800"/>
    </row>
    <row r="801" spans="11:15" x14ac:dyDescent="0.25">
      <c r="K801"/>
      <c r="L801"/>
      <c r="M801"/>
      <c r="N801"/>
      <c r="O801"/>
    </row>
    <row r="802" spans="11:15" x14ac:dyDescent="0.25">
      <c r="K802"/>
      <c r="L802"/>
      <c r="M802"/>
      <c r="N802"/>
      <c r="O802"/>
    </row>
    <row r="803" spans="11:15" x14ac:dyDescent="0.25">
      <c r="K803"/>
      <c r="L803"/>
      <c r="M803"/>
      <c r="N803"/>
      <c r="O803"/>
    </row>
    <row r="804" spans="11:15" x14ac:dyDescent="0.25">
      <c r="K804"/>
      <c r="L804"/>
      <c r="M804"/>
      <c r="N804"/>
      <c r="O804"/>
    </row>
    <row r="805" spans="11:15" x14ac:dyDescent="0.25">
      <c r="K805"/>
      <c r="L805"/>
      <c r="M805"/>
      <c r="N805"/>
      <c r="O805"/>
    </row>
    <row r="806" spans="11:15" x14ac:dyDescent="0.25">
      <c r="K806"/>
      <c r="L806"/>
      <c r="M806"/>
      <c r="N806"/>
      <c r="O806"/>
    </row>
    <row r="807" spans="11:15" x14ac:dyDescent="0.25">
      <c r="K807"/>
      <c r="L807"/>
      <c r="M807"/>
      <c r="N807"/>
      <c r="O807"/>
    </row>
    <row r="808" spans="11:15" x14ac:dyDescent="0.25">
      <c r="K808"/>
      <c r="L808"/>
      <c r="M808"/>
      <c r="N808"/>
      <c r="O808"/>
    </row>
    <row r="809" spans="11:15" x14ac:dyDescent="0.25">
      <c r="K809"/>
      <c r="L809"/>
      <c r="M809"/>
      <c r="N809"/>
      <c r="O809"/>
    </row>
    <row r="810" spans="11:15" x14ac:dyDescent="0.25">
      <c r="K810"/>
      <c r="L810"/>
      <c r="M810"/>
      <c r="N810"/>
      <c r="O810"/>
    </row>
    <row r="811" spans="11:15" x14ac:dyDescent="0.25">
      <c r="K811"/>
      <c r="L811"/>
      <c r="M811"/>
      <c r="N811"/>
      <c r="O811"/>
    </row>
    <row r="812" spans="11:15" x14ac:dyDescent="0.25">
      <c r="K812"/>
      <c r="L812"/>
      <c r="M812"/>
      <c r="N812"/>
      <c r="O812"/>
    </row>
    <row r="813" spans="11:15" x14ac:dyDescent="0.25">
      <c r="K813"/>
      <c r="L813"/>
      <c r="M813"/>
      <c r="N813"/>
      <c r="O813"/>
    </row>
    <row r="814" spans="11:15" x14ac:dyDescent="0.25">
      <c r="K814"/>
      <c r="L814"/>
      <c r="M814"/>
      <c r="N814"/>
      <c r="O814"/>
    </row>
    <row r="815" spans="11:15" x14ac:dyDescent="0.25">
      <c r="K815"/>
      <c r="L815"/>
      <c r="M815"/>
      <c r="N815"/>
      <c r="O815"/>
    </row>
    <row r="816" spans="11:15" x14ac:dyDescent="0.25">
      <c r="K816"/>
      <c r="L816"/>
      <c r="M816"/>
      <c r="N816"/>
      <c r="O816"/>
    </row>
    <row r="817" spans="11:15" x14ac:dyDescent="0.25">
      <c r="K817"/>
      <c r="L817"/>
      <c r="M817"/>
      <c r="N817"/>
      <c r="O817"/>
    </row>
    <row r="818" spans="11:15" x14ac:dyDescent="0.25">
      <c r="K818"/>
      <c r="L818"/>
      <c r="M818"/>
      <c r="N818"/>
      <c r="O818"/>
    </row>
    <row r="819" spans="11:15" x14ac:dyDescent="0.25">
      <c r="K819"/>
      <c r="L819"/>
      <c r="M819"/>
      <c r="N819"/>
      <c r="O819"/>
    </row>
    <row r="820" spans="11:15" x14ac:dyDescent="0.25">
      <c r="K820"/>
      <c r="L820"/>
      <c r="M820"/>
      <c r="N820"/>
      <c r="O820"/>
    </row>
    <row r="821" spans="11:15" x14ac:dyDescent="0.25">
      <c r="K821"/>
      <c r="L821"/>
      <c r="M821"/>
      <c r="N821"/>
      <c r="O821"/>
    </row>
    <row r="822" spans="11:15" x14ac:dyDescent="0.25">
      <c r="K822"/>
      <c r="L822"/>
      <c r="M822"/>
      <c r="N822"/>
      <c r="O822"/>
    </row>
    <row r="823" spans="11:15" x14ac:dyDescent="0.25">
      <c r="K823"/>
      <c r="L823"/>
      <c r="M823"/>
      <c r="N823"/>
      <c r="O823"/>
    </row>
    <row r="824" spans="11:15" x14ac:dyDescent="0.25">
      <c r="K824"/>
      <c r="L824"/>
      <c r="M824"/>
      <c r="N824"/>
      <c r="O824"/>
    </row>
    <row r="825" spans="11:15" x14ac:dyDescent="0.25">
      <c r="K825"/>
      <c r="L825"/>
      <c r="M825"/>
      <c r="N825"/>
      <c r="O825"/>
    </row>
    <row r="826" spans="11:15" x14ac:dyDescent="0.25">
      <c r="K826"/>
      <c r="L826"/>
      <c r="M826"/>
      <c r="N826"/>
      <c r="O826"/>
    </row>
    <row r="827" spans="11:15" x14ac:dyDescent="0.25">
      <c r="K827"/>
      <c r="L827"/>
      <c r="M827"/>
      <c r="N827"/>
      <c r="O827"/>
    </row>
    <row r="828" spans="11:15" x14ac:dyDescent="0.25">
      <c r="K828"/>
      <c r="L828"/>
      <c r="M828"/>
      <c r="N828"/>
      <c r="O828"/>
    </row>
    <row r="829" spans="11:15" x14ac:dyDescent="0.25">
      <c r="K829"/>
      <c r="L829"/>
      <c r="M829"/>
      <c r="N829"/>
      <c r="O829"/>
    </row>
    <row r="830" spans="11:15" x14ac:dyDescent="0.25">
      <c r="K830"/>
      <c r="L830"/>
      <c r="M830"/>
      <c r="N830"/>
      <c r="O830"/>
    </row>
    <row r="831" spans="11:15" x14ac:dyDescent="0.25">
      <c r="K831"/>
      <c r="L831"/>
      <c r="M831"/>
      <c r="N831"/>
      <c r="O831"/>
    </row>
    <row r="832" spans="11:15" x14ac:dyDescent="0.25">
      <c r="K832"/>
      <c r="L832"/>
      <c r="M832"/>
      <c r="N832"/>
      <c r="O832"/>
    </row>
    <row r="833" spans="11:15" x14ac:dyDescent="0.25">
      <c r="K833"/>
      <c r="L833"/>
      <c r="M833"/>
      <c r="N833"/>
      <c r="O833"/>
    </row>
    <row r="834" spans="11:15" x14ac:dyDescent="0.25">
      <c r="K834"/>
      <c r="L834"/>
      <c r="M834"/>
      <c r="N834"/>
      <c r="O834"/>
    </row>
    <row r="835" spans="11:15" x14ac:dyDescent="0.25">
      <c r="K835"/>
      <c r="L835"/>
      <c r="M835"/>
      <c r="N835"/>
      <c r="O835"/>
    </row>
    <row r="836" spans="11:15" x14ac:dyDescent="0.25">
      <c r="K836"/>
      <c r="L836"/>
      <c r="M836"/>
      <c r="N836"/>
      <c r="O836"/>
    </row>
    <row r="837" spans="11:15" x14ac:dyDescent="0.25">
      <c r="K837"/>
      <c r="L837"/>
      <c r="M837"/>
      <c r="N837"/>
      <c r="O837"/>
    </row>
    <row r="838" spans="11:15" x14ac:dyDescent="0.25">
      <c r="K838"/>
      <c r="L838"/>
      <c r="M838"/>
      <c r="N838"/>
      <c r="O838"/>
    </row>
    <row r="839" spans="11:15" x14ac:dyDescent="0.25">
      <c r="K839"/>
      <c r="L839"/>
      <c r="M839"/>
      <c r="N839"/>
      <c r="O839"/>
    </row>
    <row r="840" spans="11:15" x14ac:dyDescent="0.25">
      <c r="K840"/>
      <c r="L840"/>
      <c r="M840"/>
      <c r="N840"/>
      <c r="O840"/>
    </row>
    <row r="841" spans="11:15" x14ac:dyDescent="0.25">
      <c r="K841"/>
      <c r="L841"/>
      <c r="M841"/>
      <c r="N841"/>
      <c r="O841"/>
    </row>
    <row r="842" spans="11:15" x14ac:dyDescent="0.25">
      <c r="K842"/>
      <c r="L842"/>
      <c r="M842"/>
      <c r="N842"/>
      <c r="O842"/>
    </row>
    <row r="843" spans="11:15" x14ac:dyDescent="0.25">
      <c r="K843"/>
      <c r="L843"/>
      <c r="M843"/>
      <c r="N843"/>
      <c r="O843"/>
    </row>
    <row r="844" spans="11:15" x14ac:dyDescent="0.25">
      <c r="K844"/>
      <c r="L844"/>
      <c r="M844"/>
      <c r="N844"/>
      <c r="O844"/>
    </row>
    <row r="845" spans="11:15" x14ac:dyDescent="0.25">
      <c r="K845"/>
      <c r="L845"/>
      <c r="M845"/>
      <c r="N845"/>
      <c r="O845"/>
    </row>
    <row r="846" spans="11:15" x14ac:dyDescent="0.25">
      <c r="K846"/>
      <c r="L846"/>
      <c r="M846"/>
      <c r="N846"/>
      <c r="O846"/>
    </row>
    <row r="847" spans="11:15" x14ac:dyDescent="0.25">
      <c r="K847"/>
      <c r="L847"/>
      <c r="M847"/>
      <c r="N847"/>
      <c r="O847"/>
    </row>
    <row r="848" spans="11:15" x14ac:dyDescent="0.25">
      <c r="K848"/>
      <c r="L848"/>
      <c r="M848"/>
      <c r="N848"/>
      <c r="O848"/>
    </row>
    <row r="849" spans="11:15" x14ac:dyDescent="0.25">
      <c r="K849"/>
      <c r="L849"/>
      <c r="M849"/>
      <c r="N849"/>
      <c r="O849"/>
    </row>
    <row r="850" spans="11:15" x14ac:dyDescent="0.25">
      <c r="K850"/>
      <c r="L850"/>
      <c r="M850"/>
      <c r="N850"/>
      <c r="O850"/>
    </row>
    <row r="851" spans="11:15" x14ac:dyDescent="0.25">
      <c r="K851"/>
      <c r="L851"/>
      <c r="M851"/>
      <c r="N851"/>
      <c r="O851"/>
    </row>
    <row r="852" spans="11:15" x14ac:dyDescent="0.25">
      <c r="K852"/>
      <c r="L852"/>
      <c r="M852"/>
      <c r="N852"/>
      <c r="O852"/>
    </row>
    <row r="853" spans="11:15" x14ac:dyDescent="0.25">
      <c r="K853"/>
      <c r="L853"/>
      <c r="M853"/>
      <c r="N853"/>
      <c r="O853"/>
    </row>
    <row r="854" spans="11:15" x14ac:dyDescent="0.25">
      <c r="K854"/>
      <c r="L854"/>
      <c r="M854"/>
      <c r="N854"/>
      <c r="O854"/>
    </row>
    <row r="855" spans="11:15" x14ac:dyDescent="0.25">
      <c r="K855"/>
      <c r="L855"/>
      <c r="M855"/>
      <c r="N855"/>
      <c r="O855"/>
    </row>
    <row r="856" spans="11:15" x14ac:dyDescent="0.25">
      <c r="K856"/>
      <c r="L856"/>
      <c r="M856"/>
      <c r="N856"/>
      <c r="O856"/>
    </row>
    <row r="857" spans="11:15" x14ac:dyDescent="0.25">
      <c r="K857"/>
      <c r="L857"/>
      <c r="M857"/>
      <c r="N857"/>
      <c r="O857"/>
    </row>
    <row r="858" spans="11:15" x14ac:dyDescent="0.25">
      <c r="K858"/>
      <c r="L858"/>
      <c r="M858"/>
      <c r="N858"/>
      <c r="O858"/>
    </row>
    <row r="859" spans="11:15" x14ac:dyDescent="0.25">
      <c r="K859"/>
      <c r="L859"/>
      <c r="M859"/>
      <c r="N859"/>
      <c r="O859"/>
    </row>
    <row r="860" spans="11:15" x14ac:dyDescent="0.25">
      <c r="K860"/>
      <c r="L860"/>
      <c r="M860"/>
      <c r="N860"/>
      <c r="O860"/>
    </row>
    <row r="861" spans="11:15" x14ac:dyDescent="0.25">
      <c r="K861"/>
      <c r="L861"/>
      <c r="M861"/>
      <c r="N861"/>
      <c r="O861"/>
    </row>
    <row r="862" spans="11:15" x14ac:dyDescent="0.25">
      <c r="K862"/>
      <c r="L862"/>
      <c r="M862"/>
      <c r="N862"/>
      <c r="O862"/>
    </row>
    <row r="863" spans="11:15" x14ac:dyDescent="0.25">
      <c r="K863"/>
      <c r="L863"/>
      <c r="M863"/>
      <c r="N863"/>
      <c r="O863"/>
    </row>
    <row r="864" spans="11:15" x14ac:dyDescent="0.25">
      <c r="K864"/>
      <c r="L864"/>
      <c r="M864"/>
      <c r="N864"/>
      <c r="O864"/>
    </row>
    <row r="865" spans="11:15" x14ac:dyDescent="0.25">
      <c r="K865"/>
      <c r="L865"/>
      <c r="M865"/>
      <c r="N865"/>
      <c r="O865"/>
    </row>
    <row r="866" spans="11:15" x14ac:dyDescent="0.25">
      <c r="K866"/>
      <c r="L866"/>
      <c r="M866"/>
      <c r="N866"/>
      <c r="O866"/>
    </row>
    <row r="867" spans="11:15" x14ac:dyDescent="0.25">
      <c r="K867"/>
      <c r="L867"/>
      <c r="M867"/>
      <c r="N867"/>
      <c r="O867"/>
    </row>
    <row r="868" spans="11:15" x14ac:dyDescent="0.25">
      <c r="K868"/>
      <c r="L868"/>
      <c r="M868"/>
      <c r="N868"/>
      <c r="O868"/>
    </row>
    <row r="869" spans="11:15" x14ac:dyDescent="0.25">
      <c r="K869"/>
      <c r="L869"/>
      <c r="M869"/>
      <c r="N869"/>
      <c r="O869"/>
    </row>
    <row r="870" spans="11:15" x14ac:dyDescent="0.25">
      <c r="K870"/>
      <c r="L870"/>
      <c r="M870"/>
      <c r="N870"/>
      <c r="O870"/>
    </row>
    <row r="871" spans="11:15" x14ac:dyDescent="0.25">
      <c r="K871"/>
      <c r="L871"/>
      <c r="M871"/>
      <c r="N871"/>
      <c r="O871"/>
    </row>
    <row r="872" spans="11:15" x14ac:dyDescent="0.25">
      <c r="K872"/>
      <c r="L872"/>
      <c r="M872"/>
      <c r="N872"/>
      <c r="O872"/>
    </row>
    <row r="873" spans="11:15" x14ac:dyDescent="0.25">
      <c r="K873"/>
      <c r="L873"/>
      <c r="M873"/>
      <c r="N873"/>
      <c r="O873"/>
    </row>
    <row r="874" spans="11:15" x14ac:dyDescent="0.25">
      <c r="K874"/>
      <c r="L874"/>
      <c r="M874"/>
      <c r="N874"/>
      <c r="O874"/>
    </row>
    <row r="875" spans="11:15" x14ac:dyDescent="0.25">
      <c r="K875"/>
      <c r="L875"/>
      <c r="M875"/>
      <c r="N875"/>
      <c r="O875"/>
    </row>
    <row r="876" spans="11:15" x14ac:dyDescent="0.25">
      <c r="K876"/>
      <c r="L876"/>
      <c r="M876"/>
      <c r="N876"/>
      <c r="O876"/>
    </row>
    <row r="877" spans="11:15" x14ac:dyDescent="0.25">
      <c r="K877"/>
      <c r="L877"/>
      <c r="M877"/>
      <c r="N877"/>
      <c r="O877"/>
    </row>
    <row r="878" spans="11:15" x14ac:dyDescent="0.25">
      <c r="K878"/>
      <c r="L878"/>
      <c r="M878"/>
      <c r="N878"/>
      <c r="O878"/>
    </row>
    <row r="879" spans="11:15" x14ac:dyDescent="0.25">
      <c r="K879"/>
      <c r="L879"/>
      <c r="M879"/>
      <c r="N879"/>
      <c r="O879"/>
    </row>
    <row r="880" spans="11:15" x14ac:dyDescent="0.25">
      <c r="K880"/>
      <c r="L880"/>
      <c r="M880"/>
      <c r="N880"/>
      <c r="O880"/>
    </row>
    <row r="881" spans="11:15" x14ac:dyDescent="0.25">
      <c r="K881"/>
      <c r="L881"/>
      <c r="M881"/>
      <c r="N881"/>
      <c r="O881"/>
    </row>
    <row r="882" spans="11:15" x14ac:dyDescent="0.25">
      <c r="K882"/>
      <c r="L882"/>
      <c r="M882"/>
      <c r="N882"/>
      <c r="O882"/>
    </row>
    <row r="883" spans="11:15" x14ac:dyDescent="0.25">
      <c r="K883"/>
      <c r="L883"/>
      <c r="M883"/>
      <c r="N883"/>
      <c r="O883"/>
    </row>
    <row r="884" spans="11:15" x14ac:dyDescent="0.25">
      <c r="K884"/>
      <c r="L884"/>
      <c r="M884"/>
      <c r="N884"/>
      <c r="O884"/>
    </row>
    <row r="885" spans="11:15" x14ac:dyDescent="0.25">
      <c r="K885"/>
      <c r="L885"/>
      <c r="M885"/>
      <c r="N885"/>
      <c r="O885"/>
    </row>
    <row r="886" spans="11:15" x14ac:dyDescent="0.25">
      <c r="K886"/>
      <c r="L886"/>
      <c r="M886"/>
      <c r="N886"/>
      <c r="O886"/>
    </row>
    <row r="887" spans="11:15" x14ac:dyDescent="0.25">
      <c r="K887"/>
      <c r="L887"/>
      <c r="M887"/>
      <c r="N887"/>
      <c r="O887"/>
    </row>
    <row r="888" spans="11:15" x14ac:dyDescent="0.25">
      <c r="K888"/>
      <c r="L888"/>
      <c r="M888"/>
      <c r="N888"/>
      <c r="O888"/>
    </row>
    <row r="889" spans="11:15" x14ac:dyDescent="0.25">
      <c r="K889"/>
      <c r="L889"/>
      <c r="M889"/>
      <c r="N889"/>
      <c r="O889"/>
    </row>
    <row r="890" spans="11:15" x14ac:dyDescent="0.25">
      <c r="K890"/>
      <c r="L890"/>
      <c r="M890"/>
      <c r="N890"/>
      <c r="O890"/>
    </row>
    <row r="891" spans="11:15" x14ac:dyDescent="0.25">
      <c r="K891"/>
      <c r="L891"/>
      <c r="M891"/>
      <c r="N891"/>
      <c r="O891"/>
    </row>
    <row r="892" spans="11:15" x14ac:dyDescent="0.25">
      <c r="K892"/>
      <c r="L892"/>
      <c r="M892"/>
      <c r="N892"/>
      <c r="O892"/>
    </row>
    <row r="893" spans="11:15" x14ac:dyDescent="0.25">
      <c r="K893"/>
      <c r="L893"/>
      <c r="M893"/>
      <c r="N893"/>
      <c r="O893"/>
    </row>
    <row r="894" spans="11:15" x14ac:dyDescent="0.25">
      <c r="K894"/>
      <c r="L894"/>
      <c r="M894"/>
      <c r="N894"/>
      <c r="O894"/>
    </row>
    <row r="895" spans="11:15" x14ac:dyDescent="0.25">
      <c r="K895"/>
      <c r="L895"/>
      <c r="M895"/>
      <c r="N895"/>
      <c r="O895"/>
    </row>
    <row r="896" spans="11:15" x14ac:dyDescent="0.25">
      <c r="K896"/>
      <c r="L896"/>
      <c r="M896"/>
      <c r="N896"/>
      <c r="O896"/>
    </row>
    <row r="897" spans="11:15" x14ac:dyDescent="0.25">
      <c r="K897"/>
      <c r="L897"/>
      <c r="M897"/>
      <c r="N897"/>
      <c r="O897"/>
    </row>
    <row r="898" spans="11:15" x14ac:dyDescent="0.25">
      <c r="K898"/>
      <c r="L898"/>
      <c r="M898"/>
      <c r="N898"/>
      <c r="O898"/>
    </row>
    <row r="899" spans="11:15" x14ac:dyDescent="0.25">
      <c r="K899"/>
      <c r="L899"/>
      <c r="M899"/>
      <c r="N899"/>
      <c r="O899"/>
    </row>
    <row r="900" spans="11:15" x14ac:dyDescent="0.25">
      <c r="K900"/>
      <c r="L900"/>
      <c r="M900"/>
      <c r="N900"/>
      <c r="O900"/>
    </row>
    <row r="901" spans="11:15" x14ac:dyDescent="0.25">
      <c r="K901"/>
      <c r="L901"/>
      <c r="M901"/>
      <c r="N901"/>
      <c r="O901"/>
    </row>
    <row r="902" spans="11:15" x14ac:dyDescent="0.25">
      <c r="K902"/>
      <c r="L902"/>
      <c r="M902"/>
      <c r="N902"/>
      <c r="O902"/>
    </row>
    <row r="903" spans="11:15" x14ac:dyDescent="0.25">
      <c r="K903"/>
      <c r="L903"/>
      <c r="M903"/>
      <c r="N903"/>
      <c r="O903"/>
    </row>
    <row r="904" spans="11:15" x14ac:dyDescent="0.25">
      <c r="K904"/>
      <c r="L904"/>
      <c r="M904"/>
      <c r="N904"/>
      <c r="O904"/>
    </row>
    <row r="905" spans="11:15" x14ac:dyDescent="0.25">
      <c r="K905"/>
      <c r="L905"/>
      <c r="M905"/>
      <c r="N905"/>
      <c r="O905"/>
    </row>
    <row r="906" spans="11:15" x14ac:dyDescent="0.25">
      <c r="K906"/>
      <c r="L906"/>
      <c r="M906"/>
      <c r="N906"/>
      <c r="O906"/>
    </row>
    <row r="907" spans="11:15" x14ac:dyDescent="0.25">
      <c r="K907"/>
      <c r="L907"/>
      <c r="M907"/>
      <c r="N907"/>
      <c r="O907"/>
    </row>
    <row r="908" spans="11:15" x14ac:dyDescent="0.25">
      <c r="K908"/>
      <c r="L908"/>
      <c r="M908"/>
      <c r="N908"/>
      <c r="O908"/>
    </row>
    <row r="909" spans="11:15" x14ac:dyDescent="0.25">
      <c r="K909"/>
      <c r="L909"/>
      <c r="M909"/>
      <c r="N909"/>
      <c r="O909"/>
    </row>
    <row r="910" spans="11:15" x14ac:dyDescent="0.25">
      <c r="K910"/>
      <c r="L910"/>
      <c r="M910"/>
      <c r="N910"/>
      <c r="O910"/>
    </row>
    <row r="911" spans="11:15" x14ac:dyDescent="0.25">
      <c r="K911"/>
      <c r="L911"/>
      <c r="M911"/>
      <c r="N911"/>
      <c r="O911"/>
    </row>
    <row r="912" spans="11:15" x14ac:dyDescent="0.25">
      <c r="K912"/>
      <c r="L912"/>
      <c r="M912"/>
      <c r="N912"/>
      <c r="O912"/>
    </row>
    <row r="913" spans="11:15" x14ac:dyDescent="0.25">
      <c r="K913"/>
      <c r="L913"/>
      <c r="M913"/>
      <c r="N913"/>
      <c r="O913"/>
    </row>
    <row r="914" spans="11:15" x14ac:dyDescent="0.25">
      <c r="K914"/>
      <c r="L914"/>
      <c r="M914"/>
      <c r="N914"/>
      <c r="O914"/>
    </row>
    <row r="915" spans="11:15" x14ac:dyDescent="0.25">
      <c r="K915"/>
      <c r="L915"/>
      <c r="M915"/>
      <c r="N915"/>
      <c r="O915"/>
    </row>
    <row r="916" spans="11:15" x14ac:dyDescent="0.25">
      <c r="K916"/>
      <c r="L916"/>
      <c r="M916"/>
      <c r="N916"/>
      <c r="O916"/>
    </row>
    <row r="917" spans="11:15" x14ac:dyDescent="0.25">
      <c r="K917"/>
      <c r="L917"/>
      <c r="M917"/>
      <c r="N917"/>
      <c r="O917"/>
    </row>
    <row r="918" spans="11:15" x14ac:dyDescent="0.25">
      <c r="K918"/>
      <c r="L918"/>
      <c r="M918"/>
      <c r="N918"/>
      <c r="O918"/>
    </row>
    <row r="919" spans="11:15" x14ac:dyDescent="0.25">
      <c r="K919"/>
      <c r="L919"/>
      <c r="M919"/>
      <c r="N919"/>
      <c r="O919"/>
    </row>
    <row r="920" spans="11:15" x14ac:dyDescent="0.25">
      <c r="K920"/>
      <c r="L920"/>
      <c r="M920"/>
      <c r="N920"/>
      <c r="O920"/>
    </row>
    <row r="921" spans="11:15" x14ac:dyDescent="0.25">
      <c r="K921"/>
      <c r="L921"/>
      <c r="M921"/>
      <c r="N921"/>
      <c r="O921"/>
    </row>
    <row r="922" spans="11:15" x14ac:dyDescent="0.25">
      <c r="K922"/>
      <c r="L922"/>
      <c r="M922"/>
      <c r="N922"/>
      <c r="O922"/>
    </row>
    <row r="923" spans="11:15" x14ac:dyDescent="0.25">
      <c r="K923"/>
      <c r="L923"/>
      <c r="M923"/>
      <c r="N923"/>
      <c r="O923"/>
    </row>
    <row r="924" spans="11:15" x14ac:dyDescent="0.25">
      <c r="K924"/>
      <c r="L924"/>
      <c r="M924"/>
      <c r="N924"/>
      <c r="O924"/>
    </row>
    <row r="925" spans="11:15" x14ac:dyDescent="0.25">
      <c r="K925"/>
      <c r="L925"/>
      <c r="M925"/>
      <c r="N925"/>
      <c r="O925"/>
    </row>
    <row r="926" spans="11:15" x14ac:dyDescent="0.25">
      <c r="K926"/>
      <c r="L926"/>
      <c r="M926"/>
      <c r="N926"/>
      <c r="O926"/>
    </row>
    <row r="927" spans="11:15" x14ac:dyDescent="0.25">
      <c r="K927"/>
      <c r="L927"/>
      <c r="M927"/>
      <c r="N927"/>
      <c r="O927"/>
    </row>
    <row r="928" spans="11:15" x14ac:dyDescent="0.25">
      <c r="K928"/>
      <c r="L928"/>
      <c r="M928"/>
      <c r="N928"/>
      <c r="O928"/>
    </row>
    <row r="929" spans="11:15" x14ac:dyDescent="0.25">
      <c r="K929"/>
      <c r="L929"/>
      <c r="M929"/>
      <c r="N929"/>
      <c r="O929"/>
    </row>
    <row r="930" spans="11:15" x14ac:dyDescent="0.25">
      <c r="K930"/>
      <c r="L930"/>
      <c r="M930"/>
      <c r="N930"/>
      <c r="O930"/>
    </row>
    <row r="931" spans="11:15" x14ac:dyDescent="0.25">
      <c r="K931"/>
      <c r="L931"/>
      <c r="M931"/>
      <c r="N931"/>
      <c r="O931"/>
    </row>
    <row r="932" spans="11:15" x14ac:dyDescent="0.25">
      <c r="K932"/>
      <c r="L932"/>
      <c r="M932"/>
      <c r="N932"/>
      <c r="O932"/>
    </row>
    <row r="933" spans="11:15" x14ac:dyDescent="0.25">
      <c r="K933"/>
      <c r="L933"/>
      <c r="M933"/>
      <c r="N933"/>
      <c r="O933"/>
    </row>
    <row r="934" spans="11:15" x14ac:dyDescent="0.25">
      <c r="K934"/>
      <c r="L934"/>
      <c r="M934"/>
      <c r="N934"/>
      <c r="O934"/>
    </row>
    <row r="935" spans="11:15" x14ac:dyDescent="0.25">
      <c r="K935"/>
      <c r="L935"/>
      <c r="M935"/>
      <c r="N935"/>
      <c r="O935"/>
    </row>
    <row r="936" spans="11:15" x14ac:dyDescent="0.25">
      <c r="K936"/>
      <c r="L936"/>
      <c r="M936"/>
      <c r="N936"/>
      <c r="O936"/>
    </row>
    <row r="937" spans="11:15" x14ac:dyDescent="0.25">
      <c r="K937"/>
      <c r="L937"/>
      <c r="M937"/>
      <c r="N937"/>
      <c r="O937"/>
    </row>
    <row r="938" spans="11:15" x14ac:dyDescent="0.25">
      <c r="K938"/>
      <c r="L938"/>
      <c r="M938"/>
      <c r="N938"/>
      <c r="O938"/>
    </row>
    <row r="939" spans="11:15" x14ac:dyDescent="0.25">
      <c r="K939"/>
      <c r="L939"/>
      <c r="M939"/>
      <c r="N939"/>
      <c r="O939"/>
    </row>
    <row r="940" spans="11:15" x14ac:dyDescent="0.25">
      <c r="K940"/>
      <c r="L940"/>
      <c r="M940"/>
      <c r="N940"/>
      <c r="O940"/>
    </row>
    <row r="941" spans="11:15" x14ac:dyDescent="0.25">
      <c r="K941"/>
      <c r="L941"/>
      <c r="M941"/>
      <c r="N941"/>
      <c r="O941"/>
    </row>
    <row r="942" spans="11:15" x14ac:dyDescent="0.25">
      <c r="K942"/>
      <c r="L942"/>
      <c r="M942"/>
      <c r="N942"/>
      <c r="O942"/>
    </row>
    <row r="943" spans="11:15" x14ac:dyDescent="0.25">
      <c r="K943"/>
      <c r="L943"/>
      <c r="M943"/>
      <c r="N943"/>
      <c r="O943"/>
    </row>
    <row r="944" spans="11:15" x14ac:dyDescent="0.25">
      <c r="K944"/>
      <c r="L944"/>
      <c r="M944"/>
      <c r="N944"/>
      <c r="O944"/>
    </row>
    <row r="945" spans="11:15" x14ac:dyDescent="0.25">
      <c r="K945"/>
      <c r="L945"/>
      <c r="M945"/>
      <c r="N945"/>
      <c r="O945"/>
    </row>
    <row r="946" spans="11:15" x14ac:dyDescent="0.25">
      <c r="K946"/>
      <c r="L946"/>
      <c r="M946"/>
      <c r="N946"/>
      <c r="O946"/>
    </row>
    <row r="947" spans="11:15" x14ac:dyDescent="0.25">
      <c r="K947"/>
      <c r="L947"/>
      <c r="M947"/>
      <c r="N947"/>
      <c r="O947"/>
    </row>
    <row r="948" spans="11:15" x14ac:dyDescent="0.25">
      <c r="K948"/>
      <c r="L948"/>
      <c r="M948"/>
      <c r="N948"/>
      <c r="O948"/>
    </row>
    <row r="949" spans="11:15" x14ac:dyDescent="0.25">
      <c r="K949"/>
      <c r="L949"/>
      <c r="M949"/>
      <c r="N949"/>
      <c r="O949"/>
    </row>
    <row r="950" spans="11:15" x14ac:dyDescent="0.25">
      <c r="K950"/>
      <c r="L950"/>
      <c r="M950"/>
      <c r="N950"/>
      <c r="O950"/>
    </row>
    <row r="951" spans="11:15" x14ac:dyDescent="0.25">
      <c r="K951"/>
      <c r="L951"/>
      <c r="M951"/>
      <c r="N951"/>
      <c r="O951"/>
    </row>
    <row r="952" spans="11:15" x14ac:dyDescent="0.25">
      <c r="K952"/>
      <c r="L952"/>
      <c r="M952"/>
      <c r="N952"/>
      <c r="O952"/>
    </row>
    <row r="953" spans="11:15" x14ac:dyDescent="0.25">
      <c r="K953"/>
      <c r="L953"/>
      <c r="M953"/>
      <c r="N953"/>
      <c r="O953"/>
    </row>
    <row r="954" spans="11:15" x14ac:dyDescent="0.25">
      <c r="K954"/>
      <c r="L954"/>
      <c r="M954"/>
      <c r="N954"/>
      <c r="O954"/>
    </row>
    <row r="955" spans="11:15" x14ac:dyDescent="0.25">
      <c r="K955"/>
      <c r="L955"/>
      <c r="M955"/>
      <c r="N955"/>
      <c r="O955"/>
    </row>
    <row r="956" spans="11:15" x14ac:dyDescent="0.25">
      <c r="K956"/>
      <c r="L956"/>
      <c r="M956"/>
      <c r="N956"/>
      <c r="O956"/>
    </row>
    <row r="957" spans="11:15" x14ac:dyDescent="0.25">
      <c r="K957"/>
      <c r="L957"/>
      <c r="M957"/>
      <c r="N957"/>
      <c r="O957"/>
    </row>
    <row r="958" spans="11:15" x14ac:dyDescent="0.25">
      <c r="K958"/>
      <c r="L958"/>
      <c r="M958"/>
      <c r="N958"/>
      <c r="O958"/>
    </row>
    <row r="959" spans="11:15" x14ac:dyDescent="0.25">
      <c r="K959"/>
      <c r="L959"/>
      <c r="M959"/>
      <c r="N959"/>
      <c r="O959"/>
    </row>
    <row r="960" spans="11:15" x14ac:dyDescent="0.25">
      <c r="K960"/>
      <c r="L960"/>
      <c r="M960"/>
      <c r="N960"/>
      <c r="O960"/>
    </row>
    <row r="961" spans="11:15" x14ac:dyDescent="0.25">
      <c r="K961"/>
      <c r="L961"/>
      <c r="M961"/>
      <c r="N961"/>
      <c r="O961"/>
    </row>
    <row r="962" spans="11:15" x14ac:dyDescent="0.25">
      <c r="K962"/>
      <c r="L962"/>
      <c r="M962"/>
      <c r="N962"/>
      <c r="O962"/>
    </row>
    <row r="963" spans="11:15" x14ac:dyDescent="0.25">
      <c r="K963"/>
      <c r="L963"/>
      <c r="M963"/>
      <c r="N963"/>
      <c r="O963"/>
    </row>
    <row r="964" spans="11:15" x14ac:dyDescent="0.25">
      <c r="K964"/>
      <c r="L964"/>
      <c r="M964"/>
      <c r="N964"/>
      <c r="O964"/>
    </row>
    <row r="965" spans="11:15" x14ac:dyDescent="0.25">
      <c r="K965"/>
      <c r="L965"/>
      <c r="M965"/>
      <c r="N965"/>
      <c r="O965"/>
    </row>
    <row r="966" spans="11:15" x14ac:dyDescent="0.25">
      <c r="K966"/>
      <c r="L966"/>
      <c r="M966"/>
      <c r="N966"/>
      <c r="O966"/>
    </row>
    <row r="967" spans="11:15" x14ac:dyDescent="0.25">
      <c r="K967"/>
      <c r="L967"/>
      <c r="M967"/>
      <c r="N967"/>
      <c r="O967"/>
    </row>
    <row r="968" spans="11:15" x14ac:dyDescent="0.25">
      <c r="K968"/>
      <c r="L968"/>
      <c r="M968"/>
      <c r="N968"/>
      <c r="O968"/>
    </row>
    <row r="969" spans="11:15" x14ac:dyDescent="0.25">
      <c r="K969"/>
      <c r="L969"/>
      <c r="M969"/>
      <c r="N969"/>
      <c r="O969"/>
    </row>
    <row r="970" spans="11:15" x14ac:dyDescent="0.25">
      <c r="K970"/>
      <c r="L970"/>
      <c r="M970"/>
      <c r="N970"/>
      <c r="O970"/>
    </row>
    <row r="971" spans="11:15" x14ac:dyDescent="0.25">
      <c r="K971"/>
      <c r="L971"/>
      <c r="M971"/>
      <c r="N971"/>
      <c r="O971"/>
    </row>
    <row r="972" spans="11:15" x14ac:dyDescent="0.25">
      <c r="K972"/>
      <c r="L972"/>
      <c r="M972"/>
      <c r="N972"/>
      <c r="O972"/>
    </row>
    <row r="973" spans="11:15" x14ac:dyDescent="0.25">
      <c r="K973"/>
      <c r="L973"/>
      <c r="M973"/>
      <c r="N973"/>
      <c r="O973"/>
    </row>
    <row r="974" spans="11:15" x14ac:dyDescent="0.25">
      <c r="K974"/>
      <c r="L974"/>
      <c r="M974"/>
      <c r="N974"/>
      <c r="O974"/>
    </row>
    <row r="975" spans="11:15" x14ac:dyDescent="0.25">
      <c r="K975"/>
      <c r="L975"/>
      <c r="M975"/>
      <c r="N975"/>
      <c r="O975"/>
    </row>
    <row r="976" spans="11:15" x14ac:dyDescent="0.25">
      <c r="K976"/>
      <c r="L976"/>
      <c r="M976"/>
      <c r="N976"/>
      <c r="O976"/>
    </row>
    <row r="977" spans="11:15" x14ac:dyDescent="0.25">
      <c r="K977"/>
      <c r="L977"/>
      <c r="M977"/>
      <c r="N977"/>
      <c r="O977"/>
    </row>
    <row r="978" spans="11:15" x14ac:dyDescent="0.25">
      <c r="K978"/>
      <c r="L978"/>
      <c r="M978"/>
      <c r="N978"/>
      <c r="O978"/>
    </row>
    <row r="979" spans="11:15" x14ac:dyDescent="0.25">
      <c r="K979"/>
      <c r="L979"/>
      <c r="M979"/>
      <c r="N979"/>
      <c r="O979"/>
    </row>
    <row r="980" spans="11:15" x14ac:dyDescent="0.25">
      <c r="K980"/>
      <c r="L980"/>
      <c r="M980"/>
      <c r="N980"/>
      <c r="O980"/>
    </row>
    <row r="981" spans="11:15" x14ac:dyDescent="0.25">
      <c r="K981"/>
      <c r="L981"/>
      <c r="M981"/>
      <c r="N981"/>
      <c r="O981"/>
    </row>
    <row r="982" spans="11:15" x14ac:dyDescent="0.25">
      <c r="K982"/>
      <c r="L982"/>
      <c r="M982"/>
      <c r="N982"/>
      <c r="O982"/>
    </row>
    <row r="983" spans="11:15" x14ac:dyDescent="0.25">
      <c r="K983"/>
      <c r="L983"/>
      <c r="M983"/>
      <c r="N983"/>
      <c r="O983"/>
    </row>
    <row r="984" spans="11:15" x14ac:dyDescent="0.25">
      <c r="K984"/>
      <c r="L984"/>
      <c r="M984"/>
      <c r="N984"/>
      <c r="O984"/>
    </row>
    <row r="985" spans="11:15" x14ac:dyDescent="0.25">
      <c r="K985"/>
      <c r="L985"/>
      <c r="M985"/>
      <c r="N985"/>
      <c r="O985"/>
    </row>
    <row r="986" spans="11:15" x14ac:dyDescent="0.25">
      <c r="K986"/>
      <c r="L986"/>
      <c r="M986"/>
      <c r="N986"/>
      <c r="O986"/>
    </row>
    <row r="987" spans="11:15" x14ac:dyDescent="0.25">
      <c r="K987"/>
      <c r="L987"/>
      <c r="M987"/>
      <c r="N987"/>
      <c r="O987"/>
    </row>
    <row r="988" spans="11:15" x14ac:dyDescent="0.25">
      <c r="K988"/>
      <c r="L988"/>
      <c r="M988"/>
      <c r="N988"/>
      <c r="O988"/>
    </row>
    <row r="989" spans="11:15" x14ac:dyDescent="0.25">
      <c r="K989"/>
      <c r="L989"/>
      <c r="M989"/>
      <c r="N989"/>
      <c r="O989"/>
    </row>
    <row r="990" spans="11:15" x14ac:dyDescent="0.25">
      <c r="K990"/>
      <c r="L990"/>
      <c r="M990"/>
      <c r="N990"/>
      <c r="O990"/>
    </row>
    <row r="991" spans="11:15" x14ac:dyDescent="0.25">
      <c r="K991"/>
      <c r="L991"/>
      <c r="M991"/>
      <c r="N991"/>
      <c r="O991"/>
    </row>
    <row r="992" spans="11:15" x14ac:dyDescent="0.25">
      <c r="K992"/>
      <c r="L992"/>
      <c r="M992"/>
      <c r="N992"/>
      <c r="O992"/>
    </row>
    <row r="993" spans="11:15" x14ac:dyDescent="0.25">
      <c r="K993"/>
      <c r="L993"/>
      <c r="M993"/>
      <c r="N993"/>
      <c r="O993"/>
    </row>
    <row r="994" spans="11:15" x14ac:dyDescent="0.25">
      <c r="K994"/>
      <c r="L994"/>
      <c r="M994"/>
      <c r="N994"/>
      <c r="O994"/>
    </row>
    <row r="995" spans="11:15" x14ac:dyDescent="0.25">
      <c r="K995"/>
      <c r="L995"/>
      <c r="M995"/>
      <c r="N995"/>
      <c r="O995"/>
    </row>
    <row r="996" spans="11:15" x14ac:dyDescent="0.25">
      <c r="K996"/>
      <c r="L996"/>
      <c r="M996"/>
      <c r="N996"/>
      <c r="O996"/>
    </row>
    <row r="997" spans="11:15" x14ac:dyDescent="0.25">
      <c r="K997"/>
      <c r="L997"/>
      <c r="M997"/>
      <c r="N997"/>
      <c r="O997"/>
    </row>
    <row r="998" spans="11:15" x14ac:dyDescent="0.25">
      <c r="K998"/>
      <c r="L998"/>
      <c r="M998"/>
      <c r="N998"/>
      <c r="O998"/>
    </row>
    <row r="999" spans="11:15" x14ac:dyDescent="0.25">
      <c r="K999"/>
      <c r="L999"/>
      <c r="M999"/>
      <c r="N999"/>
      <c r="O999"/>
    </row>
    <row r="1000" spans="11:15" x14ac:dyDescent="0.25">
      <c r="K1000"/>
      <c r="L1000"/>
      <c r="M1000"/>
      <c r="N1000"/>
      <c r="O1000"/>
    </row>
    <row r="1001" spans="11:15" x14ac:dyDescent="0.25">
      <c r="K1001"/>
      <c r="L1001"/>
      <c r="M1001"/>
      <c r="N1001"/>
      <c r="O1001"/>
    </row>
    <row r="1002" spans="11:15" x14ac:dyDescent="0.25">
      <c r="K1002"/>
      <c r="L1002"/>
      <c r="M1002"/>
      <c r="N1002"/>
      <c r="O1002"/>
    </row>
    <row r="1003" spans="11:15" x14ac:dyDescent="0.25">
      <c r="K1003"/>
      <c r="L1003"/>
      <c r="M1003"/>
      <c r="N1003"/>
      <c r="O1003"/>
    </row>
    <row r="1004" spans="11:15" x14ac:dyDescent="0.25">
      <c r="K1004"/>
      <c r="L1004"/>
      <c r="M1004"/>
      <c r="N1004"/>
      <c r="O1004"/>
    </row>
    <row r="1005" spans="11:15" x14ac:dyDescent="0.25">
      <c r="K1005"/>
      <c r="L1005"/>
      <c r="M1005"/>
      <c r="N1005"/>
      <c r="O1005"/>
    </row>
    <row r="1006" spans="11:15" x14ac:dyDescent="0.25">
      <c r="K1006"/>
      <c r="L1006"/>
      <c r="M1006"/>
      <c r="N1006"/>
      <c r="O1006"/>
    </row>
    <row r="1007" spans="11:15" x14ac:dyDescent="0.25">
      <c r="K1007"/>
      <c r="L1007"/>
      <c r="M1007"/>
      <c r="N1007"/>
      <c r="O1007"/>
    </row>
    <row r="1008" spans="11:15" x14ac:dyDescent="0.25">
      <c r="K1008"/>
      <c r="L1008"/>
      <c r="M1008"/>
      <c r="N1008"/>
      <c r="O1008"/>
    </row>
    <row r="1009" spans="11:15" x14ac:dyDescent="0.25">
      <c r="K1009"/>
      <c r="L1009"/>
      <c r="M1009"/>
      <c r="N1009"/>
      <c r="O1009"/>
    </row>
    <row r="1010" spans="11:15" x14ac:dyDescent="0.25">
      <c r="K1010"/>
      <c r="L1010"/>
      <c r="M1010"/>
      <c r="N1010"/>
      <c r="O1010"/>
    </row>
    <row r="1011" spans="11:15" x14ac:dyDescent="0.25">
      <c r="K1011"/>
      <c r="L1011"/>
      <c r="M1011"/>
      <c r="N1011"/>
      <c r="O1011"/>
    </row>
    <row r="1012" spans="11:15" x14ac:dyDescent="0.25">
      <c r="K1012"/>
      <c r="L1012"/>
      <c r="M1012"/>
      <c r="N1012"/>
      <c r="O1012"/>
    </row>
    <row r="1013" spans="11:15" x14ac:dyDescent="0.25">
      <c r="K1013"/>
      <c r="L1013"/>
      <c r="M1013"/>
      <c r="N1013"/>
      <c r="O1013"/>
    </row>
    <row r="1014" spans="11:15" x14ac:dyDescent="0.25">
      <c r="K1014"/>
      <c r="L1014"/>
      <c r="M1014"/>
      <c r="N1014"/>
      <c r="O1014"/>
    </row>
    <row r="1015" spans="11:15" x14ac:dyDescent="0.25">
      <c r="K1015"/>
      <c r="L1015"/>
      <c r="M1015"/>
      <c r="N1015"/>
      <c r="O1015"/>
    </row>
    <row r="1016" spans="11:15" x14ac:dyDescent="0.25">
      <c r="K1016"/>
      <c r="L1016"/>
      <c r="M1016"/>
      <c r="N1016"/>
      <c r="O1016"/>
    </row>
    <row r="1017" spans="11:15" x14ac:dyDescent="0.25">
      <c r="K1017"/>
      <c r="L1017"/>
      <c r="M1017"/>
      <c r="N1017"/>
      <c r="O1017"/>
    </row>
    <row r="1018" spans="11:15" x14ac:dyDescent="0.25">
      <c r="K1018"/>
      <c r="L1018"/>
      <c r="M1018"/>
      <c r="N1018"/>
      <c r="O1018"/>
    </row>
    <row r="1019" spans="11:15" x14ac:dyDescent="0.25">
      <c r="K1019"/>
      <c r="L1019"/>
      <c r="M1019"/>
      <c r="N1019"/>
      <c r="O1019"/>
    </row>
    <row r="1020" spans="11:15" x14ac:dyDescent="0.25">
      <c r="K1020"/>
      <c r="L1020"/>
      <c r="M1020"/>
      <c r="N1020"/>
      <c r="O1020"/>
    </row>
    <row r="1021" spans="11:15" x14ac:dyDescent="0.25">
      <c r="K1021"/>
      <c r="L1021"/>
      <c r="M1021"/>
      <c r="N1021"/>
      <c r="O1021"/>
    </row>
    <row r="1022" spans="11:15" x14ac:dyDescent="0.25">
      <c r="K1022"/>
      <c r="L1022"/>
      <c r="M1022"/>
      <c r="N1022"/>
      <c r="O1022"/>
    </row>
    <row r="1023" spans="11:15" x14ac:dyDescent="0.25">
      <c r="K1023"/>
      <c r="L1023"/>
      <c r="M1023"/>
      <c r="N1023"/>
      <c r="O1023"/>
    </row>
    <row r="1024" spans="11:15" x14ac:dyDescent="0.25">
      <c r="K1024"/>
      <c r="L1024"/>
      <c r="M1024"/>
      <c r="N1024"/>
      <c r="O1024"/>
    </row>
    <row r="1025" spans="11:15" x14ac:dyDescent="0.25">
      <c r="K1025"/>
      <c r="L1025"/>
      <c r="M1025"/>
      <c r="N1025"/>
      <c r="O1025"/>
    </row>
    <row r="1026" spans="11:15" x14ac:dyDescent="0.25">
      <c r="K1026"/>
      <c r="L1026"/>
      <c r="M1026"/>
      <c r="N1026"/>
      <c r="O1026"/>
    </row>
    <row r="1027" spans="11:15" x14ac:dyDescent="0.25">
      <c r="K1027"/>
      <c r="L1027"/>
      <c r="M1027"/>
      <c r="N1027"/>
      <c r="O1027"/>
    </row>
    <row r="1028" spans="11:15" x14ac:dyDescent="0.25">
      <c r="K1028"/>
      <c r="L1028"/>
      <c r="M1028"/>
      <c r="N1028"/>
      <c r="O1028"/>
    </row>
    <row r="1029" spans="11:15" x14ac:dyDescent="0.25">
      <c r="K1029"/>
      <c r="L1029"/>
      <c r="M1029"/>
      <c r="N1029"/>
      <c r="O1029"/>
    </row>
    <row r="1030" spans="11:15" x14ac:dyDescent="0.25">
      <c r="K1030"/>
      <c r="L1030"/>
      <c r="M1030"/>
      <c r="N1030"/>
      <c r="O1030"/>
    </row>
    <row r="1031" spans="11:15" x14ac:dyDescent="0.25">
      <c r="K1031"/>
      <c r="L1031"/>
      <c r="M1031"/>
      <c r="N1031"/>
      <c r="O1031"/>
    </row>
    <row r="1032" spans="11:15" x14ac:dyDescent="0.25">
      <c r="K1032"/>
      <c r="L1032"/>
      <c r="M1032"/>
      <c r="N1032"/>
      <c r="O1032"/>
    </row>
    <row r="1033" spans="11:15" x14ac:dyDescent="0.25">
      <c r="K1033"/>
      <c r="L1033"/>
      <c r="M1033"/>
      <c r="N1033"/>
      <c r="O1033"/>
    </row>
    <row r="1034" spans="11:15" x14ac:dyDescent="0.25">
      <c r="K1034"/>
      <c r="L1034"/>
      <c r="M1034"/>
      <c r="N1034"/>
      <c r="O1034"/>
    </row>
    <row r="1035" spans="11:15" x14ac:dyDescent="0.25">
      <c r="K1035"/>
      <c r="L1035"/>
      <c r="M1035"/>
      <c r="N1035"/>
      <c r="O1035"/>
    </row>
    <row r="1036" spans="11:15" x14ac:dyDescent="0.25">
      <c r="K1036"/>
      <c r="L1036"/>
      <c r="M1036"/>
      <c r="N1036"/>
      <c r="O1036"/>
    </row>
    <row r="1037" spans="11:15" x14ac:dyDescent="0.25">
      <c r="K1037"/>
      <c r="L1037"/>
      <c r="M1037"/>
      <c r="N1037"/>
      <c r="O1037"/>
    </row>
    <row r="1038" spans="11:15" x14ac:dyDescent="0.25">
      <c r="K1038"/>
      <c r="L1038"/>
      <c r="M1038"/>
      <c r="N1038"/>
      <c r="O1038"/>
    </row>
    <row r="1039" spans="11:15" x14ac:dyDescent="0.25">
      <c r="K1039"/>
      <c r="L1039"/>
      <c r="M1039"/>
      <c r="N1039"/>
      <c r="O1039"/>
    </row>
    <row r="1040" spans="11:15" x14ac:dyDescent="0.25">
      <c r="K1040"/>
      <c r="L1040"/>
      <c r="M1040"/>
      <c r="N1040"/>
      <c r="O1040"/>
    </row>
    <row r="1041" spans="11:15" x14ac:dyDescent="0.25">
      <c r="K1041"/>
      <c r="L1041"/>
      <c r="M1041"/>
      <c r="N1041"/>
      <c r="O1041"/>
    </row>
    <row r="1042" spans="11:15" x14ac:dyDescent="0.25">
      <c r="K1042"/>
      <c r="L1042"/>
      <c r="M1042"/>
      <c r="N1042"/>
      <c r="O1042"/>
    </row>
    <row r="1043" spans="11:15" x14ac:dyDescent="0.25">
      <c r="K1043"/>
      <c r="L1043"/>
      <c r="M1043"/>
      <c r="N1043"/>
      <c r="O1043"/>
    </row>
    <row r="1044" spans="11:15" x14ac:dyDescent="0.25">
      <c r="K1044"/>
      <c r="L1044"/>
      <c r="M1044"/>
      <c r="N1044"/>
      <c r="O1044"/>
    </row>
    <row r="1045" spans="11:15" x14ac:dyDescent="0.25">
      <c r="K1045"/>
      <c r="L1045"/>
      <c r="M1045"/>
      <c r="N1045"/>
      <c r="O1045"/>
    </row>
    <row r="1046" spans="11:15" x14ac:dyDescent="0.25">
      <c r="K1046"/>
      <c r="L1046"/>
      <c r="M1046"/>
      <c r="N1046"/>
      <c r="O1046"/>
    </row>
    <row r="1047" spans="11:15" x14ac:dyDescent="0.25">
      <c r="K1047"/>
      <c r="L1047"/>
      <c r="M1047"/>
      <c r="N1047"/>
      <c r="O1047"/>
    </row>
    <row r="1048" spans="11:15" x14ac:dyDescent="0.25">
      <c r="K1048"/>
      <c r="L1048"/>
      <c r="M1048"/>
      <c r="N1048"/>
      <c r="O1048"/>
    </row>
    <row r="1049" spans="11:15" x14ac:dyDescent="0.25">
      <c r="K1049"/>
      <c r="L1049"/>
      <c r="M1049"/>
      <c r="N1049"/>
      <c r="O1049"/>
    </row>
    <row r="1050" spans="11:15" x14ac:dyDescent="0.25">
      <c r="K1050"/>
      <c r="L1050"/>
      <c r="M1050"/>
      <c r="N1050"/>
      <c r="O1050"/>
    </row>
    <row r="1051" spans="11:15" x14ac:dyDescent="0.25">
      <c r="K1051"/>
      <c r="L1051"/>
      <c r="M1051"/>
      <c r="N1051"/>
      <c r="O1051"/>
    </row>
    <row r="1052" spans="11:15" x14ac:dyDescent="0.25">
      <c r="K1052"/>
      <c r="L1052"/>
      <c r="M1052"/>
      <c r="N1052"/>
      <c r="O1052"/>
    </row>
    <row r="1053" spans="11:15" x14ac:dyDescent="0.25">
      <c r="K1053"/>
      <c r="L1053"/>
      <c r="M1053"/>
      <c r="N1053"/>
      <c r="O1053"/>
    </row>
    <row r="1054" spans="11:15" x14ac:dyDescent="0.25">
      <c r="K1054"/>
      <c r="L1054"/>
      <c r="M1054"/>
      <c r="N1054"/>
      <c r="O1054"/>
    </row>
    <row r="1055" spans="11:15" x14ac:dyDescent="0.25">
      <c r="K1055"/>
      <c r="L1055"/>
      <c r="M1055"/>
      <c r="N1055"/>
      <c r="O1055"/>
    </row>
    <row r="1056" spans="11:15" x14ac:dyDescent="0.25">
      <c r="K1056"/>
      <c r="L1056"/>
      <c r="M1056"/>
      <c r="N1056"/>
      <c r="O1056"/>
    </row>
    <row r="1057" spans="11:15" x14ac:dyDescent="0.25">
      <c r="K1057"/>
      <c r="L1057"/>
      <c r="M1057"/>
      <c r="N1057"/>
      <c r="O1057"/>
    </row>
    <row r="1058" spans="11:15" x14ac:dyDescent="0.25">
      <c r="K1058"/>
      <c r="L1058"/>
      <c r="M1058"/>
      <c r="N1058"/>
      <c r="O1058"/>
    </row>
    <row r="1059" spans="11:15" x14ac:dyDescent="0.25">
      <c r="K1059"/>
      <c r="L1059"/>
      <c r="M1059"/>
      <c r="N1059"/>
      <c r="O1059"/>
    </row>
    <row r="1060" spans="11:15" x14ac:dyDescent="0.25">
      <c r="K1060"/>
      <c r="L1060"/>
      <c r="M1060"/>
      <c r="N1060"/>
      <c r="O1060"/>
    </row>
    <row r="1061" spans="11:15" x14ac:dyDescent="0.25">
      <c r="K1061"/>
      <c r="L1061"/>
      <c r="M1061"/>
      <c r="N1061"/>
      <c r="O1061"/>
    </row>
    <row r="1062" spans="11:15" x14ac:dyDescent="0.25">
      <c r="K1062"/>
      <c r="L1062"/>
      <c r="M1062"/>
      <c r="N1062"/>
      <c r="O1062"/>
    </row>
    <row r="1063" spans="11:15" x14ac:dyDescent="0.25">
      <c r="K1063"/>
      <c r="L1063"/>
      <c r="M1063"/>
      <c r="N1063"/>
      <c r="O1063"/>
    </row>
  </sheetData>
  <sheetProtection sheet="1" objects="1" scenarios="1"/>
  <autoFilter ref="G25:G115" xr:uid="{00000000-0009-0000-0000-000002000000}"/>
  <pageMargins left="0.70866141732283472" right="0.51181102362204722" top="0.55118110236220474" bottom="0.55118110236220474" header="0.31496062992125984" footer="0.31496062992125984"/>
  <pageSetup paperSize="9" orientation="portrait" r:id="rId1"/>
  <colBreaks count="2" manualBreakCount="2">
    <brk id="9" max="1048575" man="1"/>
    <brk id="15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865" r:id="rId4" name="Drop Down 1">
              <controlPr defaultSize="0" print="0" autoLine="0" autoPict="0">
                <anchor moveWithCells="1">
                  <from>
                    <xdr:col>6</xdr:col>
                    <xdr:colOff>171450</xdr:colOff>
                    <xdr:row>13</xdr:row>
                    <xdr:rowOff>180975</xdr:rowOff>
                  </from>
                  <to>
                    <xdr:col>9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6" r:id="rId5" name="Check Box 2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13</xdr:row>
                    <xdr:rowOff>161925</xdr:rowOff>
                  </from>
                  <to>
                    <xdr:col>5</xdr:col>
                    <xdr:colOff>981075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7" r:id="rId6" name="Check Box 3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14</xdr:row>
                    <xdr:rowOff>161925</xdr:rowOff>
                  </from>
                  <to>
                    <xdr:col>5</xdr:col>
                    <xdr:colOff>981075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8" r:id="rId7" name="Drop Down 4">
              <controlPr defaultSize="0" print="0" autoLine="0" autoPict="0">
                <anchor moveWithCells="1">
                  <from>
                    <xdr:col>6</xdr:col>
                    <xdr:colOff>171450</xdr:colOff>
                    <xdr:row>15</xdr:row>
                    <xdr:rowOff>0</xdr:rowOff>
                  </from>
                  <to>
                    <xdr:col>9</xdr:col>
                    <xdr:colOff>9525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9" r:id="rId8" name="Check Box 5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15</xdr:row>
                    <xdr:rowOff>161925</xdr:rowOff>
                  </from>
                  <to>
                    <xdr:col>5</xdr:col>
                    <xdr:colOff>981075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70" r:id="rId9" name="Check Box 6">
              <controlPr defaultSize="0" print="0" autoFill="0" autoLine="0" autoPict="0">
                <anchor moveWithCells="1">
                  <from>
                    <xdr:col>6</xdr:col>
                    <xdr:colOff>161925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5"/>
  <dimension ref="A1:P1063"/>
  <sheetViews>
    <sheetView showGridLines="0" zoomScale="85" zoomScaleNormal="85" workbookViewId="0">
      <selection activeCell="C4" sqref="C4"/>
    </sheetView>
  </sheetViews>
  <sheetFormatPr defaultRowHeight="15" x14ac:dyDescent="0.25"/>
  <cols>
    <col min="1" max="1" width="2.7109375" style="1" customWidth="1"/>
    <col min="2" max="2" width="5.28515625" style="1" customWidth="1"/>
    <col min="3" max="3" width="9" style="1" customWidth="1"/>
    <col min="4" max="5" width="14.28515625" style="1" customWidth="1"/>
    <col min="6" max="6" width="14.85546875" style="1" customWidth="1"/>
    <col min="7" max="7" width="2.7109375" style="1" customWidth="1"/>
    <col min="8" max="8" width="9" style="1" customWidth="1"/>
    <col min="9" max="9" width="12.5703125" style="1" customWidth="1"/>
    <col min="10" max="10" width="2.7109375" style="1" customWidth="1"/>
    <col min="11" max="11" width="9.42578125" style="1" bestFit="1" customWidth="1"/>
    <col min="12" max="12" width="9" style="1" customWidth="1"/>
    <col min="13" max="13" width="14.28515625" style="1" customWidth="1"/>
    <col min="14" max="14" width="104.28515625" style="1" bestFit="1" customWidth="1"/>
    <col min="15" max="15" width="8.28515625" style="1" bestFit="1" customWidth="1"/>
    <col min="16" max="16" width="2.7109375" style="1" customWidth="1"/>
    <col min="17" max="17" width="87.140625" style="1" customWidth="1"/>
    <col min="18" max="16384" width="9.140625" style="1"/>
  </cols>
  <sheetData>
    <row r="1" spans="2:16" x14ac:dyDescent="0.25">
      <c r="B1" s="2" t="s">
        <v>3</v>
      </c>
      <c r="H1" s="38" t="s">
        <v>19</v>
      </c>
      <c r="I1" s="15"/>
      <c r="K1" s="12" t="s">
        <v>4</v>
      </c>
      <c r="L1" s="13"/>
      <c r="M1" s="12"/>
      <c r="N1" s="13"/>
      <c r="O1" s="14">
        <f>O3/(L3+O3)</f>
        <v>2.8532298561972153E-5</v>
      </c>
    </row>
    <row r="2" spans="2:16" ht="33" customHeight="1" x14ac:dyDescent="0.25">
      <c r="B2" s="3" t="str">
        <f>B24</f>
        <v>№</v>
      </c>
      <c r="C2" s="3" t="s">
        <v>1</v>
      </c>
      <c r="D2" s="3" t="s">
        <v>0</v>
      </c>
      <c r="E2" s="3" t="s">
        <v>10</v>
      </c>
      <c r="F2" s="4" t="s">
        <v>12</v>
      </c>
      <c r="H2" s="3" t="s">
        <v>1</v>
      </c>
      <c r="I2" s="3" t="s">
        <v>0</v>
      </c>
      <c r="K2" s="5" t="s">
        <v>1</v>
      </c>
      <c r="L2" s="5" t="s">
        <v>6</v>
      </c>
      <c r="M2" s="6" t="s">
        <v>11</v>
      </c>
      <c r="N2" s="5" t="s">
        <v>7</v>
      </c>
      <c r="O2" s="6" t="str">
        <f>"Отходы
"&amp;IF((L3+O3)&gt;0,TEXT(O3/(L3+O3),"0,00%"),"")</f>
        <v>Отходы
000%</v>
      </c>
    </row>
    <row r="3" spans="2:16" x14ac:dyDescent="0.25">
      <c r="B3" s="27"/>
      <c r="C3" s="27">
        <f>IF(COUNT(C4:C13)=COUNT(D4:D13),SUMPRODUCT(C4:C13,D4:D13),)</f>
        <v>0</v>
      </c>
      <c r="D3" s="23" t="str">
        <f>IF(COUNT(C4:C13)=COUNT(D4:D13),SUM(D4:D13),"много")</f>
        <v>много</v>
      </c>
      <c r="E3" s="23">
        <f>SUM(E4:E13)</f>
        <v>24</v>
      </c>
      <c r="F3" s="23" t="str">
        <f>IF(D3="много","много",D3-E3)</f>
        <v>много</v>
      </c>
      <c r="H3" s="27">
        <f>SUMPRODUCT(H4:H13,I4:I13)</f>
        <v>3808</v>
      </c>
      <c r="I3" s="23" t="str">
        <f>IF(COUNT(H4:H13)=COUNT(I4:I13),SUM(I4:I13),"много")</f>
        <v>много</v>
      </c>
      <c r="K3" s="31">
        <f>SUMPRODUCT(K4:K1060,$M4:$M1060)</f>
        <v>144000</v>
      </c>
      <c r="L3" s="31">
        <f>SUMPRODUCT(L4:L1060,$M4:$M1060)</f>
        <v>140188</v>
      </c>
      <c r="M3" s="32">
        <f>SUM(M4:M1060)</f>
        <v>24</v>
      </c>
      <c r="N3" s="33"/>
      <c r="O3" s="31">
        <f t="array" ref="O3">SUM(IF((O4:O1060&lt;D17)+(D17=0),$M4:$M1060*O4:O1060))</f>
        <v>4</v>
      </c>
    </row>
    <row r="4" spans="2:16" x14ac:dyDescent="0.25">
      <c r="B4" s="36">
        <f>IF(N(C4)=0,"",1)</f>
        <v>1</v>
      </c>
      <c r="C4" s="48">
        <v>6000</v>
      </c>
      <c r="D4" s="9"/>
      <c r="E4" s="28">
        <f t="shared" ref="E4:E13" si="0">MIN(SUMIF(K$4:K$1060,C4,M$4:M$1060),D4)</f>
        <v>24</v>
      </c>
      <c r="F4" s="28">
        <f>IF(D4,D4-E4,)</f>
        <v>0</v>
      </c>
      <c r="H4" s="51">
        <v>6000</v>
      </c>
      <c r="I4" s="41"/>
      <c r="K4" s="66">
        <v>6000</v>
      </c>
      <c r="L4" s="65">
        <v>6000</v>
      </c>
      <c r="M4" s="72">
        <v>1</v>
      </c>
      <c r="N4" s="69" t="s">
        <v>76</v>
      </c>
      <c r="O4" s="65">
        <f t="shared" ref="O4:O27" si="1">K4-L4</f>
        <v>0</v>
      </c>
    </row>
    <row r="5" spans="2:16" x14ac:dyDescent="0.25">
      <c r="B5" s="34" t="str">
        <f>IF(N(C5)=0,"",IF(ISNUMBER(MATCH(C5,C$4:C4,)),INDEX(B$4:B4,MATCH(C5,C$4:C4,)),MAX(B$4:B4)+1))</f>
        <v/>
      </c>
      <c r="C5" s="49"/>
      <c r="D5" s="10"/>
      <c r="E5" s="29">
        <f t="shared" si="0"/>
        <v>0</v>
      </c>
      <c r="F5" s="29">
        <f>IF(D5,D5-E5,)</f>
        <v>0</v>
      </c>
      <c r="H5" s="52">
        <v>3808</v>
      </c>
      <c r="I5" s="42">
        <v>1</v>
      </c>
      <c r="K5" s="67">
        <v>6000</v>
      </c>
      <c r="L5" s="45">
        <v>6000</v>
      </c>
      <c r="M5" s="73">
        <v>1</v>
      </c>
      <c r="N5" s="70" t="s">
        <v>77</v>
      </c>
      <c r="O5" s="45">
        <f t="shared" si="1"/>
        <v>0</v>
      </c>
    </row>
    <row r="6" spans="2:16" x14ac:dyDescent="0.25">
      <c r="B6" s="34" t="str">
        <f>IF(N(C6)=0,"",IF(ISNUMBER(MATCH(C6,C$4:C5,)),INDEX(B$4:B5,MATCH(C6,C$4:C5,)),MAX(B$4:B5)+1))</f>
        <v/>
      </c>
      <c r="C6" s="49"/>
      <c r="D6" s="10"/>
      <c r="E6" s="29">
        <f t="shared" si="0"/>
        <v>0</v>
      </c>
      <c r="F6" s="29">
        <f t="shared" ref="F6:F11" si="2">IF(D6,D6-E6,)</f>
        <v>0</v>
      </c>
      <c r="H6" s="52"/>
      <c r="I6" s="42"/>
      <c r="K6" s="67">
        <v>6000</v>
      </c>
      <c r="L6" s="45">
        <v>6000</v>
      </c>
      <c r="M6" s="73">
        <v>1</v>
      </c>
      <c r="N6" s="70" t="s">
        <v>78</v>
      </c>
      <c r="O6" s="45">
        <f t="shared" si="1"/>
        <v>0</v>
      </c>
    </row>
    <row r="7" spans="2:16" x14ac:dyDescent="0.25">
      <c r="B7" s="34" t="str">
        <f>IF(N(C7)=0,"",IF(ISNUMBER(MATCH(C7,C$4:C6,)),INDEX(B$4:B6,MATCH(C7,C$4:C6,)),MAX(B$4:B6)+1))</f>
        <v/>
      </c>
      <c r="C7" s="49"/>
      <c r="D7" s="10"/>
      <c r="E7" s="29">
        <f t="shared" si="0"/>
        <v>0</v>
      </c>
      <c r="F7" s="29">
        <f t="shared" si="2"/>
        <v>0</v>
      </c>
      <c r="H7" s="52"/>
      <c r="I7" s="42"/>
      <c r="K7" s="67">
        <v>6000</v>
      </c>
      <c r="L7" s="45">
        <v>6000</v>
      </c>
      <c r="M7" s="73">
        <v>1</v>
      </c>
      <c r="N7" s="70" t="s">
        <v>79</v>
      </c>
      <c r="O7" s="45">
        <f t="shared" si="1"/>
        <v>0</v>
      </c>
    </row>
    <row r="8" spans="2:16" x14ac:dyDescent="0.25">
      <c r="B8" s="34" t="str">
        <f>IF(N(C8)=0,"",IF(ISNUMBER(MATCH(C8,C$4:C7,)),INDEX(B$4:B7,MATCH(C8,C$4:C7,)),MAX(B$4:B7)+1))</f>
        <v/>
      </c>
      <c r="C8" s="49"/>
      <c r="D8" s="10"/>
      <c r="E8" s="29">
        <f t="shared" si="0"/>
        <v>0</v>
      </c>
      <c r="F8" s="29">
        <f t="shared" si="2"/>
        <v>0</v>
      </c>
      <c r="H8" s="52"/>
      <c r="I8" s="42"/>
      <c r="K8" s="67">
        <v>6000</v>
      </c>
      <c r="L8" s="45">
        <v>6000</v>
      </c>
      <c r="M8" s="73">
        <v>1</v>
      </c>
      <c r="N8" s="70" t="s">
        <v>80</v>
      </c>
      <c r="O8" s="45">
        <f t="shared" si="1"/>
        <v>0</v>
      </c>
    </row>
    <row r="9" spans="2:16" x14ac:dyDescent="0.25">
      <c r="B9" s="34" t="str">
        <f>IF(N(C9)=0,"",IF(ISNUMBER(MATCH(C9,C$4:C8,)),INDEX(B$4:B8,MATCH(C9,C$4:C8,)),MAX(B$4:B8)+1))</f>
        <v/>
      </c>
      <c r="C9" s="49"/>
      <c r="D9" s="10"/>
      <c r="E9" s="29">
        <f t="shared" si="0"/>
        <v>0</v>
      </c>
      <c r="F9" s="29">
        <f t="shared" si="2"/>
        <v>0</v>
      </c>
      <c r="H9" s="52"/>
      <c r="I9" s="42"/>
      <c r="K9" s="67">
        <v>6000</v>
      </c>
      <c r="L9" s="45">
        <v>6000</v>
      </c>
      <c r="M9" s="73">
        <v>1</v>
      </c>
      <c r="N9" s="70" t="s">
        <v>81</v>
      </c>
      <c r="O9" s="45">
        <f t="shared" si="1"/>
        <v>0</v>
      </c>
    </row>
    <row r="10" spans="2:16" x14ac:dyDescent="0.25">
      <c r="B10" s="34" t="str">
        <f>IF(N(C10)=0,"",IF(ISNUMBER(MATCH(C10,C$4:C9,)),INDEX(B$4:B9,MATCH(C10,C$4:C9,)),MAX(B$4:B9)+1))</f>
        <v/>
      </c>
      <c r="C10" s="49"/>
      <c r="D10" s="10"/>
      <c r="E10" s="29">
        <f t="shared" si="0"/>
        <v>0</v>
      </c>
      <c r="F10" s="29">
        <f t="shared" si="2"/>
        <v>0</v>
      </c>
      <c r="H10" s="52"/>
      <c r="I10" s="42"/>
      <c r="K10" s="67">
        <v>6000</v>
      </c>
      <c r="L10" s="45">
        <v>6000</v>
      </c>
      <c r="M10" s="73">
        <v>1</v>
      </c>
      <c r="N10" s="70" t="s">
        <v>82</v>
      </c>
      <c r="O10" s="45">
        <f t="shared" si="1"/>
        <v>0</v>
      </c>
    </row>
    <row r="11" spans="2:16" x14ac:dyDescent="0.25">
      <c r="B11" s="34" t="str">
        <f>IF(N(C11)=0,"",IF(ISNUMBER(MATCH(C11,C$4:C10,)),INDEX(B$4:B10,MATCH(C11,C$4:C10,)),MAX(B$4:B10)+1))</f>
        <v/>
      </c>
      <c r="C11" s="49"/>
      <c r="D11" s="10"/>
      <c r="E11" s="29">
        <f t="shared" si="0"/>
        <v>0</v>
      </c>
      <c r="F11" s="29">
        <f t="shared" si="2"/>
        <v>0</v>
      </c>
      <c r="H11" s="52"/>
      <c r="I11" s="42"/>
      <c r="K11" s="67">
        <v>6000</v>
      </c>
      <c r="L11" s="45">
        <v>6000</v>
      </c>
      <c r="M11" s="73">
        <v>1</v>
      </c>
      <c r="N11" s="70" t="s">
        <v>83</v>
      </c>
      <c r="O11" s="45">
        <f t="shared" si="1"/>
        <v>0</v>
      </c>
    </row>
    <row r="12" spans="2:16" x14ac:dyDescent="0.25">
      <c r="B12" s="34" t="str">
        <f>IF(N(C12)=0,"",IF(ISNUMBER(MATCH(C12,C$4:C11,)),INDEX(B$4:B11,MATCH(C12,C$4:C11,)),MAX(B$4:B11)+1))</f>
        <v/>
      </c>
      <c r="C12" s="49"/>
      <c r="D12" s="10"/>
      <c r="E12" s="29">
        <f t="shared" si="0"/>
        <v>0</v>
      </c>
      <c r="F12" s="29">
        <f>IF(D12,D12-E12,)</f>
        <v>0</v>
      </c>
      <c r="H12" s="52"/>
      <c r="I12" s="42"/>
      <c r="K12" s="67">
        <v>6000</v>
      </c>
      <c r="L12" s="45">
        <v>6000</v>
      </c>
      <c r="M12" s="73">
        <v>1</v>
      </c>
      <c r="N12" s="70" t="s">
        <v>84</v>
      </c>
      <c r="O12" s="45">
        <f t="shared" si="1"/>
        <v>0</v>
      </c>
    </row>
    <row r="13" spans="2:16" x14ac:dyDescent="0.25">
      <c r="B13" s="35" t="str">
        <f>IF(N(C13)=0,"",IF(ISNUMBER(MATCH(C13,C$4:C12,)),INDEX(B$4:B12,MATCH(C13,C$4:C12,)),MAX(B$4:B12)+1))</f>
        <v/>
      </c>
      <c r="C13" s="50"/>
      <c r="D13" s="11"/>
      <c r="E13" s="30">
        <f t="shared" si="0"/>
        <v>0</v>
      </c>
      <c r="F13" s="30">
        <f>IF(D13,D13-E13,)</f>
        <v>0</v>
      </c>
      <c r="H13" s="53"/>
      <c r="I13" s="43"/>
      <c r="K13" s="67">
        <v>6000</v>
      </c>
      <c r="L13" s="45">
        <v>6000</v>
      </c>
      <c r="M13" s="73">
        <v>1</v>
      </c>
      <c r="N13" s="70" t="s">
        <v>85</v>
      </c>
      <c r="O13" s="45">
        <f t="shared" si="1"/>
        <v>0</v>
      </c>
    </row>
    <row r="14" spans="2:16" x14ac:dyDescent="0.25">
      <c r="J14" s="15"/>
      <c r="K14" s="67">
        <v>6000</v>
      </c>
      <c r="L14" s="45">
        <v>6000</v>
      </c>
      <c r="M14" s="73">
        <v>1</v>
      </c>
      <c r="N14" s="70" t="s">
        <v>86</v>
      </c>
      <c r="O14" s="45">
        <f t="shared" si="1"/>
        <v>0</v>
      </c>
      <c r="P14" s="15"/>
    </row>
    <row r="15" spans="2:16" x14ac:dyDescent="0.25">
      <c r="B15" s="2" t="s">
        <v>13</v>
      </c>
      <c r="D15" s="37">
        <v>10</v>
      </c>
      <c r="E15" s="21" t="b">
        <v>1</v>
      </c>
      <c r="G15" s="17" t="s">
        <v>40</v>
      </c>
      <c r="H15" s="21">
        <v>5</v>
      </c>
      <c r="I15" s="17"/>
      <c r="J15" s="15"/>
      <c r="K15" s="67">
        <v>6000</v>
      </c>
      <c r="L15" s="45">
        <v>6000</v>
      </c>
      <c r="M15" s="73">
        <v>1</v>
      </c>
      <c r="N15" s="70" t="s">
        <v>87</v>
      </c>
      <c r="O15" s="45">
        <f t="shared" si="1"/>
        <v>0</v>
      </c>
      <c r="P15" s="15"/>
    </row>
    <row r="16" spans="2:16" x14ac:dyDescent="0.25">
      <c r="B16" s="38" t="s">
        <v>17</v>
      </c>
      <c r="C16" s="15"/>
      <c r="D16" s="39">
        <v>10</v>
      </c>
      <c r="E16" s="22" t="b">
        <v>1</v>
      </c>
      <c r="G16" s="17" t="s">
        <v>41</v>
      </c>
      <c r="H16" s="21">
        <v>1</v>
      </c>
      <c r="I16" s="17"/>
      <c r="J16" s="15"/>
      <c r="K16" s="67">
        <v>6000</v>
      </c>
      <c r="L16" s="45">
        <v>6000</v>
      </c>
      <c r="M16" s="73">
        <v>1</v>
      </c>
      <c r="N16" s="70" t="s">
        <v>88</v>
      </c>
      <c r="O16" s="45">
        <f t="shared" si="1"/>
        <v>0</v>
      </c>
      <c r="P16" s="15"/>
    </row>
    <row r="17" spans="1:16" x14ac:dyDescent="0.25">
      <c r="B17" s="38" t="s">
        <v>18</v>
      </c>
      <c r="C17" s="15"/>
      <c r="D17" s="39">
        <v>1000</v>
      </c>
      <c r="E17" s="22" t="b">
        <v>0</v>
      </c>
      <c r="F17" s="22" t="b">
        <v>0</v>
      </c>
      <c r="G17" s="17" t="s">
        <v>42</v>
      </c>
      <c r="I17" s="17"/>
      <c r="J17" s="15"/>
      <c r="K17" s="67">
        <v>6000</v>
      </c>
      <c r="L17" s="45">
        <v>6000</v>
      </c>
      <c r="M17" s="73">
        <v>1</v>
      </c>
      <c r="N17" s="70" t="s">
        <v>89</v>
      </c>
      <c r="O17" s="45">
        <f t="shared" si="1"/>
        <v>0</v>
      </c>
      <c r="P17" s="15"/>
    </row>
    <row r="18" spans="1:16" x14ac:dyDescent="0.25">
      <c r="B18" s="38"/>
      <c r="C18" s="15"/>
      <c r="D18" s="40"/>
      <c r="E18" s="22"/>
      <c r="G18" s="17" t="s">
        <v>43</v>
      </c>
      <c r="H18" s="15"/>
      <c r="I18" s="17"/>
      <c r="J18" s="15"/>
      <c r="K18" s="67">
        <v>6000</v>
      </c>
      <c r="L18" s="45">
        <v>6000</v>
      </c>
      <c r="M18" s="73">
        <v>1</v>
      </c>
      <c r="N18" s="70" t="s">
        <v>90</v>
      </c>
      <c r="O18" s="45">
        <f t="shared" si="1"/>
        <v>0</v>
      </c>
      <c r="P18" s="15"/>
    </row>
    <row r="19" spans="1:16" x14ac:dyDescent="0.25">
      <c r="B19" s="38"/>
      <c r="C19" s="15"/>
      <c r="D19" s="40"/>
      <c r="E19" s="22"/>
      <c r="G19" s="17" t="s">
        <v>44</v>
      </c>
      <c r="H19" s="15"/>
      <c r="I19" s="16"/>
      <c r="J19" s="15"/>
      <c r="K19" s="67">
        <v>6000</v>
      </c>
      <c r="L19" s="45">
        <v>6000</v>
      </c>
      <c r="M19" s="73">
        <v>1</v>
      </c>
      <c r="N19" s="70" t="s">
        <v>91</v>
      </c>
      <c r="O19" s="45">
        <f t="shared" si="1"/>
        <v>0</v>
      </c>
      <c r="P19" s="15"/>
    </row>
    <row r="20" spans="1:16" x14ac:dyDescent="0.25">
      <c r="B20" s="38"/>
      <c r="C20" s="15"/>
      <c r="D20" s="40"/>
      <c r="E20" s="22"/>
      <c r="H20" s="15"/>
      <c r="I20" s="16"/>
      <c r="J20" s="15"/>
      <c r="K20" s="67">
        <v>6000</v>
      </c>
      <c r="L20" s="45">
        <v>6000</v>
      </c>
      <c r="M20" s="73">
        <v>1</v>
      </c>
      <c r="N20" s="70" t="s">
        <v>92</v>
      </c>
      <c r="O20" s="45">
        <f t="shared" si="1"/>
        <v>0</v>
      </c>
      <c r="P20" s="15"/>
    </row>
    <row r="21" spans="1:16" x14ac:dyDescent="0.25">
      <c r="B21" s="38"/>
      <c r="C21" s="15"/>
      <c r="D21" s="40"/>
      <c r="E21" s="22"/>
      <c r="H21" s="15"/>
      <c r="I21" s="16"/>
      <c r="J21" s="15"/>
      <c r="K21" s="67">
        <v>6000</v>
      </c>
      <c r="L21" s="45">
        <v>6000</v>
      </c>
      <c r="M21" s="73">
        <v>1</v>
      </c>
      <c r="N21" s="70" t="s">
        <v>93</v>
      </c>
      <c r="O21" s="45">
        <f t="shared" si="1"/>
        <v>0</v>
      </c>
      <c r="P21" s="15"/>
    </row>
    <row r="22" spans="1:16" x14ac:dyDescent="0.25">
      <c r="B22" s="38"/>
      <c r="C22" s="15"/>
      <c r="D22" s="40"/>
      <c r="E22" s="22"/>
      <c r="H22" s="15"/>
      <c r="I22" s="16"/>
      <c r="J22" s="15"/>
      <c r="K22" s="67">
        <v>6000</v>
      </c>
      <c r="L22" s="45">
        <v>6000</v>
      </c>
      <c r="M22" s="73">
        <v>1</v>
      </c>
      <c r="N22" s="70" t="s">
        <v>94</v>
      </c>
      <c r="O22" s="45">
        <f t="shared" si="1"/>
        <v>0</v>
      </c>
      <c r="P22" s="15"/>
    </row>
    <row r="23" spans="1:16" x14ac:dyDescent="0.25">
      <c r="B23" s="2" t="s">
        <v>2</v>
      </c>
      <c r="H23" s="2" t="s">
        <v>5</v>
      </c>
      <c r="I23" s="2"/>
      <c r="J23" s="15"/>
      <c r="K23" s="67">
        <v>6000</v>
      </c>
      <c r="L23" s="45">
        <v>6000</v>
      </c>
      <c r="M23" s="73">
        <v>1</v>
      </c>
      <c r="N23" s="70" t="s">
        <v>95</v>
      </c>
      <c r="O23" s="45">
        <f t="shared" si="1"/>
        <v>0</v>
      </c>
      <c r="P23" s="15"/>
    </row>
    <row r="24" spans="1:16" x14ac:dyDescent="0.25">
      <c r="B24" s="3" t="s">
        <v>14</v>
      </c>
      <c r="C24" s="3" t="s">
        <v>1</v>
      </c>
      <c r="D24" s="3" t="s">
        <v>0</v>
      </c>
      <c r="E24" s="3" t="s">
        <v>8</v>
      </c>
      <c r="F24" s="4" t="s">
        <v>9</v>
      </c>
      <c r="H24" s="3" t="s">
        <v>1</v>
      </c>
      <c r="I24" s="3" t="s">
        <v>0</v>
      </c>
      <c r="J24" s="15"/>
      <c r="K24" s="67">
        <v>6000</v>
      </c>
      <c r="L24" s="45">
        <v>6000</v>
      </c>
      <c r="M24" s="73">
        <v>1</v>
      </c>
      <c r="N24" s="70" t="s">
        <v>96</v>
      </c>
      <c r="O24" s="45">
        <f t="shared" si="1"/>
        <v>0</v>
      </c>
      <c r="P24" s="15"/>
    </row>
    <row r="25" spans="1:16" x14ac:dyDescent="0.25">
      <c r="B25" s="27"/>
      <c r="C25" s="27">
        <f>IF(D25="много","много",SUMPRODUCT(C26:C115,D26:D115))</f>
        <v>138668</v>
      </c>
      <c r="D25" s="23">
        <f t="array" ref="D25">IF(OR((D26:D115="")+(C26:C115="")=1),"много",SUM(D26:D115))</f>
        <v>128</v>
      </c>
      <c r="E25" s="23">
        <f>SUM(E26:E115)</f>
        <v>128</v>
      </c>
      <c r="F25" s="23">
        <f>IF(D25="много","много",SUM(F26:F115))</f>
        <v>0</v>
      </c>
      <c r="H25" s="27">
        <f>SUMPRODUCT(H26:H115,I26:I115)</f>
        <v>0</v>
      </c>
      <c r="I25" s="23">
        <f>SUM(I26:I115)</f>
        <v>0</v>
      </c>
      <c r="J25" s="15"/>
      <c r="K25" s="67">
        <v>6000</v>
      </c>
      <c r="L25" s="45">
        <v>5998</v>
      </c>
      <c r="M25" s="73">
        <v>1</v>
      </c>
      <c r="N25" s="70" t="s">
        <v>97</v>
      </c>
      <c r="O25" s="45">
        <f t="shared" si="1"/>
        <v>2</v>
      </c>
      <c r="P25" s="15"/>
    </row>
    <row r="26" spans="1:16" x14ac:dyDescent="0.25">
      <c r="A26" s="17">
        <v>2</v>
      </c>
      <c r="B26" s="36">
        <f>IF(N(C26)=0,"",1)</f>
        <v>1</v>
      </c>
      <c r="C26" s="54">
        <v>636</v>
      </c>
      <c r="D26" s="44">
        <v>2</v>
      </c>
      <c r="E26" s="24">
        <f t="shared" ref="E26:E89" si="3">IF($K$3=0,0,IF(ISNA(VLOOKUP(C26,H$26:I$115,2,))*C26,D26,IF(C26="","",IF(D26="",TRUNC($C$3/C26)-VLOOKUP(C26,H$26:I$115,2,),D26-VLOOKUP(C26,H$26:I$115,2,)))))</f>
        <v>2</v>
      </c>
      <c r="F26" s="24">
        <f t="shared" ref="F26:F89" si="4">IF($K$3=0,"",IF(AND(C26&lt;&gt;"",D26&lt;&gt;""),D26-E26,IF(D26="","",TRUNC($C$3/C26)-VLOOKUP(C26,H$26:I$115,2,))))</f>
        <v>0</v>
      </c>
      <c r="G26" s="47">
        <f>--(C26+H26+K26&gt;0)</f>
        <v>1</v>
      </c>
      <c r="H26" s="51"/>
      <c r="I26" s="18"/>
      <c r="J26" s="15"/>
      <c r="K26" s="67">
        <v>6000</v>
      </c>
      <c r="L26" s="45">
        <v>5998</v>
      </c>
      <c r="M26" s="73">
        <v>1</v>
      </c>
      <c r="N26" s="70" t="s">
        <v>98</v>
      </c>
      <c r="O26" s="45">
        <f t="shared" si="1"/>
        <v>2</v>
      </c>
      <c r="P26" s="15"/>
    </row>
    <row r="27" spans="1:16" x14ac:dyDescent="0.25">
      <c r="A27" s="17">
        <v>3</v>
      </c>
      <c r="B27" s="34">
        <f>IF(N(C27)=0,"",IF(ISNUMBER(MATCH(C27,C$26:C26,)),INDEX(B$26:B26,MATCH(C27,C$26:C26,)),MAX(B$26:B26)+1))</f>
        <v>2</v>
      </c>
      <c r="C27" s="55">
        <v>676</v>
      </c>
      <c r="D27" s="7">
        <v>2</v>
      </c>
      <c r="E27" s="25">
        <f t="shared" si="3"/>
        <v>2</v>
      </c>
      <c r="F27" s="25">
        <f t="shared" si="4"/>
        <v>0</v>
      </c>
      <c r="G27" s="47">
        <f t="shared" ref="G27:G90" si="5">--(C27+H27+K27&gt;0)</f>
        <v>1</v>
      </c>
      <c r="H27" s="52"/>
      <c r="I27" s="19"/>
      <c r="J27" s="15"/>
      <c r="K27" s="68">
        <v>6000</v>
      </c>
      <c r="L27" s="46">
        <v>2192</v>
      </c>
      <c r="M27" s="74">
        <v>1</v>
      </c>
      <c r="N27" s="71" t="s">
        <v>99</v>
      </c>
      <c r="O27" s="46">
        <f t="shared" si="1"/>
        <v>3808</v>
      </c>
      <c r="P27" s="15"/>
    </row>
    <row r="28" spans="1:16" x14ac:dyDescent="0.25">
      <c r="A28" s="17">
        <v>4</v>
      </c>
      <c r="B28" s="34">
        <f>IF(N(C28)=0,"",IF(ISNUMBER(MATCH(C28,C$26:C27,)),INDEX(B$26:B27,MATCH(C28,C$26:C27,)),MAX(B$26:B27)+1))</f>
        <v>3</v>
      </c>
      <c r="C28" s="55">
        <v>686</v>
      </c>
      <c r="D28" s="7">
        <v>2</v>
      </c>
      <c r="E28" s="25">
        <f t="shared" si="3"/>
        <v>2</v>
      </c>
      <c r="F28" s="25">
        <f t="shared" si="4"/>
        <v>0</v>
      </c>
      <c r="G28" s="47">
        <f t="shared" si="5"/>
        <v>1</v>
      </c>
      <c r="H28" s="52"/>
      <c r="I28" s="19"/>
      <c r="J28" s="15"/>
      <c r="K28"/>
      <c r="L28"/>
      <c r="M28"/>
      <c r="N28"/>
      <c r="O28"/>
      <c r="P28" s="15"/>
    </row>
    <row r="29" spans="1:16" x14ac:dyDescent="0.25">
      <c r="A29" s="17">
        <v>5</v>
      </c>
      <c r="B29" s="34">
        <f>IF(N(C29)=0,"",IF(ISNUMBER(MATCH(C29,C$26:C28,)),INDEX(B$26:B28,MATCH(C29,C$26:C28,)),MAX(B$26:B28)+1))</f>
        <v>4</v>
      </c>
      <c r="C29" s="55">
        <v>696</v>
      </c>
      <c r="D29" s="7">
        <v>2</v>
      </c>
      <c r="E29" s="25">
        <f t="shared" si="3"/>
        <v>2</v>
      </c>
      <c r="F29" s="25">
        <f t="shared" si="4"/>
        <v>0</v>
      </c>
      <c r="G29" s="47">
        <f t="shared" si="5"/>
        <v>1</v>
      </c>
      <c r="H29" s="52"/>
      <c r="I29" s="19"/>
      <c r="J29" s="15"/>
      <c r="K29"/>
      <c r="L29"/>
      <c r="M29"/>
      <c r="N29"/>
      <c r="O29"/>
      <c r="P29" s="15"/>
    </row>
    <row r="30" spans="1:16" x14ac:dyDescent="0.25">
      <c r="A30" s="17">
        <v>6</v>
      </c>
      <c r="B30" s="34">
        <f>IF(N(C30)=0,"",IF(ISNUMBER(MATCH(C30,C$26:C29,)),INDEX(B$26:B29,MATCH(C30,C$26:C29,)),MAX(B$26:B29)+1))</f>
        <v>5</v>
      </c>
      <c r="C30" s="55">
        <v>706</v>
      </c>
      <c r="D30" s="7">
        <v>6</v>
      </c>
      <c r="E30" s="25">
        <f t="shared" si="3"/>
        <v>6</v>
      </c>
      <c r="F30" s="25">
        <f t="shared" si="4"/>
        <v>0</v>
      </c>
      <c r="G30" s="47">
        <f t="shared" si="5"/>
        <v>1</v>
      </c>
      <c r="H30" s="52"/>
      <c r="I30" s="19"/>
      <c r="J30" s="15"/>
      <c r="K30"/>
      <c r="L30"/>
      <c r="M30"/>
      <c r="N30"/>
      <c r="O30"/>
      <c r="P30" s="15"/>
    </row>
    <row r="31" spans="1:16" x14ac:dyDescent="0.25">
      <c r="A31" s="17">
        <v>7</v>
      </c>
      <c r="B31" s="34">
        <f>IF(N(C31)=0,"",IF(ISNUMBER(MATCH(C31,C$26:C30,)),INDEX(B$26:B30,MATCH(C31,C$26:C30,)),MAX(B$26:B30)+1))</f>
        <v>6</v>
      </c>
      <c r="C31" s="55">
        <v>1066</v>
      </c>
      <c r="D31" s="7">
        <v>2</v>
      </c>
      <c r="E31" s="25">
        <f t="shared" si="3"/>
        <v>2</v>
      </c>
      <c r="F31" s="25">
        <f t="shared" si="4"/>
        <v>0</v>
      </c>
      <c r="G31" s="47">
        <f t="shared" si="5"/>
        <v>1</v>
      </c>
      <c r="H31" s="52"/>
      <c r="I31" s="19"/>
      <c r="J31" s="15"/>
      <c r="K31"/>
      <c r="L31"/>
      <c r="M31"/>
      <c r="N31"/>
      <c r="O31"/>
      <c r="P31" s="15"/>
    </row>
    <row r="32" spans="1:16" x14ac:dyDescent="0.25">
      <c r="A32" s="17">
        <v>8</v>
      </c>
      <c r="B32" s="34">
        <f>IF(N(C32)=0,"",IF(ISNUMBER(MATCH(C32,C$26:C31,)),INDEX(B$26:B31,MATCH(C32,C$26:C31,)),MAX(B$26:B31)+1))</f>
        <v>7</v>
      </c>
      <c r="C32" s="55">
        <v>1136</v>
      </c>
      <c r="D32" s="7">
        <v>2</v>
      </c>
      <c r="E32" s="25">
        <f t="shared" si="3"/>
        <v>2</v>
      </c>
      <c r="F32" s="25">
        <f t="shared" si="4"/>
        <v>0</v>
      </c>
      <c r="G32" s="47">
        <f t="shared" si="5"/>
        <v>1</v>
      </c>
      <c r="H32" s="52"/>
      <c r="I32" s="19"/>
      <c r="J32" s="15"/>
      <c r="K32"/>
      <c r="L32"/>
      <c r="M32"/>
      <c r="N32"/>
      <c r="O32"/>
      <c r="P32" s="15"/>
    </row>
    <row r="33" spans="1:16" x14ac:dyDescent="0.25">
      <c r="A33" s="17">
        <v>16</v>
      </c>
      <c r="B33" s="34">
        <f>IF(N(C33)=0,"",IF(ISNUMBER(MATCH(C33,C$26:C32,)),INDEX(B$26:B32,MATCH(C33,C$26:C32,)),MAX(B$26:B32)+1))</f>
        <v>8</v>
      </c>
      <c r="C33" s="55">
        <v>1166</v>
      </c>
      <c r="D33" s="7">
        <v>10</v>
      </c>
      <c r="E33" s="25">
        <f t="shared" si="3"/>
        <v>10</v>
      </c>
      <c r="F33" s="25">
        <f t="shared" si="4"/>
        <v>0</v>
      </c>
      <c r="G33" s="47">
        <f t="shared" si="5"/>
        <v>1</v>
      </c>
      <c r="H33" s="52"/>
      <c r="I33" s="19"/>
      <c r="J33" s="15"/>
      <c r="K33"/>
      <c r="L33"/>
      <c r="M33"/>
      <c r="N33"/>
      <c r="O33"/>
      <c r="P33" s="15"/>
    </row>
    <row r="34" spans="1:16" x14ac:dyDescent="0.25">
      <c r="A34" s="17">
        <v>17</v>
      </c>
      <c r="B34" s="34">
        <f>IF(N(C34)=0,"",IF(ISNUMBER(MATCH(C34,C$26:C33,)),INDEX(B$26:B33,MATCH(C34,C$26:C33,)),MAX(B$26:B33)+1))</f>
        <v>9</v>
      </c>
      <c r="C34" s="55">
        <v>1316</v>
      </c>
      <c r="D34" s="7">
        <v>4</v>
      </c>
      <c r="E34" s="25">
        <f t="shared" si="3"/>
        <v>4</v>
      </c>
      <c r="F34" s="25">
        <f t="shared" si="4"/>
        <v>0</v>
      </c>
      <c r="G34" s="47">
        <f t="shared" si="5"/>
        <v>1</v>
      </c>
      <c r="H34" s="52"/>
      <c r="I34" s="19"/>
      <c r="J34" s="15"/>
      <c r="K34"/>
      <c r="L34"/>
      <c r="M34"/>
      <c r="N34"/>
      <c r="O34"/>
      <c r="P34" s="15"/>
    </row>
    <row r="35" spans="1:16" x14ac:dyDescent="0.25">
      <c r="A35" s="17">
        <v>18</v>
      </c>
      <c r="B35" s="34">
        <f>IF(N(C35)=0,"",IF(ISNUMBER(MATCH(C35,C$26:C34,)),INDEX(B$26:B34,MATCH(C35,C$26:C34,)),MAX(B$26:B34)+1))</f>
        <v>10</v>
      </c>
      <c r="C35" s="55">
        <v>1436</v>
      </c>
      <c r="D35" s="7">
        <v>2</v>
      </c>
      <c r="E35" s="25">
        <f t="shared" si="3"/>
        <v>2</v>
      </c>
      <c r="F35" s="25">
        <f t="shared" si="4"/>
        <v>0</v>
      </c>
      <c r="G35" s="47">
        <f t="shared" si="5"/>
        <v>1</v>
      </c>
      <c r="H35" s="52"/>
      <c r="I35" s="19"/>
      <c r="J35" s="15"/>
      <c r="K35"/>
      <c r="L35"/>
      <c r="M35"/>
      <c r="N35"/>
      <c r="O35"/>
      <c r="P35" s="15"/>
    </row>
    <row r="36" spans="1:16" x14ac:dyDescent="0.25">
      <c r="A36" s="17">
        <v>19</v>
      </c>
      <c r="B36" s="34">
        <f>IF(N(C36)=0,"",IF(ISNUMBER(MATCH(C36,C$26:C35,)),INDEX(B$26:B35,MATCH(C36,C$26:C35,)),MAX(B$26:B35)+1))</f>
        <v>11</v>
      </c>
      <c r="C36" s="55">
        <v>1526</v>
      </c>
      <c r="D36" s="7">
        <v>2</v>
      </c>
      <c r="E36" s="25">
        <f t="shared" si="3"/>
        <v>2</v>
      </c>
      <c r="F36" s="25">
        <f t="shared" si="4"/>
        <v>0</v>
      </c>
      <c r="G36" s="47">
        <f t="shared" si="5"/>
        <v>1</v>
      </c>
      <c r="H36" s="52"/>
      <c r="I36" s="19"/>
      <c r="J36" s="15"/>
      <c r="K36"/>
      <c r="L36"/>
      <c r="M36"/>
      <c r="N36"/>
      <c r="O36"/>
      <c r="P36" s="15"/>
    </row>
    <row r="37" spans="1:16" x14ac:dyDescent="0.25">
      <c r="A37" s="17">
        <v>20</v>
      </c>
      <c r="B37" s="34">
        <f>IF(N(C37)=0,"",IF(ISNUMBER(MATCH(C37,C$26:C36,)),INDEX(B$26:B36,MATCH(C37,C$26:C36,)),MAX(B$26:B36)+1))</f>
        <v>12</v>
      </c>
      <c r="C37" s="55">
        <v>1576</v>
      </c>
      <c r="D37" s="7">
        <v>2</v>
      </c>
      <c r="E37" s="25">
        <f t="shared" si="3"/>
        <v>2</v>
      </c>
      <c r="F37" s="25">
        <f t="shared" si="4"/>
        <v>0</v>
      </c>
      <c r="G37" s="47">
        <f t="shared" si="5"/>
        <v>1</v>
      </c>
      <c r="H37" s="52"/>
      <c r="I37" s="19"/>
      <c r="J37" s="15"/>
      <c r="K37"/>
      <c r="L37"/>
      <c r="M37"/>
      <c r="N37"/>
      <c r="O37"/>
      <c r="P37" s="15"/>
    </row>
    <row r="38" spans="1:16" x14ac:dyDescent="0.25">
      <c r="A38" s="17">
        <v>21</v>
      </c>
      <c r="B38" s="34">
        <f>IF(N(C38)=0,"",IF(ISNUMBER(MATCH(C38,C$26:C37,)),INDEX(B$26:B37,MATCH(C38,C$26:C37,)),MAX(B$26:B37)+1))</f>
        <v>13</v>
      </c>
      <c r="C38" s="55">
        <v>2036</v>
      </c>
      <c r="D38" s="7">
        <v>2</v>
      </c>
      <c r="E38" s="25">
        <f t="shared" si="3"/>
        <v>2</v>
      </c>
      <c r="F38" s="25">
        <f t="shared" si="4"/>
        <v>0</v>
      </c>
      <c r="G38" s="47">
        <f t="shared" si="5"/>
        <v>1</v>
      </c>
      <c r="H38" s="52"/>
      <c r="I38" s="19"/>
      <c r="J38" s="15"/>
      <c r="K38"/>
      <c r="L38"/>
      <c r="M38"/>
      <c r="N38"/>
      <c r="O38"/>
      <c r="P38" s="15"/>
    </row>
    <row r="39" spans="1:16" x14ac:dyDescent="0.25">
      <c r="A39" s="17">
        <v>22</v>
      </c>
      <c r="B39" s="34">
        <f>IF(N(C39)=0,"",IF(ISNUMBER(MATCH(C39,C$26:C38,)),INDEX(B$26:B38,MATCH(C39,C$26:C38,)),MAX(B$26:B38)+1))</f>
        <v>14</v>
      </c>
      <c r="C39" s="55">
        <v>496</v>
      </c>
      <c r="D39" s="7">
        <v>2</v>
      </c>
      <c r="E39" s="25">
        <f t="shared" si="3"/>
        <v>2</v>
      </c>
      <c r="F39" s="25">
        <f t="shared" si="4"/>
        <v>0</v>
      </c>
      <c r="G39" s="47">
        <f t="shared" si="5"/>
        <v>1</v>
      </c>
      <c r="H39" s="52"/>
      <c r="I39" s="19"/>
      <c r="J39" s="15"/>
      <c r="K39"/>
      <c r="L39"/>
      <c r="M39"/>
      <c r="N39"/>
      <c r="O39"/>
      <c r="P39" s="15"/>
    </row>
    <row r="40" spans="1:16" x14ac:dyDescent="0.25">
      <c r="A40" s="17">
        <v>23</v>
      </c>
      <c r="B40" s="34">
        <f>IF(N(C40)=0,"",IF(ISNUMBER(MATCH(C40,C$26:C39,)),INDEX(B$26:B39,MATCH(C40,C$26:C39,)),MAX(B$26:B39)+1))</f>
        <v>15</v>
      </c>
      <c r="C40" s="55">
        <v>1936</v>
      </c>
      <c r="D40" s="7">
        <v>2</v>
      </c>
      <c r="E40" s="25">
        <f t="shared" si="3"/>
        <v>2</v>
      </c>
      <c r="F40" s="25">
        <f t="shared" si="4"/>
        <v>0</v>
      </c>
      <c r="G40" s="47">
        <f t="shared" si="5"/>
        <v>1</v>
      </c>
      <c r="H40" s="52"/>
      <c r="I40" s="19"/>
      <c r="J40" s="15"/>
      <c r="K40"/>
      <c r="L40"/>
      <c r="M40"/>
      <c r="N40"/>
      <c r="O40"/>
      <c r="P40" s="15"/>
    </row>
    <row r="41" spans="1:16" x14ac:dyDescent="0.25">
      <c r="A41" s="17">
        <v>24</v>
      </c>
      <c r="B41" s="34">
        <f>IF(N(C41)=0,"",IF(ISNUMBER(MATCH(C41,C$26:C40,)),INDEX(B$26:B40,MATCH(C41,C$26:C40,)),MAX(B$26:B40)+1))</f>
        <v>16</v>
      </c>
      <c r="C41" s="55">
        <v>1386</v>
      </c>
      <c r="D41" s="7">
        <v>6</v>
      </c>
      <c r="E41" s="25">
        <f t="shared" si="3"/>
        <v>6</v>
      </c>
      <c r="F41" s="25">
        <f t="shared" si="4"/>
        <v>0</v>
      </c>
      <c r="G41" s="47">
        <f t="shared" si="5"/>
        <v>1</v>
      </c>
      <c r="H41" s="52"/>
      <c r="I41" s="19"/>
      <c r="J41" s="15"/>
      <c r="K41"/>
      <c r="L41"/>
      <c r="M41"/>
      <c r="N41"/>
      <c r="O41"/>
      <c r="P41" s="15"/>
    </row>
    <row r="42" spans="1:16" x14ac:dyDescent="0.25">
      <c r="A42" s="17">
        <v>25</v>
      </c>
      <c r="B42" s="34">
        <f>IF(N(C42)=0,"",IF(ISNUMBER(MATCH(C42,C$26:C41,)),INDEX(B$26:B41,MATCH(C42,C$26:C41,)),MAX(B$26:B41)+1))</f>
        <v>17</v>
      </c>
      <c r="C42" s="55">
        <v>1496</v>
      </c>
      <c r="D42" s="7">
        <v>2</v>
      </c>
      <c r="E42" s="25">
        <f t="shared" si="3"/>
        <v>2</v>
      </c>
      <c r="F42" s="25">
        <f t="shared" si="4"/>
        <v>0</v>
      </c>
      <c r="G42" s="47">
        <f t="shared" si="5"/>
        <v>1</v>
      </c>
      <c r="H42" s="52"/>
      <c r="I42" s="19"/>
      <c r="J42" s="15"/>
      <c r="K42"/>
      <c r="L42"/>
      <c r="M42"/>
      <c r="N42"/>
      <c r="O42"/>
      <c r="P42" s="15"/>
    </row>
    <row r="43" spans="1:16" x14ac:dyDescent="0.25">
      <c r="A43" s="17">
        <v>26</v>
      </c>
      <c r="B43" s="34">
        <f>IF(N(C43)=0,"",IF(ISNUMBER(MATCH(C43,C$26:C42,)),INDEX(B$26:B42,MATCH(C43,C$26:C42,)),MAX(B$26:B42)+1))</f>
        <v>18</v>
      </c>
      <c r="C43" s="55">
        <v>1456</v>
      </c>
      <c r="D43" s="7">
        <v>2</v>
      </c>
      <c r="E43" s="25">
        <f t="shared" si="3"/>
        <v>2</v>
      </c>
      <c r="F43" s="25">
        <f t="shared" si="4"/>
        <v>0</v>
      </c>
      <c r="G43" s="47">
        <f t="shared" si="5"/>
        <v>1</v>
      </c>
      <c r="H43" s="52"/>
      <c r="I43" s="19"/>
      <c r="J43" s="15"/>
      <c r="K43"/>
      <c r="L43"/>
      <c r="M43"/>
      <c r="N43"/>
      <c r="O43"/>
      <c r="P43" s="15"/>
    </row>
    <row r="44" spans="1:16" x14ac:dyDescent="0.25">
      <c r="A44" s="17">
        <v>27</v>
      </c>
      <c r="B44" s="34">
        <f>IF(N(C44)=0,"",IF(ISNUMBER(MATCH(C44,C$26:C43,)),INDEX(B$26:B43,MATCH(C44,C$26:C43,)),MAX(B$26:B43)+1))</f>
        <v>19</v>
      </c>
      <c r="C44" s="55">
        <v>1476</v>
      </c>
      <c r="D44" s="7">
        <v>2</v>
      </c>
      <c r="E44" s="25">
        <f t="shared" si="3"/>
        <v>2</v>
      </c>
      <c r="F44" s="25">
        <f t="shared" si="4"/>
        <v>0</v>
      </c>
      <c r="G44" s="47">
        <f t="shared" si="5"/>
        <v>1</v>
      </c>
      <c r="H44" s="52"/>
      <c r="I44" s="19"/>
      <c r="J44" s="15"/>
      <c r="K44"/>
      <c r="L44"/>
      <c r="M44"/>
      <c r="N44"/>
      <c r="O44"/>
      <c r="P44" s="15"/>
    </row>
    <row r="45" spans="1:16" x14ac:dyDescent="0.25">
      <c r="A45" s="17">
        <v>28</v>
      </c>
      <c r="B45" s="34">
        <f>IF(N(C45)=0,"",IF(ISNUMBER(MATCH(C45,C$26:C44,)),INDEX(B$26:B44,MATCH(C45,C$26:C44,)),MAX(B$26:B44)+1))</f>
        <v>20</v>
      </c>
      <c r="C45" s="55">
        <v>1426</v>
      </c>
      <c r="D45" s="7">
        <v>8</v>
      </c>
      <c r="E45" s="25">
        <f t="shared" si="3"/>
        <v>8</v>
      </c>
      <c r="F45" s="25">
        <f t="shared" si="4"/>
        <v>0</v>
      </c>
      <c r="G45" s="47">
        <f t="shared" si="5"/>
        <v>1</v>
      </c>
      <c r="H45" s="52"/>
      <c r="I45" s="19"/>
      <c r="J45" s="15"/>
      <c r="K45"/>
      <c r="L45"/>
      <c r="M45"/>
      <c r="N45"/>
      <c r="O45"/>
      <c r="P45" s="15"/>
    </row>
    <row r="46" spans="1:16" x14ac:dyDescent="0.25">
      <c r="A46" s="17">
        <v>29</v>
      </c>
      <c r="B46" s="34">
        <f>IF(N(C46)=0,"",IF(ISNUMBER(MATCH(C46,C$26:C45,)),INDEX(B$26:B45,MATCH(C46,C$26:C45,)),MAX(B$26:B45)+1))</f>
        <v>21</v>
      </c>
      <c r="C46" s="55">
        <v>956</v>
      </c>
      <c r="D46" s="7">
        <v>4</v>
      </c>
      <c r="E46" s="25">
        <f t="shared" si="3"/>
        <v>4</v>
      </c>
      <c r="F46" s="25">
        <f t="shared" si="4"/>
        <v>0</v>
      </c>
      <c r="G46" s="47">
        <f t="shared" si="5"/>
        <v>1</v>
      </c>
      <c r="H46" s="52"/>
      <c r="I46" s="19"/>
      <c r="J46" s="15"/>
      <c r="K46"/>
      <c r="L46"/>
      <c r="M46"/>
      <c r="N46"/>
      <c r="O46"/>
      <c r="P46" s="15"/>
    </row>
    <row r="47" spans="1:16" x14ac:dyDescent="0.25">
      <c r="A47" s="17">
        <v>30</v>
      </c>
      <c r="B47" s="34">
        <f>IF(N(C47)=0,"",IF(ISNUMBER(MATCH(C47,C$26:C46,)),INDEX(B$26:B46,MATCH(C47,C$26:C46,)),MAX(B$26:B46)+1))</f>
        <v>22</v>
      </c>
      <c r="C47" s="55">
        <v>1246</v>
      </c>
      <c r="D47" s="7">
        <v>4</v>
      </c>
      <c r="E47" s="25">
        <f t="shared" si="3"/>
        <v>4</v>
      </c>
      <c r="F47" s="25">
        <f t="shared" si="4"/>
        <v>0</v>
      </c>
      <c r="G47" s="47">
        <f t="shared" si="5"/>
        <v>1</v>
      </c>
      <c r="H47" s="52"/>
      <c r="I47" s="19"/>
      <c r="J47" s="15"/>
      <c r="K47"/>
      <c r="L47"/>
      <c r="M47"/>
      <c r="N47"/>
      <c r="O47"/>
      <c r="P47" s="15"/>
    </row>
    <row r="48" spans="1:16" x14ac:dyDescent="0.25">
      <c r="A48" s="17">
        <v>31</v>
      </c>
      <c r="B48" s="34">
        <f>IF(N(C48)=0,"",IF(ISNUMBER(MATCH(C48,C$26:C47,)),INDEX(B$26:B47,MATCH(C48,C$26:C47,)),MAX(B$26:B47)+1))</f>
        <v>23</v>
      </c>
      <c r="C48" s="55">
        <v>1196</v>
      </c>
      <c r="D48" s="7">
        <v>6</v>
      </c>
      <c r="E48" s="25">
        <f t="shared" si="3"/>
        <v>6</v>
      </c>
      <c r="F48" s="25">
        <f t="shared" si="4"/>
        <v>0</v>
      </c>
      <c r="G48" s="47">
        <f t="shared" si="5"/>
        <v>1</v>
      </c>
      <c r="H48" s="52"/>
      <c r="I48" s="19"/>
      <c r="J48" s="15"/>
      <c r="K48"/>
      <c r="L48"/>
      <c r="M48"/>
      <c r="N48"/>
      <c r="O48"/>
      <c r="P48" s="15"/>
    </row>
    <row r="49" spans="1:16" x14ac:dyDescent="0.25">
      <c r="A49" s="17">
        <v>32</v>
      </c>
      <c r="B49" s="34">
        <f>IF(N(C49)=0,"",IF(ISNUMBER(MATCH(C49,C$26:C48,)),INDEX(B$26:B48,MATCH(C49,C$26:C48,)),MAX(B$26:B48)+1))</f>
        <v>24</v>
      </c>
      <c r="C49" s="55">
        <v>1226</v>
      </c>
      <c r="D49" s="7">
        <v>2</v>
      </c>
      <c r="E49" s="25">
        <f t="shared" si="3"/>
        <v>2</v>
      </c>
      <c r="F49" s="25">
        <f t="shared" si="4"/>
        <v>0</v>
      </c>
      <c r="G49" s="47">
        <f t="shared" si="5"/>
        <v>1</v>
      </c>
      <c r="H49" s="52"/>
      <c r="I49" s="19"/>
      <c r="J49" s="15"/>
      <c r="K49"/>
      <c r="L49"/>
      <c r="M49"/>
      <c r="N49"/>
      <c r="O49"/>
      <c r="P49" s="15"/>
    </row>
    <row r="50" spans="1:16" x14ac:dyDescent="0.25">
      <c r="A50" s="17">
        <v>33</v>
      </c>
      <c r="B50" s="34">
        <f>IF(N(C50)=0,"",IF(ISNUMBER(MATCH(C50,C$26:C49,)),INDEX(B$26:B49,MATCH(C50,C$26:C49,)),MAX(B$26:B49)+1))</f>
        <v>25</v>
      </c>
      <c r="C50" s="55">
        <v>1156</v>
      </c>
      <c r="D50" s="7">
        <v>2</v>
      </c>
      <c r="E50" s="25">
        <f t="shared" si="3"/>
        <v>2</v>
      </c>
      <c r="F50" s="25">
        <f t="shared" si="4"/>
        <v>0</v>
      </c>
      <c r="G50" s="47">
        <f t="shared" si="5"/>
        <v>1</v>
      </c>
      <c r="H50" s="52"/>
      <c r="I50" s="19"/>
      <c r="J50" s="15"/>
      <c r="K50"/>
      <c r="L50"/>
      <c r="M50"/>
      <c r="N50"/>
      <c r="O50"/>
      <c r="P50" s="15"/>
    </row>
    <row r="51" spans="1:16" x14ac:dyDescent="0.25">
      <c r="A51" s="17">
        <v>34</v>
      </c>
      <c r="B51" s="34">
        <f>IF(N(C51)=0,"",IF(ISNUMBER(MATCH(C51,C$26:C50,)),INDEX(B$26:B50,MATCH(C51,C$26:C50,)),MAX(B$26:B50)+1))</f>
        <v>26</v>
      </c>
      <c r="C51" s="55">
        <v>1176</v>
      </c>
      <c r="D51" s="7">
        <v>4</v>
      </c>
      <c r="E51" s="25">
        <f t="shared" si="3"/>
        <v>4</v>
      </c>
      <c r="F51" s="25">
        <f t="shared" si="4"/>
        <v>0</v>
      </c>
      <c r="G51" s="47">
        <f t="shared" si="5"/>
        <v>1</v>
      </c>
      <c r="H51" s="52"/>
      <c r="I51" s="19"/>
      <c r="J51" s="15"/>
      <c r="K51"/>
      <c r="L51"/>
      <c r="M51"/>
      <c r="N51"/>
      <c r="O51"/>
      <c r="P51" s="15"/>
    </row>
    <row r="52" spans="1:16" x14ac:dyDescent="0.25">
      <c r="A52" s="17">
        <v>35</v>
      </c>
      <c r="B52" s="34">
        <f>IF(N(C52)=0,"",IF(ISNUMBER(MATCH(C52,C$26:C51,)),INDEX(B$26:B51,MATCH(C52,C$26:C51,)),MAX(B$26:B51)+1))</f>
        <v>27</v>
      </c>
      <c r="C52" s="55">
        <v>1186</v>
      </c>
      <c r="D52" s="7">
        <v>2</v>
      </c>
      <c r="E52" s="25">
        <f t="shared" si="3"/>
        <v>2</v>
      </c>
      <c r="F52" s="25">
        <f t="shared" si="4"/>
        <v>0</v>
      </c>
      <c r="G52" s="47">
        <f t="shared" si="5"/>
        <v>1</v>
      </c>
      <c r="H52" s="52"/>
      <c r="I52" s="19"/>
      <c r="J52" s="15"/>
      <c r="K52"/>
      <c r="L52"/>
      <c r="M52"/>
      <c r="N52"/>
      <c r="O52"/>
      <c r="P52" s="15"/>
    </row>
    <row r="53" spans="1:16" x14ac:dyDescent="0.25">
      <c r="A53" s="17">
        <v>36</v>
      </c>
      <c r="B53" s="34">
        <f>IF(N(C53)=0,"",IF(ISNUMBER(MATCH(C53,C$26:C52,)),INDEX(B$26:B52,MATCH(C53,C$26:C52,)),MAX(B$26:B52)+1))</f>
        <v>28</v>
      </c>
      <c r="C53" s="55">
        <v>1116</v>
      </c>
      <c r="D53" s="7">
        <v>2</v>
      </c>
      <c r="E53" s="25">
        <f t="shared" si="3"/>
        <v>2</v>
      </c>
      <c r="F53" s="25">
        <f t="shared" si="4"/>
        <v>0</v>
      </c>
      <c r="G53" s="47">
        <f t="shared" si="5"/>
        <v>1</v>
      </c>
      <c r="H53" s="52"/>
      <c r="I53" s="19"/>
      <c r="J53" s="15"/>
      <c r="K53"/>
      <c r="L53"/>
      <c r="M53"/>
      <c r="N53"/>
      <c r="O53"/>
      <c r="P53" s="15"/>
    </row>
    <row r="54" spans="1:16" x14ac:dyDescent="0.25">
      <c r="A54" s="17">
        <v>37</v>
      </c>
      <c r="B54" s="34">
        <f>IF(N(C54)=0,"",IF(ISNUMBER(MATCH(C54,C$26:C53,)),INDEX(B$26:B53,MATCH(C54,C$26:C53,)),MAX(B$26:B53)+1))</f>
        <v>29</v>
      </c>
      <c r="C54" s="55">
        <v>1006</v>
      </c>
      <c r="D54" s="7">
        <v>2</v>
      </c>
      <c r="E54" s="25">
        <f t="shared" si="3"/>
        <v>2</v>
      </c>
      <c r="F54" s="25">
        <f t="shared" si="4"/>
        <v>0</v>
      </c>
      <c r="G54" s="47">
        <f t="shared" si="5"/>
        <v>1</v>
      </c>
      <c r="H54" s="52"/>
      <c r="I54" s="19"/>
      <c r="J54" s="15"/>
      <c r="K54"/>
      <c r="L54"/>
      <c r="M54"/>
      <c r="N54"/>
      <c r="O54"/>
      <c r="P54" s="15"/>
    </row>
    <row r="55" spans="1:16" x14ac:dyDescent="0.25">
      <c r="A55" s="17">
        <v>38</v>
      </c>
      <c r="B55" s="34">
        <f>IF(N(C55)=0,"",IF(ISNUMBER(MATCH(C55,C$26:C54,)),INDEX(B$26:B54,MATCH(C55,C$26:C54,)),MAX(B$26:B54)+1))</f>
        <v>30</v>
      </c>
      <c r="C55" s="55">
        <v>1016</v>
      </c>
      <c r="D55" s="7">
        <v>2</v>
      </c>
      <c r="E55" s="25">
        <f t="shared" si="3"/>
        <v>2</v>
      </c>
      <c r="F55" s="25">
        <f t="shared" si="4"/>
        <v>0</v>
      </c>
      <c r="G55" s="47">
        <f t="shared" si="5"/>
        <v>1</v>
      </c>
      <c r="H55" s="52"/>
      <c r="I55" s="19"/>
      <c r="J55" s="15"/>
      <c r="K55"/>
      <c r="L55"/>
      <c r="M55"/>
      <c r="N55"/>
      <c r="O55"/>
      <c r="P55" s="15"/>
    </row>
    <row r="56" spans="1:16" x14ac:dyDescent="0.25">
      <c r="A56" s="17">
        <v>39</v>
      </c>
      <c r="B56" s="34">
        <f>IF(N(C56)=0,"",IF(ISNUMBER(MATCH(C56,C$26:C55,)),INDEX(B$26:B55,MATCH(C56,C$26:C55,)),MAX(B$26:B55)+1))</f>
        <v>31</v>
      </c>
      <c r="C56" s="55">
        <v>976</v>
      </c>
      <c r="D56" s="7">
        <v>8</v>
      </c>
      <c r="E56" s="25">
        <f t="shared" si="3"/>
        <v>8</v>
      </c>
      <c r="F56" s="25">
        <f t="shared" si="4"/>
        <v>0</v>
      </c>
      <c r="G56" s="47">
        <f t="shared" si="5"/>
        <v>1</v>
      </c>
      <c r="H56" s="52"/>
      <c r="I56" s="19"/>
      <c r="J56" s="15"/>
      <c r="K56"/>
      <c r="L56"/>
      <c r="M56"/>
      <c r="N56"/>
      <c r="O56"/>
      <c r="P56" s="15"/>
    </row>
    <row r="57" spans="1:16" x14ac:dyDescent="0.25">
      <c r="A57" s="17">
        <v>40</v>
      </c>
      <c r="B57" s="34">
        <f>IF(N(C57)=0,"",IF(ISNUMBER(MATCH(C57,C$26:C56,)),INDEX(B$26:B56,MATCH(C57,C$26:C56,)),MAX(B$26:B56)+1))</f>
        <v>32</v>
      </c>
      <c r="C57" s="55">
        <v>836</v>
      </c>
      <c r="D57" s="7">
        <v>6</v>
      </c>
      <c r="E57" s="25">
        <f t="shared" si="3"/>
        <v>6</v>
      </c>
      <c r="F57" s="25">
        <f t="shared" si="4"/>
        <v>0</v>
      </c>
      <c r="G57" s="47">
        <f t="shared" si="5"/>
        <v>1</v>
      </c>
      <c r="H57" s="52"/>
      <c r="I57" s="19"/>
      <c r="J57" s="15"/>
      <c r="K57"/>
      <c r="L57"/>
      <c r="M57"/>
      <c r="N57"/>
      <c r="O57"/>
      <c r="P57" s="15"/>
    </row>
    <row r="58" spans="1:16" x14ac:dyDescent="0.25">
      <c r="A58" s="17">
        <v>41</v>
      </c>
      <c r="B58" s="34">
        <f>IF(N(C58)=0,"",IF(ISNUMBER(MATCH(C58,C$26:C57,)),INDEX(B$26:B57,MATCH(C58,C$26:C57,)),MAX(B$26:B57)+1))</f>
        <v>33</v>
      </c>
      <c r="C58" s="55">
        <v>846</v>
      </c>
      <c r="D58" s="7">
        <v>2</v>
      </c>
      <c r="E58" s="25">
        <f t="shared" si="3"/>
        <v>2</v>
      </c>
      <c r="F58" s="25">
        <f t="shared" si="4"/>
        <v>0</v>
      </c>
      <c r="G58" s="47">
        <f t="shared" si="5"/>
        <v>1</v>
      </c>
      <c r="H58" s="52"/>
      <c r="I58" s="19"/>
      <c r="J58" s="15"/>
      <c r="K58"/>
      <c r="L58"/>
      <c r="M58"/>
      <c r="N58"/>
      <c r="O58"/>
      <c r="P58" s="15"/>
    </row>
    <row r="59" spans="1:16" x14ac:dyDescent="0.25">
      <c r="A59" s="17">
        <v>42</v>
      </c>
      <c r="B59" s="34">
        <f>IF(N(C59)=0,"",IF(ISNUMBER(MATCH(C59,C$26:C58,)),INDEX(B$26:B58,MATCH(C59,C$26:C58,)),MAX(B$26:B58)+1))</f>
        <v>34</v>
      </c>
      <c r="C59" s="55">
        <v>776</v>
      </c>
      <c r="D59" s="7">
        <v>2</v>
      </c>
      <c r="E59" s="25">
        <f t="shared" si="3"/>
        <v>2</v>
      </c>
      <c r="F59" s="25">
        <f t="shared" si="4"/>
        <v>0</v>
      </c>
      <c r="G59" s="47">
        <f t="shared" si="5"/>
        <v>1</v>
      </c>
      <c r="H59" s="52"/>
      <c r="I59" s="19"/>
      <c r="J59" s="15"/>
      <c r="K59"/>
      <c r="L59"/>
      <c r="M59"/>
      <c r="N59"/>
      <c r="O59"/>
      <c r="P59" s="15"/>
    </row>
    <row r="60" spans="1:16" x14ac:dyDescent="0.25">
      <c r="A60" s="17">
        <v>43</v>
      </c>
      <c r="B60" s="34">
        <f>IF(N(C60)=0,"",IF(ISNUMBER(MATCH(C60,C$26:C59,)),INDEX(B$26:B59,MATCH(C60,C$26:C59,)),MAX(B$26:B59)+1))</f>
        <v>35</v>
      </c>
      <c r="C60" s="55">
        <v>796</v>
      </c>
      <c r="D60" s="7">
        <v>2</v>
      </c>
      <c r="E60" s="25">
        <f t="shared" si="3"/>
        <v>2</v>
      </c>
      <c r="F60" s="25">
        <f t="shared" si="4"/>
        <v>0</v>
      </c>
      <c r="G60" s="47">
        <f t="shared" si="5"/>
        <v>1</v>
      </c>
      <c r="H60" s="52"/>
      <c r="I60" s="19"/>
      <c r="J60" s="15"/>
      <c r="K60"/>
      <c r="L60"/>
      <c r="M60"/>
      <c r="N60"/>
      <c r="O60"/>
      <c r="P60" s="15"/>
    </row>
    <row r="61" spans="1:16" x14ac:dyDescent="0.25">
      <c r="A61" s="17">
        <v>44</v>
      </c>
      <c r="B61" s="34">
        <f>IF(N(C61)=0,"",IF(ISNUMBER(MATCH(C61,C$26:C60,)),INDEX(B$26:B60,MATCH(C61,C$26:C60,)),MAX(B$26:B60)+1))</f>
        <v>36</v>
      </c>
      <c r="C61" s="55">
        <v>806</v>
      </c>
      <c r="D61" s="7">
        <v>2</v>
      </c>
      <c r="E61" s="25">
        <f t="shared" si="3"/>
        <v>2</v>
      </c>
      <c r="F61" s="25">
        <f t="shared" si="4"/>
        <v>0</v>
      </c>
      <c r="G61" s="47">
        <f t="shared" si="5"/>
        <v>1</v>
      </c>
      <c r="H61" s="52"/>
      <c r="I61" s="19"/>
      <c r="J61" s="15"/>
      <c r="K61"/>
      <c r="L61"/>
      <c r="M61"/>
      <c r="N61"/>
      <c r="O61"/>
      <c r="P61" s="15"/>
    </row>
    <row r="62" spans="1:16" x14ac:dyDescent="0.25">
      <c r="A62" s="17">
        <v>45</v>
      </c>
      <c r="B62" s="34">
        <f>IF(N(C62)=0,"",IF(ISNUMBER(MATCH(C62,C$26:C61,)),INDEX(B$26:B61,MATCH(C62,C$26:C61,)),MAX(B$26:B61)+1))</f>
        <v>37</v>
      </c>
      <c r="C62" s="55">
        <v>746</v>
      </c>
      <c r="D62" s="7">
        <v>2</v>
      </c>
      <c r="E62" s="25">
        <f t="shared" si="3"/>
        <v>2</v>
      </c>
      <c r="F62" s="25">
        <f t="shared" si="4"/>
        <v>0</v>
      </c>
      <c r="G62" s="47">
        <f t="shared" si="5"/>
        <v>1</v>
      </c>
      <c r="H62" s="52"/>
      <c r="I62" s="19"/>
      <c r="J62" s="15"/>
      <c r="K62"/>
      <c r="L62"/>
      <c r="M62"/>
      <c r="N62"/>
      <c r="O62"/>
      <c r="P62" s="15"/>
    </row>
    <row r="63" spans="1:16" x14ac:dyDescent="0.25">
      <c r="A63" s="17">
        <v>46</v>
      </c>
      <c r="B63" s="34">
        <f>IF(N(C63)=0,"",IF(ISNUMBER(MATCH(C63,C$26:C62,)),INDEX(B$26:B62,MATCH(C63,C$26:C62,)),MAX(B$26:B62)+1))</f>
        <v>38</v>
      </c>
      <c r="C63" s="55">
        <v>756</v>
      </c>
      <c r="D63" s="7">
        <v>4</v>
      </c>
      <c r="E63" s="25">
        <f t="shared" si="3"/>
        <v>4</v>
      </c>
      <c r="F63" s="25">
        <f t="shared" si="4"/>
        <v>0</v>
      </c>
      <c r="G63" s="47">
        <f t="shared" si="5"/>
        <v>1</v>
      </c>
      <c r="H63" s="52"/>
      <c r="I63" s="19"/>
      <c r="J63" s="15"/>
      <c r="K63"/>
      <c r="L63"/>
      <c r="M63"/>
      <c r="N63"/>
      <c r="O63"/>
      <c r="P63" s="15"/>
    </row>
    <row r="64" spans="1:16" x14ac:dyDescent="0.25">
      <c r="A64" s="17">
        <v>47</v>
      </c>
      <c r="B64" s="34">
        <f>IF(N(C64)=0,"",IF(ISNUMBER(MATCH(C64,C$26:C63,)),INDEX(B$26:B63,MATCH(C64,C$26:C63,)),MAX(B$26:B63)+1))</f>
        <v>39</v>
      </c>
      <c r="C64" s="55">
        <v>456</v>
      </c>
      <c r="D64" s="7">
        <v>2</v>
      </c>
      <c r="E64" s="25">
        <f t="shared" si="3"/>
        <v>2</v>
      </c>
      <c r="F64" s="25">
        <f t="shared" si="4"/>
        <v>0</v>
      </c>
      <c r="G64" s="47">
        <f t="shared" si="5"/>
        <v>1</v>
      </c>
      <c r="H64" s="52"/>
      <c r="I64" s="19"/>
      <c r="J64" s="15"/>
      <c r="K64"/>
      <c r="L64"/>
      <c r="M64"/>
      <c r="N64"/>
      <c r="O64"/>
      <c r="P64" s="15"/>
    </row>
    <row r="65" spans="1:16" x14ac:dyDescent="0.25">
      <c r="A65" s="17">
        <v>48</v>
      </c>
      <c r="B65" s="34">
        <f>IF(N(C65)=0,"",IF(ISNUMBER(MATCH(C65,C$26:C64,)),INDEX(B$26:B64,MATCH(C65,C$26:C64,)),MAX(B$26:B64)+1))</f>
        <v>40</v>
      </c>
      <c r="C65" s="55">
        <v>556</v>
      </c>
      <c r="D65" s="7">
        <v>2</v>
      </c>
      <c r="E65" s="25">
        <f t="shared" si="3"/>
        <v>2</v>
      </c>
      <c r="F65" s="25">
        <f t="shared" si="4"/>
        <v>0</v>
      </c>
      <c r="G65" s="47">
        <f t="shared" si="5"/>
        <v>1</v>
      </c>
      <c r="H65" s="52"/>
      <c r="I65" s="19"/>
      <c r="J65" s="15"/>
      <c r="K65"/>
      <c r="L65"/>
      <c r="M65"/>
      <c r="N65"/>
      <c r="O65"/>
      <c r="P65" s="15"/>
    </row>
    <row r="66" spans="1:16" x14ac:dyDescent="0.25">
      <c r="A66" s="17">
        <v>49</v>
      </c>
      <c r="B66" s="34">
        <f>IF(N(C66)=0,"",IF(ISNUMBER(MATCH(C66,C$26:C65,)),INDEX(B$26:B65,MATCH(C66,C$26:C65,)),MAX(B$26:B65)+1))</f>
        <v>41</v>
      </c>
      <c r="C66" s="55">
        <v>606</v>
      </c>
      <c r="D66" s="7">
        <v>2</v>
      </c>
      <c r="E66" s="25">
        <f t="shared" si="3"/>
        <v>2</v>
      </c>
      <c r="F66" s="25">
        <f t="shared" si="4"/>
        <v>0</v>
      </c>
      <c r="G66" s="47">
        <f t="shared" si="5"/>
        <v>1</v>
      </c>
      <c r="H66" s="52"/>
      <c r="I66" s="19"/>
      <c r="J66" s="15"/>
      <c r="K66"/>
      <c r="L66"/>
      <c r="M66"/>
      <c r="N66"/>
      <c r="O66"/>
      <c r="P66" s="15"/>
    </row>
    <row r="67" spans="1:16" x14ac:dyDescent="0.25">
      <c r="A67" s="17">
        <v>50</v>
      </c>
      <c r="B67" s="34" t="str">
        <f>IF(N(C67)=0,"",IF(ISNUMBER(MATCH(C67,C$26:C66,)),INDEX(B$26:B66,MATCH(C67,C$26:C66,)),MAX(B$26:B66)+1))</f>
        <v/>
      </c>
      <c r="C67" s="55"/>
      <c r="D67" s="7"/>
      <c r="E67" s="25" t="str">
        <f t="shared" si="3"/>
        <v/>
      </c>
      <c r="F67" s="25" t="str">
        <f t="shared" si="4"/>
        <v/>
      </c>
      <c r="G67" s="47">
        <f t="shared" si="5"/>
        <v>0</v>
      </c>
      <c r="H67" s="52"/>
      <c r="I67" s="19"/>
      <c r="J67" s="15"/>
      <c r="K67"/>
      <c r="L67"/>
      <c r="M67"/>
      <c r="N67"/>
      <c r="O67"/>
      <c r="P67" s="15"/>
    </row>
    <row r="68" spans="1:16" x14ac:dyDescent="0.25">
      <c r="A68" s="17">
        <v>51</v>
      </c>
      <c r="B68" s="34" t="str">
        <f>IF(N(C68)=0,"",IF(ISNUMBER(MATCH(C68,C$26:C67,)),INDEX(B$26:B67,MATCH(C68,C$26:C67,)),MAX(B$26:B67)+1))</f>
        <v/>
      </c>
      <c r="C68" s="55"/>
      <c r="D68" s="7"/>
      <c r="E68" s="25" t="str">
        <f t="shared" si="3"/>
        <v/>
      </c>
      <c r="F68" s="25" t="str">
        <f t="shared" si="4"/>
        <v/>
      </c>
      <c r="G68" s="47">
        <f t="shared" si="5"/>
        <v>0</v>
      </c>
      <c r="H68" s="52"/>
      <c r="I68" s="19"/>
      <c r="J68" s="15"/>
      <c r="K68"/>
      <c r="L68"/>
      <c r="M68"/>
      <c r="N68"/>
      <c r="O68"/>
      <c r="P68" s="15"/>
    </row>
    <row r="69" spans="1:16" x14ac:dyDescent="0.25">
      <c r="A69" s="17">
        <v>52</v>
      </c>
      <c r="B69" s="34" t="str">
        <f>IF(N(C69)=0,"",IF(ISNUMBER(MATCH(C69,C$26:C68,)),INDEX(B$26:B68,MATCH(C69,C$26:C68,)),MAX(B$26:B68)+1))</f>
        <v/>
      </c>
      <c r="C69" s="55"/>
      <c r="D69" s="7"/>
      <c r="E69" s="25" t="str">
        <f t="shared" si="3"/>
        <v/>
      </c>
      <c r="F69" s="25" t="str">
        <f t="shared" si="4"/>
        <v/>
      </c>
      <c r="G69" s="47">
        <f t="shared" si="5"/>
        <v>0</v>
      </c>
      <c r="H69" s="52"/>
      <c r="I69" s="19"/>
      <c r="J69" s="15"/>
      <c r="K69"/>
      <c r="L69"/>
      <c r="M69"/>
      <c r="N69"/>
      <c r="O69"/>
      <c r="P69" s="15"/>
    </row>
    <row r="70" spans="1:16" x14ac:dyDescent="0.25">
      <c r="A70" s="17">
        <v>53</v>
      </c>
      <c r="B70" s="34" t="str">
        <f>IF(N(C70)=0,"",IF(ISNUMBER(MATCH(C70,C$26:C69,)),INDEX(B$26:B69,MATCH(C70,C$26:C69,)),MAX(B$26:B69)+1))</f>
        <v/>
      </c>
      <c r="C70" s="55"/>
      <c r="D70" s="7"/>
      <c r="E70" s="25" t="str">
        <f t="shared" si="3"/>
        <v/>
      </c>
      <c r="F70" s="25" t="str">
        <f t="shared" si="4"/>
        <v/>
      </c>
      <c r="G70" s="47">
        <f t="shared" si="5"/>
        <v>0</v>
      </c>
      <c r="H70" s="52"/>
      <c r="I70" s="19"/>
      <c r="J70" s="15"/>
      <c r="K70"/>
      <c r="L70"/>
      <c r="M70"/>
      <c r="N70"/>
      <c r="O70"/>
      <c r="P70" s="15"/>
    </row>
    <row r="71" spans="1:16" x14ac:dyDescent="0.25">
      <c r="A71" s="17">
        <v>54</v>
      </c>
      <c r="B71" s="34" t="str">
        <f>IF(N(C71)=0,"",IF(ISNUMBER(MATCH(C71,C$26:C70,)),INDEX(B$26:B70,MATCH(C71,C$26:C70,)),MAX(B$26:B70)+1))</f>
        <v/>
      </c>
      <c r="C71" s="55"/>
      <c r="D71" s="7"/>
      <c r="E71" s="25" t="str">
        <f t="shared" si="3"/>
        <v/>
      </c>
      <c r="F71" s="25" t="str">
        <f t="shared" si="4"/>
        <v/>
      </c>
      <c r="G71" s="47">
        <f t="shared" si="5"/>
        <v>0</v>
      </c>
      <c r="H71" s="52"/>
      <c r="I71" s="19"/>
      <c r="J71" s="15"/>
      <c r="K71"/>
      <c r="L71"/>
      <c r="M71"/>
      <c r="N71"/>
      <c r="O71"/>
      <c r="P71" s="15"/>
    </row>
    <row r="72" spans="1:16" x14ac:dyDescent="0.25">
      <c r="A72" s="17">
        <v>55</v>
      </c>
      <c r="B72" s="34" t="str">
        <f>IF(N(C72)=0,"",IF(ISNUMBER(MATCH(C72,C$26:C71,)),INDEX(B$26:B71,MATCH(C72,C$26:C71,)),MAX(B$26:B71)+1))</f>
        <v/>
      </c>
      <c r="C72" s="55"/>
      <c r="D72" s="7"/>
      <c r="E72" s="25" t="str">
        <f t="shared" si="3"/>
        <v/>
      </c>
      <c r="F72" s="25" t="str">
        <f t="shared" si="4"/>
        <v/>
      </c>
      <c r="G72" s="47">
        <f t="shared" si="5"/>
        <v>0</v>
      </c>
      <c r="H72" s="52"/>
      <c r="I72" s="19"/>
      <c r="J72" s="15"/>
      <c r="K72"/>
      <c r="L72"/>
      <c r="M72"/>
      <c r="N72"/>
      <c r="O72"/>
      <c r="P72" s="15"/>
    </row>
    <row r="73" spans="1:16" x14ac:dyDescent="0.25">
      <c r="A73" s="17">
        <v>56</v>
      </c>
      <c r="B73" s="34" t="str">
        <f>IF(N(C73)=0,"",IF(ISNUMBER(MATCH(C73,C$26:C72,)),INDEX(B$26:B72,MATCH(C73,C$26:C72,)),MAX(B$26:B72)+1))</f>
        <v/>
      </c>
      <c r="C73" s="55"/>
      <c r="D73" s="7"/>
      <c r="E73" s="25" t="str">
        <f t="shared" si="3"/>
        <v/>
      </c>
      <c r="F73" s="25" t="str">
        <f t="shared" si="4"/>
        <v/>
      </c>
      <c r="G73" s="47">
        <f t="shared" si="5"/>
        <v>0</v>
      </c>
      <c r="H73" s="52"/>
      <c r="I73" s="19"/>
      <c r="J73" s="15"/>
      <c r="K73"/>
      <c r="L73"/>
      <c r="M73"/>
      <c r="N73"/>
      <c r="O73"/>
      <c r="P73" s="15"/>
    </row>
    <row r="74" spans="1:16" x14ac:dyDescent="0.25">
      <c r="A74" s="17">
        <v>57</v>
      </c>
      <c r="B74" s="34" t="str">
        <f>IF(N(C74)=0,"",IF(ISNUMBER(MATCH(C74,C$26:C73,)),INDEX(B$26:B73,MATCH(C74,C$26:C73,)),MAX(B$26:B73)+1))</f>
        <v/>
      </c>
      <c r="C74" s="55"/>
      <c r="D74" s="7"/>
      <c r="E74" s="25" t="str">
        <f t="shared" si="3"/>
        <v/>
      </c>
      <c r="F74" s="25" t="str">
        <f t="shared" si="4"/>
        <v/>
      </c>
      <c r="G74" s="47">
        <f t="shared" si="5"/>
        <v>0</v>
      </c>
      <c r="H74" s="52"/>
      <c r="I74" s="19"/>
      <c r="J74" s="15"/>
      <c r="K74"/>
      <c r="L74"/>
      <c r="M74"/>
      <c r="N74"/>
      <c r="O74"/>
      <c r="P74" s="15"/>
    </row>
    <row r="75" spans="1:16" x14ac:dyDescent="0.25">
      <c r="A75" s="17">
        <v>58</v>
      </c>
      <c r="B75" s="34" t="str">
        <f>IF(N(C75)=0,"",IF(ISNUMBER(MATCH(C75,C$26:C74,)),INDEX(B$26:B74,MATCH(C75,C$26:C74,)),MAX(B$26:B74)+1))</f>
        <v/>
      </c>
      <c r="C75" s="55"/>
      <c r="D75" s="7"/>
      <c r="E75" s="25" t="str">
        <f t="shared" si="3"/>
        <v/>
      </c>
      <c r="F75" s="25" t="str">
        <f t="shared" si="4"/>
        <v/>
      </c>
      <c r="G75" s="47">
        <f t="shared" si="5"/>
        <v>0</v>
      </c>
      <c r="H75" s="52"/>
      <c r="I75" s="19"/>
      <c r="J75" s="15"/>
      <c r="K75"/>
      <c r="L75"/>
      <c r="M75"/>
      <c r="N75"/>
      <c r="O75"/>
      <c r="P75" s="15"/>
    </row>
    <row r="76" spans="1:16" x14ac:dyDescent="0.25">
      <c r="A76" s="17">
        <v>59</v>
      </c>
      <c r="B76" s="34" t="str">
        <f>IF(N(C76)=0,"",IF(ISNUMBER(MATCH(C76,C$26:C75,)),INDEX(B$26:B75,MATCH(C76,C$26:C75,)),MAX(B$26:B75)+1))</f>
        <v/>
      </c>
      <c r="C76" s="55"/>
      <c r="D76" s="7"/>
      <c r="E76" s="25" t="str">
        <f t="shared" si="3"/>
        <v/>
      </c>
      <c r="F76" s="25" t="str">
        <f t="shared" si="4"/>
        <v/>
      </c>
      <c r="G76" s="47">
        <f t="shared" si="5"/>
        <v>0</v>
      </c>
      <c r="H76" s="52"/>
      <c r="I76" s="19"/>
      <c r="J76" s="15"/>
      <c r="K76"/>
      <c r="L76"/>
      <c r="M76"/>
      <c r="N76"/>
      <c r="O76"/>
      <c r="P76" s="15"/>
    </row>
    <row r="77" spans="1:16" x14ac:dyDescent="0.25">
      <c r="A77" s="17">
        <v>60</v>
      </c>
      <c r="B77" s="34" t="str">
        <f>IF(N(C77)=0,"",IF(ISNUMBER(MATCH(C77,C$26:C76,)),INDEX(B$26:B76,MATCH(C77,C$26:C76,)),MAX(B$26:B76)+1))</f>
        <v/>
      </c>
      <c r="C77" s="55"/>
      <c r="D77" s="7"/>
      <c r="E77" s="25" t="str">
        <f t="shared" si="3"/>
        <v/>
      </c>
      <c r="F77" s="25" t="str">
        <f t="shared" si="4"/>
        <v/>
      </c>
      <c r="G77" s="47">
        <f t="shared" si="5"/>
        <v>0</v>
      </c>
      <c r="H77" s="52"/>
      <c r="I77" s="19"/>
      <c r="J77" s="15"/>
      <c r="K77"/>
      <c r="L77"/>
      <c r="M77"/>
      <c r="N77"/>
      <c r="O77"/>
      <c r="P77" s="15"/>
    </row>
    <row r="78" spans="1:16" x14ac:dyDescent="0.25">
      <c r="A78" s="17">
        <v>61</v>
      </c>
      <c r="B78" s="34" t="str">
        <f>IF(N(C78)=0,"",IF(ISNUMBER(MATCH(C78,C$26:C77,)),INDEX(B$26:B77,MATCH(C78,C$26:C77,)),MAX(B$26:B77)+1))</f>
        <v/>
      </c>
      <c r="C78" s="55"/>
      <c r="D78" s="7"/>
      <c r="E78" s="25" t="str">
        <f t="shared" si="3"/>
        <v/>
      </c>
      <c r="F78" s="25" t="str">
        <f t="shared" si="4"/>
        <v/>
      </c>
      <c r="G78" s="47">
        <f t="shared" si="5"/>
        <v>0</v>
      </c>
      <c r="H78" s="52"/>
      <c r="I78" s="19"/>
      <c r="J78" s="15"/>
      <c r="K78"/>
      <c r="L78"/>
      <c r="M78"/>
      <c r="N78"/>
      <c r="O78"/>
      <c r="P78" s="15"/>
    </row>
    <row r="79" spans="1:16" x14ac:dyDescent="0.25">
      <c r="A79" s="17">
        <v>62</v>
      </c>
      <c r="B79" s="34" t="str">
        <f>IF(N(C79)=0,"",IF(ISNUMBER(MATCH(C79,C$26:C78,)),INDEX(B$26:B78,MATCH(C79,C$26:C78,)),MAX(B$26:B78)+1))</f>
        <v/>
      </c>
      <c r="C79" s="55"/>
      <c r="D79" s="7"/>
      <c r="E79" s="25" t="str">
        <f t="shared" si="3"/>
        <v/>
      </c>
      <c r="F79" s="25" t="str">
        <f t="shared" si="4"/>
        <v/>
      </c>
      <c r="G79" s="47">
        <f t="shared" si="5"/>
        <v>0</v>
      </c>
      <c r="H79" s="52"/>
      <c r="I79" s="19"/>
      <c r="J79" s="15"/>
      <c r="K79"/>
      <c r="L79"/>
      <c r="M79"/>
      <c r="N79"/>
      <c r="O79"/>
      <c r="P79" s="15"/>
    </row>
    <row r="80" spans="1:16" x14ac:dyDescent="0.25">
      <c r="A80" s="17">
        <v>63</v>
      </c>
      <c r="B80" s="34" t="str">
        <f>IF(N(C80)=0,"",IF(ISNUMBER(MATCH(C80,C$26:C79,)),INDEX(B$26:B79,MATCH(C80,C$26:C79,)),MAX(B$26:B79)+1))</f>
        <v/>
      </c>
      <c r="C80" s="55"/>
      <c r="D80" s="7"/>
      <c r="E80" s="25" t="str">
        <f t="shared" si="3"/>
        <v/>
      </c>
      <c r="F80" s="25" t="str">
        <f t="shared" si="4"/>
        <v/>
      </c>
      <c r="G80" s="47">
        <f t="shared" si="5"/>
        <v>0</v>
      </c>
      <c r="H80" s="52"/>
      <c r="I80" s="19"/>
      <c r="J80" s="15"/>
      <c r="K80"/>
      <c r="L80"/>
      <c r="M80"/>
      <c r="N80"/>
      <c r="O80"/>
      <c r="P80" s="15"/>
    </row>
    <row r="81" spans="1:16" x14ac:dyDescent="0.25">
      <c r="A81" s="17">
        <v>64</v>
      </c>
      <c r="B81" s="34" t="str">
        <f>IF(N(C81)=0,"",IF(ISNUMBER(MATCH(C81,C$26:C80,)),INDEX(B$26:B80,MATCH(C81,C$26:C80,)),MAX(B$26:B80)+1))</f>
        <v/>
      </c>
      <c r="C81" s="55"/>
      <c r="D81" s="7"/>
      <c r="E81" s="25" t="str">
        <f t="shared" si="3"/>
        <v/>
      </c>
      <c r="F81" s="25" t="str">
        <f t="shared" si="4"/>
        <v/>
      </c>
      <c r="G81" s="47">
        <f t="shared" si="5"/>
        <v>0</v>
      </c>
      <c r="H81" s="52"/>
      <c r="I81" s="19"/>
      <c r="J81" s="15"/>
      <c r="K81"/>
      <c r="L81"/>
      <c r="M81"/>
      <c r="N81"/>
      <c r="O81"/>
      <c r="P81" s="15"/>
    </row>
    <row r="82" spans="1:16" x14ac:dyDescent="0.25">
      <c r="A82" s="17">
        <v>65</v>
      </c>
      <c r="B82" s="34" t="str">
        <f>IF(N(C82)=0,"",IF(ISNUMBER(MATCH(C82,C$26:C81,)),INDEX(B$26:B81,MATCH(C82,C$26:C81,)),MAX(B$26:B81)+1))</f>
        <v/>
      </c>
      <c r="C82" s="55"/>
      <c r="D82" s="7"/>
      <c r="E82" s="25" t="str">
        <f t="shared" si="3"/>
        <v/>
      </c>
      <c r="F82" s="25" t="str">
        <f t="shared" si="4"/>
        <v/>
      </c>
      <c r="G82" s="47">
        <f t="shared" si="5"/>
        <v>0</v>
      </c>
      <c r="H82" s="52"/>
      <c r="I82" s="19"/>
      <c r="J82" s="15"/>
      <c r="K82"/>
      <c r="L82"/>
      <c r="M82"/>
      <c r="N82"/>
      <c r="O82"/>
      <c r="P82" s="15"/>
    </row>
    <row r="83" spans="1:16" x14ac:dyDescent="0.25">
      <c r="A83" s="17">
        <v>66</v>
      </c>
      <c r="B83" s="34" t="str">
        <f>IF(N(C83)=0,"",IF(ISNUMBER(MATCH(C83,C$26:C82,)),INDEX(B$26:B82,MATCH(C83,C$26:C82,)),MAX(B$26:B82)+1))</f>
        <v/>
      </c>
      <c r="C83" s="55"/>
      <c r="D83" s="7"/>
      <c r="E83" s="25" t="str">
        <f t="shared" si="3"/>
        <v/>
      </c>
      <c r="F83" s="25" t="str">
        <f t="shared" si="4"/>
        <v/>
      </c>
      <c r="G83" s="47">
        <f t="shared" si="5"/>
        <v>0</v>
      </c>
      <c r="H83" s="52"/>
      <c r="I83" s="19"/>
      <c r="J83" s="15"/>
      <c r="K83"/>
      <c r="L83"/>
      <c r="M83"/>
      <c r="N83"/>
      <c r="O83"/>
      <c r="P83" s="15"/>
    </row>
    <row r="84" spans="1:16" x14ac:dyDescent="0.25">
      <c r="A84" s="17">
        <v>67</v>
      </c>
      <c r="B84" s="34" t="str">
        <f>IF(N(C84)=0,"",IF(ISNUMBER(MATCH(C84,C$26:C83,)),INDEX(B$26:B83,MATCH(C84,C$26:C83,)),MAX(B$26:B83)+1))</f>
        <v/>
      </c>
      <c r="C84" s="55"/>
      <c r="D84" s="7"/>
      <c r="E84" s="25" t="str">
        <f t="shared" si="3"/>
        <v/>
      </c>
      <c r="F84" s="25" t="str">
        <f t="shared" si="4"/>
        <v/>
      </c>
      <c r="G84" s="47">
        <f t="shared" si="5"/>
        <v>0</v>
      </c>
      <c r="H84" s="52"/>
      <c r="I84" s="19"/>
      <c r="J84" s="15"/>
      <c r="K84"/>
      <c r="L84"/>
      <c r="M84"/>
      <c r="N84"/>
      <c r="O84"/>
      <c r="P84" s="15"/>
    </row>
    <row r="85" spans="1:16" x14ac:dyDescent="0.25">
      <c r="A85" s="17">
        <v>68</v>
      </c>
      <c r="B85" s="34" t="str">
        <f>IF(N(C85)=0,"",IF(ISNUMBER(MATCH(C85,C$26:C84,)),INDEX(B$26:B84,MATCH(C85,C$26:C84,)),MAX(B$26:B84)+1))</f>
        <v/>
      </c>
      <c r="C85" s="55"/>
      <c r="D85" s="7"/>
      <c r="E85" s="25" t="str">
        <f t="shared" si="3"/>
        <v/>
      </c>
      <c r="F85" s="25" t="str">
        <f t="shared" si="4"/>
        <v/>
      </c>
      <c r="G85" s="47">
        <f t="shared" si="5"/>
        <v>0</v>
      </c>
      <c r="H85" s="52"/>
      <c r="I85" s="19"/>
      <c r="J85" s="15"/>
      <c r="K85"/>
      <c r="L85"/>
      <c r="M85"/>
      <c r="N85"/>
      <c r="O85"/>
    </row>
    <row r="86" spans="1:16" x14ac:dyDescent="0.25">
      <c r="A86" s="17">
        <v>69</v>
      </c>
      <c r="B86" s="34" t="str">
        <f>IF(N(C86)=0,"",IF(ISNUMBER(MATCH(C86,C$26:C85,)),INDEX(B$26:B85,MATCH(C86,C$26:C85,)),MAX(B$26:B85)+1))</f>
        <v/>
      </c>
      <c r="C86" s="55"/>
      <c r="D86" s="7"/>
      <c r="E86" s="25" t="str">
        <f t="shared" si="3"/>
        <v/>
      </c>
      <c r="F86" s="25" t="str">
        <f t="shared" si="4"/>
        <v/>
      </c>
      <c r="G86" s="47">
        <f t="shared" si="5"/>
        <v>0</v>
      </c>
      <c r="H86" s="52"/>
      <c r="I86" s="19"/>
      <c r="J86" s="15"/>
      <c r="K86"/>
      <c r="L86"/>
      <c r="M86"/>
      <c r="N86"/>
      <c r="O86"/>
    </row>
    <row r="87" spans="1:16" x14ac:dyDescent="0.25">
      <c r="A87" s="17">
        <v>70</v>
      </c>
      <c r="B87" s="34" t="str">
        <f>IF(N(C87)=0,"",IF(ISNUMBER(MATCH(C87,C$26:C86,)),INDEX(B$26:B86,MATCH(C87,C$26:C86,)),MAX(B$26:B86)+1))</f>
        <v/>
      </c>
      <c r="C87" s="55"/>
      <c r="D87" s="7"/>
      <c r="E87" s="25" t="str">
        <f t="shared" si="3"/>
        <v/>
      </c>
      <c r="F87" s="25" t="str">
        <f t="shared" si="4"/>
        <v/>
      </c>
      <c r="G87" s="47">
        <f t="shared" si="5"/>
        <v>0</v>
      </c>
      <c r="H87" s="52"/>
      <c r="I87" s="19"/>
      <c r="J87" s="15"/>
      <c r="K87"/>
      <c r="L87"/>
      <c r="M87"/>
      <c r="N87"/>
      <c r="O87"/>
    </row>
    <row r="88" spans="1:16" x14ac:dyDescent="0.25">
      <c r="A88" s="17">
        <v>71</v>
      </c>
      <c r="B88" s="34" t="str">
        <f>IF(N(C88)=0,"",IF(ISNUMBER(MATCH(C88,C$26:C87,)),INDEX(B$26:B87,MATCH(C88,C$26:C87,)),MAX(B$26:B87)+1))</f>
        <v/>
      </c>
      <c r="C88" s="55"/>
      <c r="D88" s="7"/>
      <c r="E88" s="25" t="str">
        <f t="shared" si="3"/>
        <v/>
      </c>
      <c r="F88" s="25" t="str">
        <f t="shared" si="4"/>
        <v/>
      </c>
      <c r="G88" s="47">
        <f t="shared" si="5"/>
        <v>0</v>
      </c>
      <c r="H88" s="52"/>
      <c r="I88" s="19"/>
      <c r="J88" s="15"/>
      <c r="K88"/>
      <c r="L88"/>
      <c r="M88"/>
      <c r="N88"/>
      <c r="O88"/>
    </row>
    <row r="89" spans="1:16" x14ac:dyDescent="0.25">
      <c r="A89" s="17">
        <v>72</v>
      </c>
      <c r="B89" s="34" t="str">
        <f>IF(N(C89)=0,"",IF(ISNUMBER(MATCH(C89,C$26:C88,)),INDEX(B$26:B88,MATCH(C89,C$26:C88,)),MAX(B$26:B88)+1))</f>
        <v/>
      </c>
      <c r="C89" s="55"/>
      <c r="D89" s="7"/>
      <c r="E89" s="25" t="str">
        <f t="shared" si="3"/>
        <v/>
      </c>
      <c r="F89" s="25" t="str">
        <f t="shared" si="4"/>
        <v/>
      </c>
      <c r="G89" s="47">
        <f t="shared" si="5"/>
        <v>0</v>
      </c>
      <c r="H89" s="52"/>
      <c r="I89" s="19"/>
      <c r="J89" s="15"/>
      <c r="K89"/>
      <c r="L89"/>
      <c r="M89"/>
      <c r="N89"/>
      <c r="O89"/>
    </row>
    <row r="90" spans="1:16" x14ac:dyDescent="0.25">
      <c r="A90" s="17">
        <v>73</v>
      </c>
      <c r="B90" s="34" t="str">
        <f>IF(N(C90)=0,"",IF(ISNUMBER(MATCH(C90,C$26:C89,)),INDEX(B$26:B89,MATCH(C90,C$26:C89,)),MAX(B$26:B89)+1))</f>
        <v/>
      </c>
      <c r="C90" s="55"/>
      <c r="D90" s="7"/>
      <c r="E90" s="25" t="str">
        <f t="shared" ref="E90:E115" si="6">IF($K$3=0,0,IF(ISNA(VLOOKUP(C90,H$26:I$115,2,))*C90,D90,IF(C90="","",IF(D90="",TRUNC($C$3/C90)-VLOOKUP(C90,H$26:I$115,2,),D90-VLOOKUP(C90,H$26:I$115,2,)))))</f>
        <v/>
      </c>
      <c r="F90" s="25" t="str">
        <f t="shared" ref="F90:F115" si="7">IF($K$3=0,"",IF(AND(C90&lt;&gt;"",D90&lt;&gt;""),D90-E90,IF(D90="","",TRUNC($C$3/C90)-VLOOKUP(C90,H$26:I$115,2,))))</f>
        <v/>
      </c>
      <c r="G90" s="47">
        <f t="shared" si="5"/>
        <v>0</v>
      </c>
      <c r="H90" s="52"/>
      <c r="I90" s="19"/>
      <c r="J90" s="15"/>
      <c r="K90"/>
      <c r="L90"/>
      <c r="M90"/>
      <c r="N90"/>
      <c r="O90"/>
    </row>
    <row r="91" spans="1:16" x14ac:dyDescent="0.25">
      <c r="A91" s="17">
        <v>74</v>
      </c>
      <c r="B91" s="34" t="str">
        <f>IF(N(C91)=0,"",IF(ISNUMBER(MATCH(C91,C$26:C90,)),INDEX(B$26:B90,MATCH(C91,C$26:C90,)),MAX(B$26:B90)+1))</f>
        <v/>
      </c>
      <c r="C91" s="55"/>
      <c r="D91" s="7"/>
      <c r="E91" s="25" t="str">
        <f t="shared" si="6"/>
        <v/>
      </c>
      <c r="F91" s="25" t="str">
        <f t="shared" si="7"/>
        <v/>
      </c>
      <c r="G91" s="47">
        <f t="shared" ref="G91:G114" si="8">--(C91+H91+K91&gt;0)</f>
        <v>0</v>
      </c>
      <c r="H91" s="52"/>
      <c r="I91" s="19"/>
      <c r="J91" s="15"/>
      <c r="K91"/>
      <c r="L91"/>
      <c r="M91"/>
      <c r="N91"/>
      <c r="O91"/>
    </row>
    <row r="92" spans="1:16" x14ac:dyDescent="0.25">
      <c r="A92" s="17">
        <v>75</v>
      </c>
      <c r="B92" s="34" t="str">
        <f>IF(N(C92)=0,"",IF(ISNUMBER(MATCH(C92,C$26:C91,)),INDEX(B$26:B91,MATCH(C92,C$26:C91,)),MAX(B$26:B91)+1))</f>
        <v/>
      </c>
      <c r="C92" s="55"/>
      <c r="D92" s="7"/>
      <c r="E92" s="25" t="str">
        <f t="shared" si="6"/>
        <v/>
      </c>
      <c r="F92" s="25" t="str">
        <f t="shared" si="7"/>
        <v/>
      </c>
      <c r="G92" s="47">
        <f t="shared" si="8"/>
        <v>0</v>
      </c>
      <c r="H92" s="52"/>
      <c r="I92" s="19"/>
      <c r="J92" s="15"/>
      <c r="K92"/>
      <c r="L92"/>
      <c r="M92"/>
      <c r="N92"/>
      <c r="O92"/>
    </row>
    <row r="93" spans="1:16" x14ac:dyDescent="0.25">
      <c r="A93" s="17">
        <v>76</v>
      </c>
      <c r="B93" s="34" t="str">
        <f>IF(N(C93)=0,"",IF(ISNUMBER(MATCH(C93,C$26:C92,)),INDEX(B$26:B92,MATCH(C93,C$26:C92,)),MAX(B$26:B92)+1))</f>
        <v/>
      </c>
      <c r="C93" s="55"/>
      <c r="D93" s="7"/>
      <c r="E93" s="25" t="str">
        <f t="shared" si="6"/>
        <v/>
      </c>
      <c r="F93" s="25" t="str">
        <f t="shared" si="7"/>
        <v/>
      </c>
      <c r="G93" s="47">
        <f t="shared" si="8"/>
        <v>0</v>
      </c>
      <c r="H93" s="52"/>
      <c r="I93" s="19"/>
      <c r="J93" s="15"/>
      <c r="K93"/>
      <c r="L93"/>
      <c r="M93"/>
      <c r="N93"/>
      <c r="O93"/>
    </row>
    <row r="94" spans="1:16" x14ac:dyDescent="0.25">
      <c r="A94" s="17">
        <v>77</v>
      </c>
      <c r="B94" s="34" t="str">
        <f>IF(N(C94)=0,"",IF(ISNUMBER(MATCH(C94,C$26:C93,)),INDEX(B$26:B93,MATCH(C94,C$26:C93,)),MAX(B$26:B93)+1))</f>
        <v/>
      </c>
      <c r="C94" s="55"/>
      <c r="D94" s="7"/>
      <c r="E94" s="25" t="str">
        <f t="shared" si="6"/>
        <v/>
      </c>
      <c r="F94" s="25" t="str">
        <f t="shared" si="7"/>
        <v/>
      </c>
      <c r="G94" s="47">
        <f t="shared" si="8"/>
        <v>0</v>
      </c>
      <c r="H94" s="52"/>
      <c r="I94" s="19"/>
      <c r="J94" s="15"/>
      <c r="K94"/>
      <c r="L94"/>
      <c r="M94"/>
      <c r="N94"/>
      <c r="O94"/>
    </row>
    <row r="95" spans="1:16" x14ac:dyDescent="0.25">
      <c r="A95" s="17">
        <v>78</v>
      </c>
      <c r="B95" s="34" t="str">
        <f>IF(N(C95)=0,"",IF(ISNUMBER(MATCH(C95,C$26:C94,)),INDEX(B$26:B94,MATCH(C95,C$26:C94,)),MAX(B$26:B94)+1))</f>
        <v/>
      </c>
      <c r="C95" s="55"/>
      <c r="D95" s="7"/>
      <c r="E95" s="25" t="str">
        <f t="shared" si="6"/>
        <v/>
      </c>
      <c r="F95" s="25" t="str">
        <f t="shared" si="7"/>
        <v/>
      </c>
      <c r="G95" s="47">
        <f t="shared" si="8"/>
        <v>0</v>
      </c>
      <c r="H95" s="52"/>
      <c r="I95" s="19"/>
      <c r="J95" s="15"/>
      <c r="K95"/>
      <c r="L95"/>
      <c r="M95"/>
      <c r="N95"/>
      <c r="O95"/>
    </row>
    <row r="96" spans="1:16" x14ac:dyDescent="0.25">
      <c r="A96" s="17">
        <v>79</v>
      </c>
      <c r="B96" s="34" t="str">
        <f>IF(N(C96)=0,"",IF(ISNUMBER(MATCH(C96,C$26:C95,)),INDEX(B$26:B95,MATCH(C96,C$26:C95,)),MAX(B$26:B95)+1))</f>
        <v/>
      </c>
      <c r="C96" s="55"/>
      <c r="D96" s="7"/>
      <c r="E96" s="25" t="str">
        <f t="shared" si="6"/>
        <v/>
      </c>
      <c r="F96" s="25" t="str">
        <f t="shared" si="7"/>
        <v/>
      </c>
      <c r="G96" s="47">
        <f t="shared" si="8"/>
        <v>0</v>
      </c>
      <c r="H96" s="52"/>
      <c r="I96" s="19"/>
      <c r="J96" s="15"/>
      <c r="K96"/>
      <c r="L96"/>
      <c r="M96"/>
      <c r="N96"/>
      <c r="O96"/>
    </row>
    <row r="97" spans="1:15" x14ac:dyDescent="0.25">
      <c r="A97" s="17">
        <v>80</v>
      </c>
      <c r="B97" s="34" t="str">
        <f>IF(N(C97)=0,"",IF(ISNUMBER(MATCH(C97,C$26:C96,)),INDEX(B$26:B96,MATCH(C97,C$26:C96,)),MAX(B$26:B96)+1))</f>
        <v/>
      </c>
      <c r="C97" s="55"/>
      <c r="D97" s="7"/>
      <c r="E97" s="25" t="str">
        <f t="shared" si="6"/>
        <v/>
      </c>
      <c r="F97" s="25" t="str">
        <f t="shared" si="7"/>
        <v/>
      </c>
      <c r="G97" s="47">
        <f t="shared" si="8"/>
        <v>0</v>
      </c>
      <c r="H97" s="52"/>
      <c r="I97" s="19"/>
      <c r="J97" s="17" t="s">
        <v>15</v>
      </c>
      <c r="K97"/>
      <c r="L97"/>
      <c r="M97"/>
      <c r="N97"/>
      <c r="O97"/>
    </row>
    <row r="98" spans="1:15" x14ac:dyDescent="0.25">
      <c r="A98" s="17">
        <v>81</v>
      </c>
      <c r="B98" s="34" t="str">
        <f>IF(N(C98)=0,"",IF(ISNUMBER(MATCH(C98,C$26:C97,)),INDEX(B$26:B97,MATCH(C98,C$26:C97,)),MAX(B$26:B97)+1))</f>
        <v/>
      </c>
      <c r="C98" s="55"/>
      <c r="D98" s="7"/>
      <c r="E98" s="25" t="str">
        <f t="shared" si="6"/>
        <v/>
      </c>
      <c r="F98" s="25" t="str">
        <f t="shared" si="7"/>
        <v/>
      </c>
      <c r="G98" s="47">
        <f t="shared" si="8"/>
        <v>0</v>
      </c>
      <c r="H98" s="52"/>
      <c r="I98" s="19"/>
      <c r="J98" s="17" t="s">
        <v>16</v>
      </c>
      <c r="K98"/>
      <c r="L98"/>
      <c r="M98"/>
      <c r="N98"/>
      <c r="O98"/>
    </row>
    <row r="99" spans="1:15" x14ac:dyDescent="0.25">
      <c r="A99" s="17">
        <v>82</v>
      </c>
      <c r="B99" s="34" t="str">
        <f>IF(N(C99)=0,"",IF(ISNUMBER(MATCH(C99,C$26:C98,)),INDEX(B$26:B98,MATCH(C99,C$26:C98,)),MAX(B$26:B98)+1))</f>
        <v/>
      </c>
      <c r="C99" s="55"/>
      <c r="D99" s="7"/>
      <c r="E99" s="25" t="str">
        <f t="shared" si="6"/>
        <v/>
      </c>
      <c r="F99" s="25" t="str">
        <f t="shared" si="7"/>
        <v/>
      </c>
      <c r="G99" s="47">
        <f t="shared" si="8"/>
        <v>0</v>
      </c>
      <c r="H99" s="52"/>
      <c r="I99" s="19"/>
      <c r="J99" s="15"/>
      <c r="K99"/>
      <c r="L99"/>
      <c r="M99"/>
      <c r="N99"/>
      <c r="O99"/>
    </row>
    <row r="100" spans="1:15" x14ac:dyDescent="0.25">
      <c r="A100" s="17">
        <v>83</v>
      </c>
      <c r="B100" s="34" t="str">
        <f>IF(N(C100)=0,"",IF(ISNUMBER(MATCH(C100,C$26:C99,)),INDEX(B$26:B99,MATCH(C100,C$26:C99,)),MAX(B$26:B99)+1))</f>
        <v/>
      </c>
      <c r="C100" s="55"/>
      <c r="D100" s="7"/>
      <c r="E100" s="25" t="str">
        <f t="shared" si="6"/>
        <v/>
      </c>
      <c r="F100" s="25" t="str">
        <f t="shared" si="7"/>
        <v/>
      </c>
      <c r="G100" s="47">
        <f t="shared" si="8"/>
        <v>0</v>
      </c>
      <c r="H100" s="52"/>
      <c r="I100" s="19"/>
      <c r="J100" s="15"/>
      <c r="K100"/>
      <c r="L100"/>
      <c r="M100"/>
      <c r="N100"/>
      <c r="O100"/>
    </row>
    <row r="101" spans="1:15" x14ac:dyDescent="0.25">
      <c r="A101" s="17">
        <v>84</v>
      </c>
      <c r="B101" s="34" t="str">
        <f>IF(N(C101)=0,"",IF(ISNUMBER(MATCH(C101,C$26:C100,)),INDEX(B$26:B100,MATCH(C101,C$26:C100,)),MAX(B$26:B100)+1))</f>
        <v/>
      </c>
      <c r="C101" s="55"/>
      <c r="D101" s="7"/>
      <c r="E101" s="25" t="str">
        <f t="shared" si="6"/>
        <v/>
      </c>
      <c r="F101" s="25" t="str">
        <f t="shared" si="7"/>
        <v/>
      </c>
      <c r="G101" s="47">
        <f t="shared" si="8"/>
        <v>0</v>
      </c>
      <c r="H101" s="52"/>
      <c r="I101" s="19"/>
      <c r="J101" s="15"/>
      <c r="K101"/>
      <c r="L101"/>
      <c r="M101"/>
      <c r="N101"/>
      <c r="O101"/>
    </row>
    <row r="102" spans="1:15" x14ac:dyDescent="0.25">
      <c r="A102" s="17">
        <v>85</v>
      </c>
      <c r="B102" s="34" t="str">
        <f>IF(N(C102)=0,"",IF(ISNUMBER(MATCH(C102,C$26:C101,)),INDEX(B$26:B101,MATCH(C102,C$26:C101,)),MAX(B$26:B101)+1))</f>
        <v/>
      </c>
      <c r="C102" s="55"/>
      <c r="D102" s="7"/>
      <c r="E102" s="25" t="str">
        <f t="shared" si="6"/>
        <v/>
      </c>
      <c r="F102" s="25" t="str">
        <f t="shared" si="7"/>
        <v/>
      </c>
      <c r="G102" s="47">
        <f t="shared" si="8"/>
        <v>0</v>
      </c>
      <c r="H102" s="52"/>
      <c r="I102" s="19"/>
      <c r="J102" s="15"/>
      <c r="K102"/>
      <c r="L102"/>
      <c r="M102"/>
      <c r="N102"/>
      <c r="O102"/>
    </row>
    <row r="103" spans="1:15" x14ac:dyDescent="0.25">
      <c r="A103" s="17">
        <v>86</v>
      </c>
      <c r="B103" s="34" t="str">
        <f>IF(N(C103)=0,"",IF(ISNUMBER(MATCH(C103,C$26:C102,)),INDEX(B$26:B102,MATCH(C103,C$26:C102,)),MAX(B$26:B102)+1))</f>
        <v/>
      </c>
      <c r="C103" s="55"/>
      <c r="D103" s="7"/>
      <c r="E103" s="25" t="str">
        <f t="shared" si="6"/>
        <v/>
      </c>
      <c r="F103" s="25" t="str">
        <f t="shared" si="7"/>
        <v/>
      </c>
      <c r="G103" s="47">
        <f t="shared" si="8"/>
        <v>0</v>
      </c>
      <c r="H103" s="52"/>
      <c r="I103" s="19"/>
      <c r="J103" s="15"/>
      <c r="K103"/>
      <c r="L103"/>
      <c r="M103"/>
      <c r="N103"/>
      <c r="O103"/>
    </row>
    <row r="104" spans="1:15" x14ac:dyDescent="0.25">
      <c r="A104" s="17">
        <v>87</v>
      </c>
      <c r="B104" s="34" t="str">
        <f>IF(N(C104)=0,"",IF(ISNUMBER(MATCH(C104,C$26:C103,)),INDEX(B$26:B103,MATCH(C104,C$26:C103,)),MAX(B$26:B103)+1))</f>
        <v/>
      </c>
      <c r="C104" s="55"/>
      <c r="D104" s="7"/>
      <c r="E104" s="25" t="str">
        <f t="shared" si="6"/>
        <v/>
      </c>
      <c r="F104" s="25" t="str">
        <f t="shared" si="7"/>
        <v/>
      </c>
      <c r="G104" s="47">
        <f t="shared" si="8"/>
        <v>0</v>
      </c>
      <c r="H104" s="52"/>
      <c r="I104" s="19"/>
      <c r="K104"/>
      <c r="L104"/>
      <c r="M104"/>
      <c r="N104"/>
      <c r="O104"/>
    </row>
    <row r="105" spans="1:15" x14ac:dyDescent="0.25">
      <c r="A105" s="17">
        <v>88</v>
      </c>
      <c r="B105" s="34" t="str">
        <f>IF(N(C105)=0,"",IF(ISNUMBER(MATCH(C105,C$26:C104,)),INDEX(B$26:B104,MATCH(C105,C$26:C104,)),MAX(B$26:B104)+1))</f>
        <v/>
      </c>
      <c r="C105" s="55"/>
      <c r="D105" s="7"/>
      <c r="E105" s="25" t="str">
        <f t="shared" si="6"/>
        <v/>
      </c>
      <c r="F105" s="25" t="str">
        <f t="shared" si="7"/>
        <v/>
      </c>
      <c r="G105" s="47">
        <f t="shared" si="8"/>
        <v>0</v>
      </c>
      <c r="H105" s="52"/>
      <c r="I105" s="19"/>
      <c r="K105"/>
      <c r="L105"/>
      <c r="M105"/>
      <c r="N105"/>
      <c r="O105"/>
    </row>
    <row r="106" spans="1:15" x14ac:dyDescent="0.25">
      <c r="A106" s="17">
        <v>89</v>
      </c>
      <c r="B106" s="34" t="str">
        <f>IF(N(C106)=0,"",IF(ISNUMBER(MATCH(C106,C$26:C105,)),INDEX(B$26:B105,MATCH(C106,C$26:C105,)),MAX(B$26:B105)+1))</f>
        <v/>
      </c>
      <c r="C106" s="55"/>
      <c r="D106" s="7"/>
      <c r="E106" s="25" t="str">
        <f t="shared" si="6"/>
        <v/>
      </c>
      <c r="F106" s="25" t="str">
        <f t="shared" si="7"/>
        <v/>
      </c>
      <c r="G106" s="47">
        <f t="shared" si="8"/>
        <v>0</v>
      </c>
      <c r="H106" s="52"/>
      <c r="I106" s="19"/>
      <c r="K106"/>
      <c r="L106"/>
      <c r="M106"/>
      <c r="N106"/>
      <c r="O106"/>
    </row>
    <row r="107" spans="1:15" x14ac:dyDescent="0.25">
      <c r="A107" s="17">
        <v>90</v>
      </c>
      <c r="B107" s="34" t="str">
        <f>IF(N(C107)=0,"",IF(ISNUMBER(MATCH(C107,C$26:C106,)),INDEX(B$26:B106,MATCH(C107,C$26:C106,)),MAX(B$26:B106)+1))</f>
        <v/>
      </c>
      <c r="C107" s="55"/>
      <c r="D107" s="7"/>
      <c r="E107" s="25" t="str">
        <f t="shared" si="6"/>
        <v/>
      </c>
      <c r="F107" s="25" t="str">
        <f t="shared" si="7"/>
        <v/>
      </c>
      <c r="G107" s="47">
        <f t="shared" si="8"/>
        <v>0</v>
      </c>
      <c r="H107" s="52"/>
      <c r="I107" s="19"/>
      <c r="K107"/>
      <c r="L107"/>
      <c r="M107"/>
      <c r="N107"/>
      <c r="O107"/>
    </row>
    <row r="108" spans="1:15" x14ac:dyDescent="0.25">
      <c r="A108" s="17">
        <v>91</v>
      </c>
      <c r="B108" s="34" t="str">
        <f>IF(N(C108)=0,"",IF(ISNUMBER(MATCH(C108,C$26:C107,)),INDEX(B$26:B107,MATCH(C108,C$26:C107,)),MAX(B$26:B107)+1))</f>
        <v/>
      </c>
      <c r="C108" s="55"/>
      <c r="D108" s="7"/>
      <c r="E108" s="25" t="str">
        <f t="shared" si="6"/>
        <v/>
      </c>
      <c r="F108" s="25" t="str">
        <f t="shared" si="7"/>
        <v/>
      </c>
      <c r="G108" s="47">
        <f t="shared" si="8"/>
        <v>0</v>
      </c>
      <c r="H108" s="52"/>
      <c r="I108" s="19"/>
      <c r="K108"/>
      <c r="L108"/>
      <c r="M108"/>
      <c r="N108"/>
      <c r="O108"/>
    </row>
    <row r="109" spans="1:15" x14ac:dyDescent="0.25">
      <c r="A109" s="17">
        <v>92</v>
      </c>
      <c r="B109" s="34" t="str">
        <f>IF(N(C109)=0,"",IF(ISNUMBER(MATCH(C109,C$26:C108,)),INDEX(B$26:B108,MATCH(C109,C$26:C108,)),MAX(B$26:B108)+1))</f>
        <v/>
      </c>
      <c r="C109" s="55"/>
      <c r="D109" s="7"/>
      <c r="E109" s="25" t="str">
        <f t="shared" si="6"/>
        <v/>
      </c>
      <c r="F109" s="25" t="str">
        <f t="shared" si="7"/>
        <v/>
      </c>
      <c r="G109" s="47">
        <f t="shared" si="8"/>
        <v>0</v>
      </c>
      <c r="H109" s="52"/>
      <c r="I109" s="19"/>
      <c r="K109"/>
      <c r="L109"/>
      <c r="M109"/>
      <c r="N109"/>
      <c r="O109"/>
    </row>
    <row r="110" spans="1:15" x14ac:dyDescent="0.25">
      <c r="A110" s="17">
        <v>93</v>
      </c>
      <c r="B110" s="34" t="str">
        <f>IF(N(C110)=0,"",IF(ISNUMBER(MATCH(C110,C$26:C109,)),INDEX(B$26:B109,MATCH(C110,C$26:C109,)),MAX(B$26:B109)+1))</f>
        <v/>
      </c>
      <c r="C110" s="55"/>
      <c r="D110" s="7"/>
      <c r="E110" s="25" t="str">
        <f t="shared" si="6"/>
        <v/>
      </c>
      <c r="F110" s="25" t="str">
        <f t="shared" si="7"/>
        <v/>
      </c>
      <c r="G110" s="47">
        <f t="shared" si="8"/>
        <v>0</v>
      </c>
      <c r="H110" s="52"/>
      <c r="I110" s="19"/>
      <c r="K110"/>
      <c r="L110"/>
      <c r="M110"/>
      <c r="N110"/>
      <c r="O110"/>
    </row>
    <row r="111" spans="1:15" x14ac:dyDescent="0.25">
      <c r="A111" s="17">
        <v>94</v>
      </c>
      <c r="B111" s="34" t="str">
        <f>IF(N(C111)=0,"",IF(ISNUMBER(MATCH(C111,C$26:C110,)),INDEX(B$26:B110,MATCH(C111,C$26:C110,)),MAX(B$26:B110)+1))</f>
        <v/>
      </c>
      <c r="C111" s="55"/>
      <c r="D111" s="7"/>
      <c r="E111" s="25" t="str">
        <f t="shared" si="6"/>
        <v/>
      </c>
      <c r="F111" s="25" t="str">
        <f t="shared" si="7"/>
        <v/>
      </c>
      <c r="G111" s="47">
        <f t="shared" si="8"/>
        <v>0</v>
      </c>
      <c r="H111" s="52"/>
      <c r="I111" s="19"/>
      <c r="K111"/>
      <c r="L111"/>
      <c r="M111"/>
      <c r="N111"/>
      <c r="O111"/>
    </row>
    <row r="112" spans="1:15" x14ac:dyDescent="0.25">
      <c r="A112" s="17">
        <v>95</v>
      </c>
      <c r="B112" s="34" t="str">
        <f>IF(N(C112)=0,"",IF(ISNUMBER(MATCH(C112,C$26:C111,)),INDEX(B$26:B111,MATCH(C112,C$26:C111,)),MAX(B$26:B111)+1))</f>
        <v/>
      </c>
      <c r="C112" s="55"/>
      <c r="D112" s="7"/>
      <c r="E112" s="25" t="str">
        <f t="shared" si="6"/>
        <v/>
      </c>
      <c r="F112" s="25" t="str">
        <f t="shared" si="7"/>
        <v/>
      </c>
      <c r="G112" s="47">
        <f t="shared" si="8"/>
        <v>0</v>
      </c>
      <c r="H112" s="52"/>
      <c r="I112" s="19"/>
      <c r="K112"/>
      <c r="L112"/>
      <c r="M112"/>
      <c r="N112"/>
      <c r="O112"/>
    </row>
    <row r="113" spans="1:15" x14ac:dyDescent="0.25">
      <c r="A113" s="17">
        <v>96</v>
      </c>
      <c r="B113" s="34" t="str">
        <f>IF(N(C113)=0,"",IF(ISNUMBER(MATCH(C113,C$26:C112,)),INDEX(B$26:B112,MATCH(C113,C$26:C112,)),MAX(B$26:B112)+1))</f>
        <v/>
      </c>
      <c r="C113" s="55"/>
      <c r="D113" s="7"/>
      <c r="E113" s="25" t="str">
        <f t="shared" si="6"/>
        <v/>
      </c>
      <c r="F113" s="25" t="str">
        <f t="shared" si="7"/>
        <v/>
      </c>
      <c r="G113" s="47">
        <f t="shared" si="8"/>
        <v>0</v>
      </c>
      <c r="H113" s="52"/>
      <c r="I113" s="19"/>
      <c r="K113"/>
      <c r="L113"/>
      <c r="M113"/>
      <c r="N113"/>
      <c r="O113"/>
    </row>
    <row r="114" spans="1:15" x14ac:dyDescent="0.25">
      <c r="A114" s="17">
        <v>97</v>
      </c>
      <c r="B114" s="34" t="str">
        <f>IF(N(C114)=0,"",IF(ISNUMBER(MATCH(C114,C$26:C113,)),INDEX(B$26:B113,MATCH(C114,C$26:C113,)),MAX(B$26:B113)+1))</f>
        <v/>
      </c>
      <c r="C114" s="55"/>
      <c r="D114" s="7"/>
      <c r="E114" s="25" t="str">
        <f t="shared" si="6"/>
        <v/>
      </c>
      <c r="F114" s="25" t="str">
        <f t="shared" si="7"/>
        <v/>
      </c>
      <c r="G114" s="47">
        <f t="shared" si="8"/>
        <v>0</v>
      </c>
      <c r="H114" s="52"/>
      <c r="I114" s="19"/>
      <c r="K114"/>
      <c r="L114"/>
      <c r="M114"/>
      <c r="N114"/>
      <c r="O114"/>
    </row>
    <row r="115" spans="1:15" x14ac:dyDescent="0.25">
      <c r="A115" s="17">
        <v>98</v>
      </c>
      <c r="B115" s="35" t="str">
        <f>IF(N(C115)=0,"",IF(ISNUMBER(MATCH(C115,C$26:C114,)),INDEX(B$26:B114,MATCH(C115,C$26:C114,)),MAX(B$26:B114)+1))</f>
        <v/>
      </c>
      <c r="C115" s="56"/>
      <c r="D115" s="8"/>
      <c r="E115" s="26" t="str">
        <f t="shared" si="6"/>
        <v/>
      </c>
      <c r="F115" s="26" t="str">
        <f t="shared" si="7"/>
        <v/>
      </c>
      <c r="G115" s="47">
        <v>1</v>
      </c>
      <c r="H115" s="53"/>
      <c r="I115" s="20"/>
      <c r="K115"/>
      <c r="L115"/>
      <c r="M115"/>
      <c r="N115"/>
      <c r="O115"/>
    </row>
    <row r="116" spans="1:15" x14ac:dyDescent="0.25">
      <c r="K116"/>
      <c r="L116"/>
      <c r="M116"/>
      <c r="N116"/>
      <c r="O116"/>
    </row>
    <row r="117" spans="1:15" x14ac:dyDescent="0.25">
      <c r="K117"/>
      <c r="L117"/>
      <c r="M117"/>
      <c r="N117"/>
      <c r="O117"/>
    </row>
    <row r="118" spans="1:15" x14ac:dyDescent="0.25">
      <c r="K118"/>
      <c r="L118"/>
      <c r="M118"/>
      <c r="N118"/>
      <c r="O118"/>
    </row>
    <row r="119" spans="1:15" x14ac:dyDescent="0.25">
      <c r="K119"/>
      <c r="L119"/>
      <c r="M119"/>
      <c r="N119"/>
      <c r="O119"/>
    </row>
    <row r="120" spans="1:15" x14ac:dyDescent="0.25">
      <c r="K120"/>
      <c r="L120"/>
      <c r="M120"/>
      <c r="N120"/>
      <c r="O120"/>
    </row>
    <row r="121" spans="1:15" x14ac:dyDescent="0.25">
      <c r="K121"/>
      <c r="L121"/>
      <c r="M121"/>
      <c r="N121"/>
      <c r="O121"/>
    </row>
    <row r="122" spans="1:15" x14ac:dyDescent="0.25">
      <c r="K122"/>
      <c r="L122"/>
      <c r="M122"/>
      <c r="N122"/>
      <c r="O122"/>
    </row>
    <row r="123" spans="1:15" x14ac:dyDescent="0.25">
      <c r="K123"/>
      <c r="L123"/>
      <c r="M123"/>
      <c r="N123"/>
      <c r="O123"/>
    </row>
    <row r="124" spans="1:15" x14ac:dyDescent="0.25">
      <c r="K124"/>
      <c r="L124"/>
      <c r="M124"/>
      <c r="N124"/>
      <c r="O124"/>
    </row>
    <row r="125" spans="1:15" x14ac:dyDescent="0.25">
      <c r="K125"/>
      <c r="L125"/>
      <c r="M125"/>
      <c r="N125"/>
      <c r="O125"/>
    </row>
    <row r="126" spans="1:15" x14ac:dyDescent="0.25">
      <c r="K126"/>
      <c r="L126"/>
      <c r="M126"/>
      <c r="N126"/>
      <c r="O126"/>
    </row>
    <row r="127" spans="1:15" x14ac:dyDescent="0.25">
      <c r="K127"/>
      <c r="L127"/>
      <c r="M127"/>
      <c r="N127"/>
      <c r="O127"/>
    </row>
    <row r="128" spans="1:15" x14ac:dyDescent="0.25">
      <c r="K128"/>
      <c r="L128"/>
      <c r="M128"/>
      <c r="N128"/>
      <c r="O128"/>
    </row>
    <row r="129" spans="11:15" x14ac:dyDescent="0.25">
      <c r="K129"/>
      <c r="L129"/>
      <c r="M129"/>
      <c r="N129"/>
      <c r="O129"/>
    </row>
    <row r="130" spans="11:15" x14ac:dyDescent="0.25">
      <c r="K130"/>
      <c r="L130"/>
      <c r="M130"/>
      <c r="N130"/>
      <c r="O130"/>
    </row>
    <row r="131" spans="11:15" x14ac:dyDescent="0.25">
      <c r="K131"/>
      <c r="L131"/>
      <c r="M131"/>
      <c r="N131"/>
      <c r="O131"/>
    </row>
    <row r="132" spans="11:15" x14ac:dyDescent="0.25">
      <c r="K132"/>
      <c r="L132"/>
      <c r="M132"/>
      <c r="N132"/>
      <c r="O132"/>
    </row>
    <row r="133" spans="11:15" x14ac:dyDescent="0.25">
      <c r="K133"/>
      <c r="L133"/>
      <c r="M133"/>
      <c r="N133"/>
      <c r="O133"/>
    </row>
    <row r="134" spans="11:15" x14ac:dyDescent="0.25">
      <c r="K134"/>
      <c r="L134"/>
      <c r="M134"/>
      <c r="N134"/>
      <c r="O134"/>
    </row>
    <row r="135" spans="11:15" x14ac:dyDescent="0.25">
      <c r="K135"/>
      <c r="L135"/>
      <c r="M135"/>
      <c r="N135"/>
      <c r="O135"/>
    </row>
    <row r="136" spans="11:15" x14ac:dyDescent="0.25">
      <c r="K136"/>
      <c r="L136"/>
      <c r="M136"/>
      <c r="N136"/>
      <c r="O136"/>
    </row>
    <row r="137" spans="11:15" x14ac:dyDescent="0.25">
      <c r="K137"/>
      <c r="L137"/>
      <c r="M137"/>
      <c r="N137"/>
      <c r="O137"/>
    </row>
    <row r="138" spans="11:15" x14ac:dyDescent="0.25">
      <c r="K138"/>
      <c r="L138"/>
      <c r="M138"/>
      <c r="N138"/>
      <c r="O138"/>
    </row>
    <row r="139" spans="11:15" x14ac:dyDescent="0.25">
      <c r="K139"/>
      <c r="L139"/>
      <c r="M139"/>
      <c r="N139"/>
      <c r="O139"/>
    </row>
    <row r="140" spans="11:15" x14ac:dyDescent="0.25">
      <c r="K140"/>
      <c r="L140"/>
      <c r="M140"/>
      <c r="N140"/>
      <c r="O140"/>
    </row>
    <row r="141" spans="11:15" x14ac:dyDescent="0.25">
      <c r="K141"/>
      <c r="L141"/>
      <c r="M141"/>
      <c r="N141"/>
      <c r="O141"/>
    </row>
    <row r="142" spans="11:15" x14ac:dyDescent="0.25">
      <c r="K142"/>
      <c r="L142"/>
      <c r="M142"/>
      <c r="N142"/>
      <c r="O142"/>
    </row>
    <row r="143" spans="11:15" x14ac:dyDescent="0.25">
      <c r="K143"/>
      <c r="L143"/>
      <c r="M143"/>
      <c r="N143"/>
      <c r="O143"/>
    </row>
    <row r="144" spans="11:15" x14ac:dyDescent="0.25">
      <c r="K144"/>
      <c r="L144"/>
      <c r="M144"/>
      <c r="N144"/>
      <c r="O144"/>
    </row>
    <row r="145" spans="11:15" x14ac:dyDescent="0.25">
      <c r="K145"/>
      <c r="L145"/>
      <c r="M145"/>
      <c r="N145"/>
      <c r="O145"/>
    </row>
    <row r="146" spans="11:15" x14ac:dyDescent="0.25">
      <c r="K146"/>
      <c r="L146"/>
      <c r="M146"/>
      <c r="N146"/>
      <c r="O146"/>
    </row>
    <row r="147" spans="11:15" x14ac:dyDescent="0.25">
      <c r="K147"/>
      <c r="L147"/>
      <c r="M147"/>
      <c r="N147"/>
      <c r="O147"/>
    </row>
    <row r="148" spans="11:15" x14ac:dyDescent="0.25">
      <c r="K148"/>
      <c r="L148"/>
      <c r="M148"/>
      <c r="N148"/>
      <c r="O148"/>
    </row>
    <row r="149" spans="11:15" x14ac:dyDescent="0.25">
      <c r="K149"/>
      <c r="L149"/>
      <c r="M149"/>
      <c r="N149"/>
      <c r="O149"/>
    </row>
    <row r="150" spans="11:15" x14ac:dyDescent="0.25">
      <c r="K150"/>
      <c r="L150"/>
      <c r="M150"/>
      <c r="N150"/>
      <c r="O150"/>
    </row>
    <row r="151" spans="11:15" x14ac:dyDescent="0.25">
      <c r="K151"/>
      <c r="L151"/>
      <c r="M151"/>
      <c r="N151"/>
      <c r="O151"/>
    </row>
    <row r="152" spans="11:15" x14ac:dyDescent="0.25">
      <c r="K152"/>
      <c r="L152"/>
      <c r="M152"/>
      <c r="N152"/>
      <c r="O152"/>
    </row>
    <row r="153" spans="11:15" x14ac:dyDescent="0.25">
      <c r="K153"/>
      <c r="L153"/>
      <c r="M153"/>
      <c r="N153"/>
      <c r="O153"/>
    </row>
    <row r="154" spans="11:15" x14ac:dyDescent="0.25">
      <c r="K154"/>
      <c r="L154"/>
      <c r="M154"/>
      <c r="N154"/>
      <c r="O154"/>
    </row>
    <row r="155" spans="11:15" x14ac:dyDescent="0.25">
      <c r="K155"/>
      <c r="L155"/>
      <c r="M155"/>
      <c r="N155"/>
      <c r="O155"/>
    </row>
    <row r="156" spans="11:15" x14ac:dyDescent="0.25">
      <c r="K156"/>
      <c r="L156"/>
      <c r="M156"/>
      <c r="N156"/>
      <c r="O156"/>
    </row>
    <row r="157" spans="11:15" x14ac:dyDescent="0.25">
      <c r="K157"/>
      <c r="L157"/>
      <c r="M157"/>
      <c r="N157"/>
      <c r="O157"/>
    </row>
    <row r="158" spans="11:15" x14ac:dyDescent="0.25">
      <c r="K158"/>
      <c r="L158"/>
      <c r="M158"/>
      <c r="N158"/>
      <c r="O158"/>
    </row>
    <row r="159" spans="11:15" x14ac:dyDescent="0.25">
      <c r="K159"/>
      <c r="L159"/>
      <c r="M159"/>
      <c r="N159"/>
      <c r="O159"/>
    </row>
    <row r="160" spans="11:15" x14ac:dyDescent="0.25">
      <c r="K160"/>
      <c r="L160"/>
      <c r="M160"/>
      <c r="N160"/>
      <c r="O160"/>
    </row>
    <row r="161" spans="11:15" x14ac:dyDescent="0.25">
      <c r="K161"/>
      <c r="L161"/>
      <c r="M161"/>
      <c r="N161"/>
      <c r="O161"/>
    </row>
    <row r="162" spans="11:15" x14ac:dyDescent="0.25">
      <c r="K162"/>
      <c r="L162"/>
      <c r="M162"/>
      <c r="N162"/>
      <c r="O162"/>
    </row>
    <row r="163" spans="11:15" x14ac:dyDescent="0.25">
      <c r="K163"/>
      <c r="L163"/>
      <c r="M163"/>
      <c r="N163"/>
      <c r="O163"/>
    </row>
    <row r="164" spans="11:15" x14ac:dyDescent="0.25">
      <c r="K164"/>
      <c r="L164"/>
      <c r="M164"/>
      <c r="N164"/>
      <c r="O164"/>
    </row>
    <row r="165" spans="11:15" x14ac:dyDescent="0.25">
      <c r="K165"/>
      <c r="L165"/>
      <c r="M165"/>
      <c r="N165"/>
      <c r="O165"/>
    </row>
    <row r="166" spans="11:15" x14ac:dyDescent="0.25">
      <c r="K166"/>
      <c r="L166"/>
      <c r="M166"/>
      <c r="N166"/>
      <c r="O166"/>
    </row>
    <row r="167" spans="11:15" x14ac:dyDescent="0.25">
      <c r="K167"/>
      <c r="L167"/>
      <c r="M167"/>
      <c r="N167"/>
      <c r="O167"/>
    </row>
    <row r="168" spans="11:15" x14ac:dyDescent="0.25">
      <c r="K168"/>
      <c r="L168"/>
      <c r="M168"/>
      <c r="N168"/>
      <c r="O168"/>
    </row>
    <row r="169" spans="11:15" x14ac:dyDescent="0.25">
      <c r="K169"/>
      <c r="L169"/>
      <c r="M169"/>
      <c r="N169"/>
      <c r="O169"/>
    </row>
    <row r="170" spans="11:15" x14ac:dyDescent="0.25">
      <c r="K170"/>
      <c r="L170"/>
      <c r="M170"/>
      <c r="N170"/>
      <c r="O170"/>
    </row>
    <row r="171" spans="11:15" x14ac:dyDescent="0.25">
      <c r="K171"/>
      <c r="L171"/>
      <c r="M171"/>
      <c r="N171"/>
      <c r="O171"/>
    </row>
    <row r="172" spans="11:15" x14ac:dyDescent="0.25">
      <c r="K172"/>
      <c r="L172"/>
      <c r="M172"/>
      <c r="N172"/>
      <c r="O172"/>
    </row>
    <row r="173" spans="11:15" x14ac:dyDescent="0.25">
      <c r="K173"/>
      <c r="L173"/>
      <c r="M173"/>
      <c r="N173"/>
      <c r="O173"/>
    </row>
    <row r="174" spans="11:15" x14ac:dyDescent="0.25">
      <c r="K174"/>
      <c r="L174"/>
      <c r="M174"/>
      <c r="N174"/>
      <c r="O174"/>
    </row>
    <row r="175" spans="11:15" x14ac:dyDescent="0.25">
      <c r="K175"/>
      <c r="L175"/>
      <c r="M175"/>
      <c r="N175"/>
      <c r="O175"/>
    </row>
    <row r="176" spans="11:15" x14ac:dyDescent="0.25">
      <c r="K176"/>
      <c r="L176"/>
      <c r="M176"/>
      <c r="N176"/>
      <c r="O176"/>
    </row>
    <row r="177" spans="11:15" x14ac:dyDescent="0.25">
      <c r="K177"/>
      <c r="L177"/>
      <c r="M177"/>
      <c r="N177"/>
      <c r="O177"/>
    </row>
    <row r="178" spans="11:15" x14ac:dyDescent="0.25">
      <c r="K178"/>
      <c r="L178"/>
      <c r="M178"/>
      <c r="N178"/>
      <c r="O178"/>
    </row>
    <row r="179" spans="11:15" x14ac:dyDescent="0.25">
      <c r="K179"/>
      <c r="L179"/>
      <c r="M179"/>
      <c r="N179"/>
      <c r="O179"/>
    </row>
    <row r="180" spans="11:15" x14ac:dyDescent="0.25">
      <c r="K180"/>
      <c r="L180"/>
      <c r="M180"/>
      <c r="N180"/>
      <c r="O180"/>
    </row>
    <row r="181" spans="11:15" x14ac:dyDescent="0.25">
      <c r="K181"/>
      <c r="L181"/>
      <c r="M181"/>
      <c r="N181"/>
      <c r="O181"/>
    </row>
    <row r="182" spans="11:15" x14ac:dyDescent="0.25">
      <c r="K182"/>
      <c r="L182"/>
      <c r="M182"/>
      <c r="N182"/>
      <c r="O182"/>
    </row>
    <row r="183" spans="11:15" x14ac:dyDescent="0.25">
      <c r="K183"/>
      <c r="L183"/>
      <c r="M183"/>
      <c r="N183"/>
      <c r="O183"/>
    </row>
    <row r="184" spans="11:15" x14ac:dyDescent="0.25">
      <c r="K184"/>
      <c r="L184"/>
      <c r="M184"/>
      <c r="N184"/>
      <c r="O184"/>
    </row>
    <row r="185" spans="11:15" x14ac:dyDescent="0.25">
      <c r="K185"/>
      <c r="L185"/>
      <c r="M185"/>
      <c r="N185"/>
      <c r="O185"/>
    </row>
    <row r="186" spans="11:15" x14ac:dyDescent="0.25">
      <c r="K186"/>
      <c r="L186"/>
      <c r="M186"/>
      <c r="N186"/>
      <c r="O186"/>
    </row>
    <row r="187" spans="11:15" x14ac:dyDescent="0.25">
      <c r="K187"/>
      <c r="L187"/>
      <c r="M187"/>
      <c r="N187"/>
      <c r="O187"/>
    </row>
    <row r="188" spans="11:15" x14ac:dyDescent="0.25">
      <c r="K188"/>
      <c r="L188"/>
      <c r="M188"/>
      <c r="N188"/>
      <c r="O188"/>
    </row>
    <row r="189" spans="11:15" x14ac:dyDescent="0.25">
      <c r="K189"/>
      <c r="L189"/>
      <c r="M189"/>
      <c r="N189"/>
      <c r="O189"/>
    </row>
    <row r="190" spans="11:15" x14ac:dyDescent="0.25">
      <c r="K190"/>
      <c r="L190"/>
      <c r="M190"/>
      <c r="N190"/>
      <c r="O190"/>
    </row>
    <row r="191" spans="11:15" x14ac:dyDescent="0.25">
      <c r="K191"/>
      <c r="L191"/>
      <c r="M191"/>
      <c r="N191"/>
      <c r="O191"/>
    </row>
    <row r="192" spans="11:15" x14ac:dyDescent="0.25">
      <c r="K192"/>
      <c r="L192"/>
      <c r="M192"/>
      <c r="N192"/>
      <c r="O192"/>
    </row>
    <row r="193" spans="11:15" x14ac:dyDescent="0.25">
      <c r="K193"/>
      <c r="L193"/>
      <c r="M193"/>
      <c r="N193"/>
      <c r="O193"/>
    </row>
    <row r="194" spans="11:15" x14ac:dyDescent="0.25">
      <c r="K194"/>
      <c r="L194"/>
      <c r="M194"/>
      <c r="N194"/>
      <c r="O194"/>
    </row>
    <row r="195" spans="11:15" x14ac:dyDescent="0.25">
      <c r="K195"/>
      <c r="L195"/>
      <c r="M195"/>
      <c r="N195"/>
      <c r="O195"/>
    </row>
    <row r="196" spans="11:15" x14ac:dyDescent="0.25">
      <c r="K196"/>
      <c r="L196"/>
      <c r="M196"/>
      <c r="N196"/>
      <c r="O196"/>
    </row>
    <row r="197" spans="11:15" x14ac:dyDescent="0.25">
      <c r="K197"/>
      <c r="L197"/>
      <c r="M197"/>
      <c r="N197"/>
      <c r="O197"/>
    </row>
    <row r="198" spans="11:15" x14ac:dyDescent="0.25">
      <c r="K198"/>
      <c r="L198"/>
      <c r="M198"/>
      <c r="N198"/>
      <c r="O198"/>
    </row>
    <row r="199" spans="11:15" x14ac:dyDescent="0.25">
      <c r="K199"/>
      <c r="L199"/>
      <c r="M199"/>
      <c r="N199"/>
      <c r="O199"/>
    </row>
    <row r="200" spans="11:15" x14ac:dyDescent="0.25">
      <c r="K200"/>
      <c r="L200"/>
      <c r="M200"/>
      <c r="N200"/>
      <c r="O200"/>
    </row>
    <row r="201" spans="11:15" x14ac:dyDescent="0.25">
      <c r="K201"/>
      <c r="L201"/>
      <c r="M201"/>
      <c r="N201"/>
      <c r="O201"/>
    </row>
    <row r="202" spans="11:15" x14ac:dyDescent="0.25">
      <c r="K202"/>
      <c r="L202"/>
      <c r="M202"/>
      <c r="N202"/>
      <c r="O202"/>
    </row>
    <row r="203" spans="11:15" x14ac:dyDescent="0.25">
      <c r="K203"/>
      <c r="L203"/>
      <c r="M203"/>
      <c r="N203"/>
      <c r="O203"/>
    </row>
    <row r="204" spans="11:15" x14ac:dyDescent="0.25">
      <c r="K204"/>
      <c r="L204"/>
      <c r="M204"/>
      <c r="N204"/>
      <c r="O204"/>
    </row>
    <row r="205" spans="11:15" x14ac:dyDescent="0.25">
      <c r="K205"/>
      <c r="L205"/>
      <c r="M205"/>
      <c r="N205"/>
      <c r="O205"/>
    </row>
    <row r="206" spans="11:15" x14ac:dyDescent="0.25">
      <c r="K206"/>
      <c r="L206"/>
      <c r="M206"/>
      <c r="N206"/>
      <c r="O206"/>
    </row>
    <row r="207" spans="11:15" x14ac:dyDescent="0.25">
      <c r="K207"/>
      <c r="L207"/>
      <c r="M207"/>
      <c r="N207"/>
      <c r="O207"/>
    </row>
    <row r="208" spans="11:15" x14ac:dyDescent="0.25">
      <c r="K208"/>
      <c r="L208"/>
      <c r="M208"/>
      <c r="N208"/>
      <c r="O208"/>
    </row>
    <row r="209" spans="11:15" x14ac:dyDescent="0.25">
      <c r="K209"/>
      <c r="L209"/>
      <c r="M209"/>
      <c r="N209"/>
      <c r="O209"/>
    </row>
    <row r="210" spans="11:15" x14ac:dyDescent="0.25">
      <c r="K210"/>
      <c r="L210"/>
      <c r="M210"/>
      <c r="N210"/>
      <c r="O210"/>
    </row>
    <row r="211" spans="11:15" x14ac:dyDescent="0.25">
      <c r="K211"/>
      <c r="L211"/>
      <c r="M211"/>
      <c r="N211"/>
      <c r="O211"/>
    </row>
    <row r="212" spans="11:15" x14ac:dyDescent="0.25">
      <c r="K212"/>
      <c r="L212"/>
      <c r="M212"/>
      <c r="N212"/>
      <c r="O212"/>
    </row>
    <row r="213" spans="11:15" x14ac:dyDescent="0.25">
      <c r="K213"/>
      <c r="L213"/>
      <c r="M213"/>
      <c r="N213"/>
      <c r="O213"/>
    </row>
    <row r="214" spans="11:15" x14ac:dyDescent="0.25">
      <c r="K214"/>
      <c r="L214"/>
      <c r="M214"/>
      <c r="N214"/>
      <c r="O214"/>
    </row>
    <row r="215" spans="11:15" x14ac:dyDescent="0.25">
      <c r="K215"/>
      <c r="L215"/>
      <c r="M215"/>
      <c r="N215"/>
      <c r="O215"/>
    </row>
    <row r="216" spans="11:15" x14ac:dyDescent="0.25">
      <c r="K216"/>
      <c r="L216"/>
      <c r="M216"/>
      <c r="N216"/>
      <c r="O216"/>
    </row>
    <row r="217" spans="11:15" x14ac:dyDescent="0.25">
      <c r="K217"/>
      <c r="L217"/>
      <c r="M217"/>
      <c r="N217"/>
      <c r="O217"/>
    </row>
    <row r="218" spans="11:15" x14ac:dyDescent="0.25">
      <c r="K218"/>
      <c r="L218"/>
      <c r="M218"/>
      <c r="N218"/>
      <c r="O218"/>
    </row>
    <row r="219" spans="11:15" x14ac:dyDescent="0.25">
      <c r="K219"/>
      <c r="L219"/>
      <c r="M219"/>
      <c r="N219"/>
      <c r="O219"/>
    </row>
    <row r="220" spans="11:15" x14ac:dyDescent="0.25">
      <c r="K220"/>
      <c r="L220"/>
      <c r="M220"/>
      <c r="N220"/>
      <c r="O220"/>
    </row>
    <row r="221" spans="11:15" x14ac:dyDescent="0.25">
      <c r="K221"/>
      <c r="L221"/>
      <c r="M221"/>
      <c r="N221"/>
      <c r="O221"/>
    </row>
    <row r="222" spans="11:15" x14ac:dyDescent="0.25">
      <c r="K222"/>
      <c r="L222"/>
      <c r="M222"/>
      <c r="N222"/>
      <c r="O222"/>
    </row>
    <row r="223" spans="11:15" x14ac:dyDescent="0.25">
      <c r="K223"/>
      <c r="L223"/>
      <c r="M223"/>
      <c r="N223"/>
      <c r="O223"/>
    </row>
    <row r="224" spans="11:15" x14ac:dyDescent="0.25">
      <c r="K224"/>
      <c r="L224"/>
      <c r="M224"/>
      <c r="N224"/>
      <c r="O224"/>
    </row>
    <row r="225" spans="11:15" x14ac:dyDescent="0.25">
      <c r="K225"/>
      <c r="L225"/>
      <c r="M225"/>
      <c r="N225"/>
      <c r="O225"/>
    </row>
    <row r="226" spans="11:15" x14ac:dyDescent="0.25">
      <c r="K226"/>
      <c r="L226"/>
      <c r="M226"/>
      <c r="N226"/>
      <c r="O226"/>
    </row>
    <row r="227" spans="11:15" x14ac:dyDescent="0.25">
      <c r="K227"/>
      <c r="L227"/>
      <c r="M227"/>
      <c r="N227"/>
      <c r="O227"/>
    </row>
    <row r="228" spans="11:15" x14ac:dyDescent="0.25">
      <c r="K228"/>
      <c r="L228"/>
      <c r="M228"/>
      <c r="N228"/>
      <c r="O228"/>
    </row>
    <row r="229" spans="11:15" x14ac:dyDescent="0.25">
      <c r="K229"/>
      <c r="L229"/>
      <c r="M229"/>
      <c r="N229"/>
      <c r="O229"/>
    </row>
    <row r="230" spans="11:15" x14ac:dyDescent="0.25">
      <c r="K230"/>
      <c r="L230"/>
      <c r="M230"/>
      <c r="N230"/>
      <c r="O230"/>
    </row>
    <row r="231" spans="11:15" x14ac:dyDescent="0.25">
      <c r="K231"/>
      <c r="L231"/>
      <c r="M231"/>
      <c r="N231"/>
      <c r="O231"/>
    </row>
    <row r="232" spans="11:15" x14ac:dyDescent="0.25">
      <c r="K232"/>
      <c r="L232"/>
      <c r="M232"/>
      <c r="N232"/>
      <c r="O232"/>
    </row>
    <row r="233" spans="11:15" x14ac:dyDescent="0.25">
      <c r="K233"/>
      <c r="L233"/>
      <c r="M233"/>
      <c r="N233"/>
      <c r="O233"/>
    </row>
    <row r="234" spans="11:15" x14ac:dyDescent="0.25">
      <c r="K234"/>
      <c r="L234"/>
      <c r="M234"/>
      <c r="N234"/>
      <c r="O234"/>
    </row>
    <row r="235" spans="11:15" x14ac:dyDescent="0.25">
      <c r="K235"/>
      <c r="L235"/>
      <c r="M235"/>
      <c r="N235"/>
      <c r="O235"/>
    </row>
    <row r="236" spans="11:15" x14ac:dyDescent="0.25">
      <c r="K236"/>
      <c r="L236"/>
      <c r="M236"/>
      <c r="N236"/>
      <c r="O236"/>
    </row>
    <row r="237" spans="11:15" x14ac:dyDescent="0.25">
      <c r="K237"/>
      <c r="L237"/>
      <c r="M237"/>
      <c r="N237"/>
      <c r="O237"/>
    </row>
    <row r="238" spans="11:15" x14ac:dyDescent="0.25">
      <c r="K238"/>
      <c r="L238"/>
      <c r="M238"/>
      <c r="N238"/>
      <c r="O238"/>
    </row>
    <row r="239" spans="11:15" x14ac:dyDescent="0.25">
      <c r="K239"/>
      <c r="L239"/>
      <c r="M239"/>
      <c r="N239"/>
      <c r="O239"/>
    </row>
    <row r="240" spans="11:15" x14ac:dyDescent="0.25">
      <c r="K240"/>
      <c r="L240"/>
      <c r="M240"/>
      <c r="N240"/>
      <c r="O240"/>
    </row>
    <row r="241" spans="11:15" x14ac:dyDescent="0.25">
      <c r="K241"/>
      <c r="L241"/>
      <c r="M241"/>
      <c r="N241"/>
      <c r="O241"/>
    </row>
    <row r="242" spans="11:15" x14ac:dyDescent="0.25">
      <c r="K242"/>
      <c r="L242"/>
      <c r="M242"/>
      <c r="N242"/>
      <c r="O242"/>
    </row>
    <row r="243" spans="11:15" x14ac:dyDescent="0.25">
      <c r="K243"/>
      <c r="L243"/>
      <c r="M243"/>
      <c r="N243"/>
      <c r="O243"/>
    </row>
    <row r="244" spans="11:15" x14ac:dyDescent="0.25">
      <c r="K244"/>
      <c r="L244"/>
      <c r="M244"/>
      <c r="N244"/>
      <c r="O244"/>
    </row>
    <row r="245" spans="11:15" x14ac:dyDescent="0.25">
      <c r="K245"/>
      <c r="L245"/>
      <c r="M245"/>
      <c r="N245"/>
      <c r="O245"/>
    </row>
    <row r="246" spans="11:15" x14ac:dyDescent="0.25">
      <c r="K246"/>
      <c r="L246"/>
      <c r="M246"/>
      <c r="N246"/>
      <c r="O246"/>
    </row>
    <row r="247" spans="11:15" x14ac:dyDescent="0.25">
      <c r="K247"/>
      <c r="L247"/>
      <c r="M247"/>
      <c r="N247"/>
      <c r="O247"/>
    </row>
    <row r="248" spans="11:15" x14ac:dyDescent="0.25">
      <c r="K248"/>
      <c r="L248"/>
      <c r="M248"/>
      <c r="N248"/>
      <c r="O248"/>
    </row>
    <row r="249" spans="11:15" x14ac:dyDescent="0.25">
      <c r="K249"/>
      <c r="L249"/>
      <c r="M249"/>
      <c r="N249"/>
      <c r="O249"/>
    </row>
    <row r="250" spans="11:15" x14ac:dyDescent="0.25">
      <c r="K250"/>
      <c r="L250"/>
      <c r="M250"/>
      <c r="N250"/>
      <c r="O250"/>
    </row>
    <row r="251" spans="11:15" x14ac:dyDescent="0.25">
      <c r="K251"/>
      <c r="L251"/>
      <c r="M251"/>
      <c r="N251"/>
      <c r="O251"/>
    </row>
    <row r="252" spans="11:15" x14ac:dyDescent="0.25">
      <c r="K252"/>
      <c r="L252"/>
      <c r="M252"/>
      <c r="N252"/>
      <c r="O252"/>
    </row>
    <row r="253" spans="11:15" x14ac:dyDescent="0.25">
      <c r="K253"/>
      <c r="L253"/>
      <c r="M253"/>
      <c r="N253"/>
      <c r="O253"/>
    </row>
    <row r="254" spans="11:15" x14ac:dyDescent="0.25">
      <c r="K254"/>
      <c r="L254"/>
      <c r="M254"/>
      <c r="N254"/>
      <c r="O254"/>
    </row>
    <row r="255" spans="11:15" x14ac:dyDescent="0.25">
      <c r="K255"/>
      <c r="L255"/>
      <c r="M255"/>
      <c r="N255"/>
      <c r="O255"/>
    </row>
    <row r="256" spans="11:15" x14ac:dyDescent="0.25">
      <c r="K256"/>
      <c r="L256"/>
      <c r="M256"/>
      <c r="N256"/>
      <c r="O256"/>
    </row>
    <row r="257" spans="11:15" x14ac:dyDescent="0.25">
      <c r="K257"/>
      <c r="L257"/>
      <c r="M257"/>
      <c r="N257"/>
      <c r="O257"/>
    </row>
    <row r="258" spans="11:15" x14ac:dyDescent="0.25">
      <c r="K258"/>
      <c r="L258"/>
      <c r="M258"/>
      <c r="N258"/>
      <c r="O258"/>
    </row>
    <row r="259" spans="11:15" x14ac:dyDescent="0.25">
      <c r="K259"/>
      <c r="L259"/>
      <c r="M259"/>
      <c r="N259"/>
      <c r="O259"/>
    </row>
    <row r="260" spans="11:15" x14ac:dyDescent="0.25">
      <c r="K260"/>
      <c r="L260"/>
      <c r="M260"/>
      <c r="N260"/>
      <c r="O260"/>
    </row>
    <row r="261" spans="11:15" x14ac:dyDescent="0.25">
      <c r="K261"/>
      <c r="L261"/>
      <c r="M261"/>
      <c r="N261"/>
      <c r="O261"/>
    </row>
    <row r="262" spans="11:15" x14ac:dyDescent="0.25">
      <c r="K262"/>
      <c r="L262"/>
      <c r="M262"/>
      <c r="N262"/>
      <c r="O262"/>
    </row>
    <row r="263" spans="11:15" x14ac:dyDescent="0.25">
      <c r="K263"/>
      <c r="L263"/>
      <c r="M263"/>
      <c r="N263"/>
      <c r="O263"/>
    </row>
    <row r="264" spans="11:15" x14ac:dyDescent="0.25">
      <c r="K264"/>
      <c r="L264"/>
      <c r="M264"/>
      <c r="N264"/>
      <c r="O264"/>
    </row>
    <row r="265" spans="11:15" x14ac:dyDescent="0.25">
      <c r="K265"/>
      <c r="L265"/>
      <c r="M265"/>
      <c r="N265"/>
      <c r="O265"/>
    </row>
    <row r="266" spans="11:15" x14ac:dyDescent="0.25">
      <c r="K266"/>
      <c r="L266"/>
      <c r="M266"/>
      <c r="N266"/>
      <c r="O266"/>
    </row>
    <row r="267" spans="11:15" x14ac:dyDescent="0.25">
      <c r="K267"/>
      <c r="L267"/>
      <c r="M267"/>
      <c r="N267"/>
      <c r="O267"/>
    </row>
    <row r="268" spans="11:15" x14ac:dyDescent="0.25">
      <c r="K268"/>
      <c r="L268"/>
      <c r="M268"/>
      <c r="N268"/>
      <c r="O268"/>
    </row>
    <row r="269" spans="11:15" x14ac:dyDescent="0.25">
      <c r="K269"/>
      <c r="L269"/>
      <c r="M269"/>
      <c r="N269"/>
      <c r="O269"/>
    </row>
    <row r="270" spans="11:15" x14ac:dyDescent="0.25">
      <c r="K270"/>
      <c r="L270"/>
      <c r="M270"/>
      <c r="N270"/>
      <c r="O270"/>
    </row>
    <row r="271" spans="11:15" x14ac:dyDescent="0.25">
      <c r="K271"/>
      <c r="L271"/>
      <c r="M271"/>
      <c r="N271"/>
      <c r="O271"/>
    </row>
    <row r="272" spans="11:15" x14ac:dyDescent="0.25">
      <c r="K272"/>
      <c r="L272"/>
      <c r="M272"/>
      <c r="N272"/>
      <c r="O272"/>
    </row>
    <row r="273" spans="11:15" x14ac:dyDescent="0.25">
      <c r="K273"/>
      <c r="L273"/>
      <c r="M273"/>
      <c r="N273"/>
      <c r="O273"/>
    </row>
    <row r="274" spans="11:15" x14ac:dyDescent="0.25">
      <c r="K274"/>
      <c r="L274"/>
      <c r="M274"/>
      <c r="N274"/>
      <c r="O274"/>
    </row>
    <row r="275" spans="11:15" x14ac:dyDescent="0.25">
      <c r="K275"/>
      <c r="L275"/>
      <c r="M275"/>
      <c r="N275"/>
      <c r="O275"/>
    </row>
    <row r="276" spans="11:15" x14ac:dyDescent="0.25">
      <c r="K276"/>
      <c r="L276"/>
      <c r="M276"/>
      <c r="N276"/>
      <c r="O276"/>
    </row>
    <row r="277" spans="11:15" x14ac:dyDescent="0.25">
      <c r="K277"/>
      <c r="L277"/>
      <c r="M277"/>
      <c r="N277"/>
      <c r="O277"/>
    </row>
    <row r="278" spans="11:15" x14ac:dyDescent="0.25">
      <c r="K278"/>
      <c r="L278"/>
      <c r="M278"/>
      <c r="N278"/>
      <c r="O278"/>
    </row>
    <row r="279" spans="11:15" x14ac:dyDescent="0.25">
      <c r="K279"/>
      <c r="L279"/>
      <c r="M279"/>
      <c r="N279"/>
      <c r="O279"/>
    </row>
    <row r="280" spans="11:15" x14ac:dyDescent="0.25">
      <c r="K280"/>
      <c r="L280"/>
      <c r="M280"/>
      <c r="N280"/>
      <c r="O280"/>
    </row>
    <row r="281" spans="11:15" x14ac:dyDescent="0.25">
      <c r="K281"/>
      <c r="L281"/>
      <c r="M281"/>
      <c r="N281"/>
      <c r="O281"/>
    </row>
    <row r="282" spans="11:15" x14ac:dyDescent="0.25">
      <c r="K282"/>
      <c r="L282"/>
      <c r="M282"/>
      <c r="N282"/>
      <c r="O282"/>
    </row>
    <row r="283" spans="11:15" x14ac:dyDescent="0.25">
      <c r="K283"/>
      <c r="L283"/>
      <c r="M283"/>
      <c r="N283"/>
      <c r="O283"/>
    </row>
    <row r="284" spans="11:15" x14ac:dyDescent="0.25">
      <c r="K284"/>
      <c r="L284"/>
      <c r="M284"/>
      <c r="N284"/>
      <c r="O284"/>
    </row>
    <row r="285" spans="11:15" x14ac:dyDescent="0.25">
      <c r="K285"/>
      <c r="L285"/>
      <c r="M285"/>
      <c r="N285"/>
      <c r="O285"/>
    </row>
    <row r="286" spans="11:15" x14ac:dyDescent="0.25">
      <c r="K286"/>
      <c r="L286"/>
      <c r="M286"/>
      <c r="N286"/>
      <c r="O286"/>
    </row>
    <row r="287" spans="11:15" x14ac:dyDescent="0.25">
      <c r="K287"/>
      <c r="L287"/>
      <c r="M287"/>
      <c r="N287"/>
      <c r="O287"/>
    </row>
    <row r="288" spans="11:15" x14ac:dyDescent="0.25">
      <c r="K288"/>
      <c r="L288"/>
      <c r="M288"/>
      <c r="N288"/>
      <c r="O288"/>
    </row>
    <row r="289" spans="11:15" x14ac:dyDescent="0.25">
      <c r="K289"/>
      <c r="L289"/>
      <c r="M289"/>
      <c r="N289"/>
      <c r="O289"/>
    </row>
    <row r="290" spans="11:15" x14ac:dyDescent="0.25">
      <c r="K290"/>
      <c r="L290"/>
      <c r="M290"/>
      <c r="N290"/>
      <c r="O290"/>
    </row>
    <row r="291" spans="11:15" x14ac:dyDescent="0.25">
      <c r="K291"/>
      <c r="L291"/>
      <c r="M291"/>
      <c r="N291"/>
      <c r="O291"/>
    </row>
    <row r="292" spans="11:15" x14ac:dyDescent="0.25">
      <c r="K292"/>
      <c r="L292"/>
      <c r="M292"/>
      <c r="N292"/>
      <c r="O292"/>
    </row>
    <row r="293" spans="11:15" x14ac:dyDescent="0.25">
      <c r="K293"/>
      <c r="L293"/>
      <c r="M293"/>
      <c r="N293"/>
      <c r="O293"/>
    </row>
    <row r="294" spans="11:15" x14ac:dyDescent="0.25">
      <c r="K294"/>
      <c r="L294"/>
      <c r="M294"/>
      <c r="N294"/>
      <c r="O294"/>
    </row>
    <row r="295" spans="11:15" x14ac:dyDescent="0.25">
      <c r="K295"/>
      <c r="L295"/>
      <c r="M295"/>
      <c r="N295"/>
      <c r="O295"/>
    </row>
    <row r="296" spans="11:15" x14ac:dyDescent="0.25">
      <c r="K296"/>
      <c r="L296"/>
      <c r="M296"/>
      <c r="N296"/>
      <c r="O296"/>
    </row>
    <row r="297" spans="11:15" x14ac:dyDescent="0.25">
      <c r="K297"/>
      <c r="L297"/>
      <c r="M297"/>
      <c r="N297"/>
      <c r="O297"/>
    </row>
    <row r="298" spans="11:15" x14ac:dyDescent="0.25">
      <c r="K298"/>
      <c r="L298"/>
      <c r="M298"/>
      <c r="N298"/>
      <c r="O298"/>
    </row>
    <row r="299" spans="11:15" x14ac:dyDescent="0.25">
      <c r="K299"/>
      <c r="L299"/>
      <c r="M299"/>
      <c r="N299"/>
      <c r="O299"/>
    </row>
    <row r="300" spans="11:15" x14ac:dyDescent="0.25">
      <c r="K300"/>
      <c r="L300"/>
      <c r="M300"/>
      <c r="N300"/>
      <c r="O300"/>
    </row>
    <row r="301" spans="11:15" x14ac:dyDescent="0.25">
      <c r="K301"/>
      <c r="L301"/>
      <c r="M301"/>
      <c r="N301"/>
      <c r="O301"/>
    </row>
    <row r="302" spans="11:15" x14ac:dyDescent="0.25">
      <c r="K302"/>
      <c r="L302"/>
      <c r="M302"/>
      <c r="N302"/>
      <c r="O302"/>
    </row>
    <row r="303" spans="11:15" x14ac:dyDescent="0.25">
      <c r="K303"/>
      <c r="L303"/>
      <c r="M303"/>
      <c r="N303"/>
      <c r="O303"/>
    </row>
    <row r="304" spans="11:15" x14ac:dyDescent="0.25">
      <c r="K304"/>
      <c r="L304"/>
      <c r="M304"/>
      <c r="N304"/>
      <c r="O304"/>
    </row>
    <row r="305" spans="11:15" x14ac:dyDescent="0.25">
      <c r="K305"/>
      <c r="L305"/>
      <c r="M305"/>
      <c r="N305"/>
      <c r="O305"/>
    </row>
    <row r="306" spans="11:15" x14ac:dyDescent="0.25">
      <c r="K306"/>
      <c r="L306"/>
      <c r="M306"/>
      <c r="N306"/>
      <c r="O306"/>
    </row>
    <row r="307" spans="11:15" x14ac:dyDescent="0.25">
      <c r="K307"/>
      <c r="L307"/>
      <c r="M307"/>
      <c r="N307"/>
      <c r="O307"/>
    </row>
    <row r="308" spans="11:15" x14ac:dyDescent="0.25">
      <c r="K308"/>
      <c r="L308"/>
      <c r="M308"/>
      <c r="N308"/>
      <c r="O308"/>
    </row>
    <row r="309" spans="11:15" x14ac:dyDescent="0.25">
      <c r="K309"/>
      <c r="L309"/>
      <c r="M309"/>
      <c r="N309"/>
      <c r="O309"/>
    </row>
    <row r="310" spans="11:15" x14ac:dyDescent="0.25">
      <c r="K310"/>
      <c r="L310"/>
      <c r="M310"/>
      <c r="N310"/>
      <c r="O310"/>
    </row>
    <row r="311" spans="11:15" x14ac:dyDescent="0.25">
      <c r="K311"/>
      <c r="L311"/>
      <c r="M311"/>
      <c r="N311"/>
      <c r="O311"/>
    </row>
    <row r="312" spans="11:15" x14ac:dyDescent="0.25">
      <c r="K312"/>
      <c r="L312"/>
      <c r="M312"/>
      <c r="N312"/>
      <c r="O312"/>
    </row>
    <row r="313" spans="11:15" x14ac:dyDescent="0.25">
      <c r="K313"/>
      <c r="L313"/>
      <c r="M313"/>
      <c r="N313"/>
      <c r="O313"/>
    </row>
    <row r="314" spans="11:15" x14ac:dyDescent="0.25">
      <c r="K314"/>
      <c r="L314"/>
      <c r="M314"/>
      <c r="N314"/>
      <c r="O314"/>
    </row>
    <row r="315" spans="11:15" x14ac:dyDescent="0.25">
      <c r="K315"/>
      <c r="L315"/>
      <c r="M315"/>
      <c r="N315"/>
      <c r="O315"/>
    </row>
    <row r="316" spans="11:15" x14ac:dyDescent="0.25">
      <c r="K316"/>
      <c r="L316"/>
      <c r="M316"/>
      <c r="N316"/>
      <c r="O316"/>
    </row>
    <row r="317" spans="11:15" x14ac:dyDescent="0.25">
      <c r="K317"/>
      <c r="L317"/>
      <c r="M317"/>
      <c r="N317"/>
      <c r="O317"/>
    </row>
    <row r="318" spans="11:15" x14ac:dyDescent="0.25">
      <c r="K318"/>
      <c r="L318"/>
      <c r="M318"/>
      <c r="N318"/>
      <c r="O318"/>
    </row>
    <row r="319" spans="11:15" x14ac:dyDescent="0.25">
      <c r="K319"/>
      <c r="L319"/>
      <c r="M319"/>
      <c r="N319"/>
      <c r="O319"/>
    </row>
    <row r="320" spans="11:15" x14ac:dyDescent="0.25">
      <c r="K320"/>
      <c r="L320"/>
      <c r="M320"/>
      <c r="N320"/>
      <c r="O320"/>
    </row>
    <row r="321" spans="11:15" x14ac:dyDescent="0.25">
      <c r="K321"/>
      <c r="L321"/>
      <c r="M321"/>
      <c r="N321"/>
      <c r="O321"/>
    </row>
    <row r="322" spans="11:15" x14ac:dyDescent="0.25">
      <c r="K322"/>
      <c r="L322"/>
      <c r="M322"/>
      <c r="N322"/>
      <c r="O322"/>
    </row>
    <row r="323" spans="11:15" x14ac:dyDescent="0.25">
      <c r="K323"/>
      <c r="L323"/>
      <c r="M323"/>
      <c r="N323"/>
      <c r="O323"/>
    </row>
    <row r="324" spans="11:15" x14ac:dyDescent="0.25">
      <c r="K324"/>
      <c r="L324"/>
      <c r="M324"/>
      <c r="N324"/>
      <c r="O324"/>
    </row>
    <row r="325" spans="11:15" x14ac:dyDescent="0.25">
      <c r="K325"/>
      <c r="L325"/>
      <c r="M325"/>
      <c r="N325"/>
      <c r="O325"/>
    </row>
    <row r="326" spans="11:15" x14ac:dyDescent="0.25">
      <c r="K326"/>
      <c r="L326"/>
      <c r="M326"/>
      <c r="N326"/>
      <c r="O326"/>
    </row>
    <row r="327" spans="11:15" x14ac:dyDescent="0.25">
      <c r="K327"/>
      <c r="L327"/>
      <c r="M327"/>
      <c r="N327"/>
      <c r="O327"/>
    </row>
    <row r="328" spans="11:15" x14ac:dyDescent="0.25">
      <c r="K328"/>
      <c r="L328"/>
      <c r="M328"/>
      <c r="N328"/>
      <c r="O328"/>
    </row>
    <row r="329" spans="11:15" x14ac:dyDescent="0.25">
      <c r="K329"/>
      <c r="L329"/>
      <c r="M329"/>
      <c r="N329"/>
      <c r="O329"/>
    </row>
    <row r="330" spans="11:15" x14ac:dyDescent="0.25">
      <c r="K330"/>
      <c r="L330"/>
      <c r="M330"/>
      <c r="N330"/>
      <c r="O330"/>
    </row>
    <row r="331" spans="11:15" x14ac:dyDescent="0.25">
      <c r="K331"/>
      <c r="L331"/>
      <c r="M331"/>
      <c r="N331"/>
      <c r="O331"/>
    </row>
    <row r="332" spans="11:15" x14ac:dyDescent="0.25">
      <c r="K332"/>
      <c r="L332"/>
      <c r="M332"/>
      <c r="N332"/>
      <c r="O332"/>
    </row>
    <row r="333" spans="11:15" x14ac:dyDescent="0.25">
      <c r="K333"/>
      <c r="L333"/>
      <c r="M333"/>
      <c r="N333"/>
      <c r="O333"/>
    </row>
    <row r="334" spans="11:15" x14ac:dyDescent="0.25">
      <c r="K334"/>
      <c r="L334"/>
      <c r="M334"/>
      <c r="N334"/>
      <c r="O334"/>
    </row>
    <row r="335" spans="11:15" x14ac:dyDescent="0.25">
      <c r="K335"/>
      <c r="L335"/>
      <c r="M335"/>
      <c r="N335"/>
      <c r="O335"/>
    </row>
    <row r="336" spans="11:15" x14ac:dyDescent="0.25">
      <c r="K336"/>
      <c r="L336"/>
      <c r="M336"/>
      <c r="N336"/>
      <c r="O336"/>
    </row>
    <row r="337" spans="11:15" x14ac:dyDescent="0.25">
      <c r="K337"/>
      <c r="L337"/>
      <c r="M337"/>
      <c r="N337"/>
      <c r="O337"/>
    </row>
    <row r="338" spans="11:15" x14ac:dyDescent="0.25">
      <c r="K338"/>
      <c r="L338"/>
      <c r="M338"/>
      <c r="N338"/>
      <c r="O338"/>
    </row>
    <row r="339" spans="11:15" x14ac:dyDescent="0.25">
      <c r="K339"/>
      <c r="L339"/>
      <c r="M339"/>
      <c r="N339"/>
      <c r="O339"/>
    </row>
    <row r="340" spans="11:15" x14ac:dyDescent="0.25">
      <c r="K340"/>
      <c r="L340"/>
      <c r="M340"/>
      <c r="N340"/>
      <c r="O340"/>
    </row>
    <row r="341" spans="11:15" x14ac:dyDescent="0.25">
      <c r="K341"/>
      <c r="L341"/>
      <c r="M341"/>
      <c r="N341"/>
      <c r="O341"/>
    </row>
    <row r="342" spans="11:15" x14ac:dyDescent="0.25">
      <c r="K342"/>
      <c r="L342"/>
      <c r="M342"/>
      <c r="N342"/>
      <c r="O342"/>
    </row>
    <row r="343" spans="11:15" x14ac:dyDescent="0.25">
      <c r="K343"/>
      <c r="L343"/>
      <c r="M343"/>
      <c r="N343"/>
      <c r="O343"/>
    </row>
    <row r="344" spans="11:15" x14ac:dyDescent="0.25">
      <c r="K344"/>
      <c r="L344"/>
      <c r="M344"/>
      <c r="N344"/>
      <c r="O344"/>
    </row>
    <row r="345" spans="11:15" x14ac:dyDescent="0.25">
      <c r="K345"/>
      <c r="L345"/>
      <c r="M345"/>
      <c r="N345"/>
      <c r="O345"/>
    </row>
    <row r="346" spans="11:15" x14ac:dyDescent="0.25">
      <c r="K346"/>
      <c r="L346"/>
      <c r="M346"/>
      <c r="N346"/>
      <c r="O346"/>
    </row>
    <row r="347" spans="11:15" x14ac:dyDescent="0.25">
      <c r="K347"/>
      <c r="L347"/>
      <c r="M347"/>
      <c r="N347"/>
      <c r="O347"/>
    </row>
    <row r="348" spans="11:15" x14ac:dyDescent="0.25">
      <c r="K348"/>
      <c r="L348"/>
      <c r="M348"/>
      <c r="N348"/>
      <c r="O348"/>
    </row>
    <row r="349" spans="11:15" x14ac:dyDescent="0.25">
      <c r="K349"/>
      <c r="L349"/>
      <c r="M349"/>
      <c r="N349"/>
      <c r="O349"/>
    </row>
    <row r="350" spans="11:15" x14ac:dyDescent="0.25">
      <c r="K350"/>
      <c r="L350"/>
      <c r="M350"/>
      <c r="N350"/>
      <c r="O350"/>
    </row>
    <row r="351" spans="11:15" x14ac:dyDescent="0.25">
      <c r="K351"/>
      <c r="L351"/>
      <c r="M351"/>
      <c r="N351"/>
      <c r="O351"/>
    </row>
    <row r="352" spans="11:15" x14ac:dyDescent="0.25">
      <c r="K352"/>
      <c r="L352"/>
      <c r="M352"/>
      <c r="N352"/>
      <c r="O352"/>
    </row>
    <row r="353" spans="11:15" x14ac:dyDescent="0.25">
      <c r="K353"/>
      <c r="L353"/>
      <c r="M353"/>
      <c r="N353"/>
      <c r="O353"/>
    </row>
    <row r="354" spans="11:15" x14ac:dyDescent="0.25">
      <c r="K354"/>
      <c r="L354"/>
      <c r="M354"/>
      <c r="N354"/>
      <c r="O354"/>
    </row>
    <row r="355" spans="11:15" x14ac:dyDescent="0.25">
      <c r="K355"/>
      <c r="L355"/>
      <c r="M355"/>
      <c r="N355"/>
      <c r="O355"/>
    </row>
    <row r="356" spans="11:15" x14ac:dyDescent="0.25">
      <c r="K356"/>
      <c r="L356"/>
      <c r="M356"/>
      <c r="N356"/>
      <c r="O356"/>
    </row>
    <row r="357" spans="11:15" x14ac:dyDescent="0.25">
      <c r="K357"/>
      <c r="L357"/>
      <c r="M357"/>
      <c r="N357"/>
      <c r="O357"/>
    </row>
    <row r="358" spans="11:15" x14ac:dyDescent="0.25">
      <c r="K358"/>
      <c r="L358"/>
      <c r="M358"/>
      <c r="N358"/>
      <c r="O358"/>
    </row>
    <row r="359" spans="11:15" x14ac:dyDescent="0.25">
      <c r="K359"/>
      <c r="L359"/>
      <c r="M359"/>
      <c r="N359"/>
      <c r="O359"/>
    </row>
    <row r="360" spans="11:15" x14ac:dyDescent="0.25">
      <c r="K360"/>
      <c r="L360"/>
      <c r="M360"/>
      <c r="N360"/>
      <c r="O360"/>
    </row>
    <row r="361" spans="11:15" x14ac:dyDescent="0.25">
      <c r="K361"/>
      <c r="L361"/>
      <c r="M361"/>
      <c r="N361"/>
      <c r="O361"/>
    </row>
    <row r="362" spans="11:15" x14ac:dyDescent="0.25">
      <c r="K362"/>
      <c r="L362"/>
      <c r="M362"/>
      <c r="N362"/>
      <c r="O362"/>
    </row>
    <row r="363" spans="11:15" x14ac:dyDescent="0.25">
      <c r="K363"/>
      <c r="L363"/>
      <c r="M363"/>
      <c r="N363"/>
      <c r="O363"/>
    </row>
    <row r="364" spans="11:15" x14ac:dyDescent="0.25">
      <c r="K364"/>
      <c r="L364"/>
      <c r="M364"/>
      <c r="N364"/>
      <c r="O364"/>
    </row>
    <row r="365" spans="11:15" x14ac:dyDescent="0.25">
      <c r="K365"/>
      <c r="L365"/>
      <c r="M365"/>
      <c r="N365"/>
      <c r="O365"/>
    </row>
    <row r="366" spans="11:15" x14ac:dyDescent="0.25">
      <c r="K366"/>
      <c r="L366"/>
      <c r="M366"/>
      <c r="N366"/>
      <c r="O366"/>
    </row>
    <row r="367" spans="11:15" x14ac:dyDescent="0.25">
      <c r="K367"/>
      <c r="L367"/>
      <c r="M367"/>
      <c r="N367"/>
      <c r="O367"/>
    </row>
    <row r="368" spans="11:15" x14ac:dyDescent="0.25">
      <c r="K368"/>
      <c r="L368"/>
      <c r="M368"/>
      <c r="N368"/>
      <c r="O368"/>
    </row>
    <row r="369" spans="11:15" x14ac:dyDescent="0.25">
      <c r="K369"/>
      <c r="L369"/>
      <c r="M369"/>
      <c r="N369"/>
      <c r="O369"/>
    </row>
    <row r="370" spans="11:15" x14ac:dyDescent="0.25">
      <c r="K370"/>
      <c r="L370"/>
      <c r="M370"/>
      <c r="N370"/>
      <c r="O370"/>
    </row>
    <row r="371" spans="11:15" x14ac:dyDescent="0.25">
      <c r="K371"/>
      <c r="L371"/>
      <c r="M371"/>
      <c r="N371"/>
      <c r="O371"/>
    </row>
    <row r="372" spans="11:15" x14ac:dyDescent="0.25">
      <c r="K372"/>
      <c r="L372"/>
      <c r="M372"/>
      <c r="N372"/>
      <c r="O372"/>
    </row>
    <row r="373" spans="11:15" x14ac:dyDescent="0.25">
      <c r="K373"/>
      <c r="L373"/>
      <c r="M373"/>
      <c r="N373"/>
      <c r="O373"/>
    </row>
    <row r="374" spans="11:15" x14ac:dyDescent="0.25">
      <c r="K374"/>
      <c r="L374"/>
      <c r="M374"/>
      <c r="N374"/>
      <c r="O374"/>
    </row>
    <row r="375" spans="11:15" x14ac:dyDescent="0.25">
      <c r="K375"/>
      <c r="L375"/>
      <c r="M375"/>
      <c r="N375"/>
      <c r="O375"/>
    </row>
    <row r="376" spans="11:15" x14ac:dyDescent="0.25">
      <c r="K376"/>
      <c r="L376"/>
      <c r="M376"/>
      <c r="N376"/>
      <c r="O376"/>
    </row>
    <row r="377" spans="11:15" x14ac:dyDescent="0.25">
      <c r="K377"/>
      <c r="L377"/>
      <c r="M377"/>
      <c r="N377"/>
      <c r="O377"/>
    </row>
    <row r="378" spans="11:15" x14ac:dyDescent="0.25">
      <c r="K378"/>
      <c r="L378"/>
      <c r="M378"/>
      <c r="N378"/>
      <c r="O378"/>
    </row>
    <row r="379" spans="11:15" x14ac:dyDescent="0.25">
      <c r="K379"/>
      <c r="L379"/>
      <c r="M379"/>
      <c r="N379"/>
      <c r="O379"/>
    </row>
    <row r="380" spans="11:15" x14ac:dyDescent="0.25">
      <c r="K380"/>
      <c r="L380"/>
      <c r="M380"/>
      <c r="N380"/>
      <c r="O380"/>
    </row>
    <row r="381" spans="11:15" x14ac:dyDescent="0.25">
      <c r="K381"/>
      <c r="L381"/>
      <c r="M381"/>
      <c r="N381"/>
      <c r="O381"/>
    </row>
    <row r="382" spans="11:15" x14ac:dyDescent="0.25">
      <c r="K382"/>
      <c r="L382"/>
      <c r="M382"/>
      <c r="N382"/>
      <c r="O382"/>
    </row>
    <row r="383" spans="11:15" x14ac:dyDescent="0.25">
      <c r="K383"/>
      <c r="L383"/>
      <c r="M383"/>
      <c r="N383"/>
      <c r="O383"/>
    </row>
    <row r="384" spans="11:15" x14ac:dyDescent="0.25">
      <c r="K384"/>
      <c r="L384"/>
      <c r="M384"/>
      <c r="N384"/>
      <c r="O384"/>
    </row>
    <row r="385" spans="11:15" x14ac:dyDescent="0.25">
      <c r="K385"/>
      <c r="L385"/>
      <c r="M385"/>
      <c r="N385"/>
      <c r="O385"/>
    </row>
    <row r="386" spans="11:15" x14ac:dyDescent="0.25">
      <c r="K386"/>
      <c r="L386"/>
      <c r="M386"/>
      <c r="N386"/>
      <c r="O386"/>
    </row>
    <row r="387" spans="11:15" x14ac:dyDescent="0.25">
      <c r="K387"/>
      <c r="L387"/>
      <c r="M387"/>
      <c r="N387"/>
      <c r="O387"/>
    </row>
    <row r="388" spans="11:15" x14ac:dyDescent="0.25">
      <c r="K388"/>
      <c r="L388"/>
      <c r="M388"/>
      <c r="N388"/>
      <c r="O388"/>
    </row>
    <row r="389" spans="11:15" x14ac:dyDescent="0.25">
      <c r="K389"/>
      <c r="L389"/>
      <c r="M389"/>
      <c r="N389"/>
      <c r="O389"/>
    </row>
    <row r="390" spans="11:15" x14ac:dyDescent="0.25">
      <c r="K390"/>
      <c r="L390"/>
      <c r="M390"/>
      <c r="N390"/>
      <c r="O390"/>
    </row>
    <row r="391" spans="11:15" x14ac:dyDescent="0.25">
      <c r="K391"/>
      <c r="L391"/>
      <c r="M391"/>
      <c r="N391"/>
      <c r="O391"/>
    </row>
    <row r="392" spans="11:15" x14ac:dyDescent="0.25">
      <c r="K392"/>
      <c r="L392"/>
      <c r="M392"/>
      <c r="N392"/>
      <c r="O392"/>
    </row>
    <row r="393" spans="11:15" x14ac:dyDescent="0.25">
      <c r="K393"/>
      <c r="L393"/>
      <c r="M393"/>
      <c r="N393"/>
      <c r="O393"/>
    </row>
    <row r="394" spans="11:15" x14ac:dyDescent="0.25">
      <c r="K394"/>
      <c r="L394"/>
      <c r="M394"/>
      <c r="N394"/>
      <c r="O394"/>
    </row>
    <row r="395" spans="11:15" x14ac:dyDescent="0.25">
      <c r="K395"/>
      <c r="L395"/>
      <c r="M395"/>
      <c r="N395"/>
      <c r="O395"/>
    </row>
    <row r="396" spans="11:15" x14ac:dyDescent="0.25">
      <c r="K396"/>
      <c r="L396"/>
      <c r="M396"/>
      <c r="N396"/>
      <c r="O396"/>
    </row>
    <row r="397" spans="11:15" x14ac:dyDescent="0.25">
      <c r="K397"/>
      <c r="L397"/>
      <c r="M397"/>
      <c r="N397"/>
      <c r="O397"/>
    </row>
    <row r="398" spans="11:15" x14ac:dyDescent="0.25">
      <c r="K398"/>
      <c r="L398"/>
      <c r="M398"/>
      <c r="N398"/>
      <c r="O398"/>
    </row>
    <row r="399" spans="11:15" x14ac:dyDescent="0.25">
      <c r="K399"/>
      <c r="L399"/>
      <c r="M399"/>
      <c r="N399"/>
      <c r="O399"/>
    </row>
    <row r="400" spans="11:15" x14ac:dyDescent="0.25">
      <c r="K400"/>
      <c r="L400"/>
      <c r="M400"/>
      <c r="N400"/>
      <c r="O400"/>
    </row>
    <row r="401" spans="11:15" x14ac:dyDescent="0.25">
      <c r="K401"/>
      <c r="L401"/>
      <c r="M401"/>
      <c r="N401"/>
      <c r="O401"/>
    </row>
    <row r="402" spans="11:15" x14ac:dyDescent="0.25">
      <c r="K402"/>
      <c r="L402"/>
      <c r="M402"/>
      <c r="N402"/>
      <c r="O402"/>
    </row>
    <row r="403" spans="11:15" x14ac:dyDescent="0.25">
      <c r="K403"/>
      <c r="L403"/>
      <c r="M403"/>
      <c r="N403"/>
      <c r="O403"/>
    </row>
    <row r="404" spans="11:15" x14ac:dyDescent="0.25">
      <c r="K404"/>
      <c r="L404"/>
      <c r="M404"/>
      <c r="N404"/>
      <c r="O404"/>
    </row>
    <row r="405" spans="11:15" x14ac:dyDescent="0.25">
      <c r="K405"/>
      <c r="L405"/>
      <c r="M405"/>
      <c r="N405"/>
      <c r="O405"/>
    </row>
    <row r="406" spans="11:15" x14ac:dyDescent="0.25">
      <c r="K406"/>
      <c r="L406"/>
      <c r="M406"/>
      <c r="N406"/>
      <c r="O406"/>
    </row>
    <row r="407" spans="11:15" x14ac:dyDescent="0.25">
      <c r="K407"/>
      <c r="L407"/>
      <c r="M407"/>
      <c r="N407"/>
      <c r="O407"/>
    </row>
    <row r="408" spans="11:15" x14ac:dyDescent="0.25">
      <c r="K408"/>
      <c r="L408"/>
      <c r="M408"/>
      <c r="N408"/>
      <c r="O408"/>
    </row>
    <row r="409" spans="11:15" x14ac:dyDescent="0.25">
      <c r="K409"/>
      <c r="L409"/>
      <c r="M409"/>
      <c r="N409"/>
      <c r="O409"/>
    </row>
    <row r="410" spans="11:15" x14ac:dyDescent="0.25">
      <c r="K410"/>
      <c r="L410"/>
      <c r="M410"/>
      <c r="N410"/>
      <c r="O410"/>
    </row>
    <row r="411" spans="11:15" x14ac:dyDescent="0.25">
      <c r="K411"/>
      <c r="L411"/>
      <c r="M411"/>
      <c r="N411"/>
      <c r="O411"/>
    </row>
    <row r="412" spans="11:15" x14ac:dyDescent="0.25">
      <c r="K412"/>
      <c r="L412"/>
      <c r="M412"/>
      <c r="N412"/>
      <c r="O412"/>
    </row>
    <row r="413" spans="11:15" x14ac:dyDescent="0.25">
      <c r="K413"/>
      <c r="L413"/>
      <c r="M413"/>
      <c r="N413"/>
      <c r="O413"/>
    </row>
    <row r="414" spans="11:15" x14ac:dyDescent="0.25">
      <c r="K414"/>
      <c r="L414"/>
      <c r="M414"/>
      <c r="N414"/>
      <c r="O414"/>
    </row>
    <row r="415" spans="11:15" x14ac:dyDescent="0.25">
      <c r="K415"/>
      <c r="L415"/>
      <c r="M415"/>
      <c r="N415"/>
      <c r="O415"/>
    </row>
    <row r="416" spans="11:15" x14ac:dyDescent="0.25">
      <c r="K416"/>
      <c r="L416"/>
      <c r="M416"/>
      <c r="N416"/>
      <c r="O416"/>
    </row>
    <row r="417" spans="11:15" x14ac:dyDescent="0.25">
      <c r="K417"/>
      <c r="L417"/>
      <c r="M417"/>
      <c r="N417"/>
      <c r="O417"/>
    </row>
    <row r="418" spans="11:15" x14ac:dyDescent="0.25">
      <c r="K418"/>
      <c r="L418"/>
      <c r="M418"/>
      <c r="N418"/>
      <c r="O418"/>
    </row>
    <row r="419" spans="11:15" x14ac:dyDescent="0.25">
      <c r="K419"/>
      <c r="L419"/>
      <c r="M419"/>
      <c r="N419"/>
      <c r="O419"/>
    </row>
    <row r="420" spans="11:15" x14ac:dyDescent="0.25">
      <c r="K420"/>
      <c r="L420"/>
      <c r="M420"/>
      <c r="N420"/>
      <c r="O420"/>
    </row>
    <row r="421" spans="11:15" x14ac:dyDescent="0.25">
      <c r="K421"/>
      <c r="L421"/>
      <c r="M421"/>
      <c r="N421"/>
      <c r="O421"/>
    </row>
    <row r="422" spans="11:15" x14ac:dyDescent="0.25">
      <c r="K422"/>
      <c r="L422"/>
      <c r="M422"/>
      <c r="N422"/>
      <c r="O422"/>
    </row>
    <row r="423" spans="11:15" x14ac:dyDescent="0.25">
      <c r="K423"/>
      <c r="L423"/>
      <c r="M423"/>
      <c r="N423"/>
      <c r="O423"/>
    </row>
    <row r="424" spans="11:15" x14ac:dyDescent="0.25">
      <c r="K424"/>
      <c r="L424"/>
      <c r="M424"/>
      <c r="N424"/>
      <c r="O424"/>
    </row>
    <row r="425" spans="11:15" x14ac:dyDescent="0.25">
      <c r="K425"/>
      <c r="L425"/>
      <c r="M425"/>
      <c r="N425"/>
      <c r="O425"/>
    </row>
    <row r="426" spans="11:15" x14ac:dyDescent="0.25">
      <c r="K426"/>
      <c r="L426"/>
      <c r="M426"/>
      <c r="N426"/>
      <c r="O426"/>
    </row>
    <row r="427" spans="11:15" x14ac:dyDescent="0.25">
      <c r="K427"/>
      <c r="L427"/>
      <c r="M427"/>
      <c r="N427"/>
      <c r="O427"/>
    </row>
    <row r="428" spans="11:15" x14ac:dyDescent="0.25">
      <c r="K428"/>
      <c r="L428"/>
      <c r="M428"/>
      <c r="N428"/>
      <c r="O428"/>
    </row>
    <row r="429" spans="11:15" x14ac:dyDescent="0.25">
      <c r="K429"/>
      <c r="L429"/>
      <c r="M429"/>
      <c r="N429"/>
      <c r="O429"/>
    </row>
    <row r="430" spans="11:15" x14ac:dyDescent="0.25">
      <c r="K430"/>
      <c r="L430"/>
      <c r="M430"/>
      <c r="N430"/>
      <c r="O430"/>
    </row>
    <row r="431" spans="11:15" x14ac:dyDescent="0.25">
      <c r="K431"/>
      <c r="L431"/>
      <c r="M431"/>
      <c r="N431"/>
      <c r="O431"/>
    </row>
    <row r="432" spans="11:15" x14ac:dyDescent="0.25">
      <c r="K432"/>
      <c r="L432"/>
      <c r="M432"/>
      <c r="N432"/>
      <c r="O432"/>
    </row>
    <row r="433" spans="11:15" x14ac:dyDescent="0.25">
      <c r="K433"/>
      <c r="L433"/>
      <c r="M433"/>
      <c r="N433"/>
      <c r="O433"/>
    </row>
    <row r="434" spans="11:15" x14ac:dyDescent="0.25">
      <c r="K434"/>
      <c r="L434"/>
      <c r="M434"/>
      <c r="N434"/>
      <c r="O434"/>
    </row>
    <row r="435" spans="11:15" x14ac:dyDescent="0.25">
      <c r="K435"/>
      <c r="L435"/>
      <c r="M435"/>
      <c r="N435"/>
      <c r="O435"/>
    </row>
    <row r="436" spans="11:15" x14ac:dyDescent="0.25">
      <c r="K436"/>
      <c r="L436"/>
      <c r="M436"/>
      <c r="N436"/>
      <c r="O436"/>
    </row>
    <row r="437" spans="11:15" x14ac:dyDescent="0.25">
      <c r="K437"/>
      <c r="L437"/>
      <c r="M437"/>
      <c r="N437"/>
      <c r="O437"/>
    </row>
    <row r="438" spans="11:15" x14ac:dyDescent="0.25">
      <c r="K438"/>
      <c r="L438"/>
      <c r="M438"/>
      <c r="N438"/>
      <c r="O438"/>
    </row>
    <row r="439" spans="11:15" x14ac:dyDescent="0.25">
      <c r="K439"/>
      <c r="L439"/>
      <c r="M439"/>
      <c r="N439"/>
      <c r="O439"/>
    </row>
    <row r="440" spans="11:15" x14ac:dyDescent="0.25">
      <c r="K440"/>
      <c r="L440"/>
      <c r="M440"/>
      <c r="N440"/>
      <c r="O440"/>
    </row>
    <row r="441" spans="11:15" x14ac:dyDescent="0.25">
      <c r="K441"/>
      <c r="L441"/>
      <c r="M441"/>
      <c r="N441"/>
      <c r="O441"/>
    </row>
    <row r="442" spans="11:15" x14ac:dyDescent="0.25">
      <c r="K442"/>
      <c r="L442"/>
      <c r="M442"/>
      <c r="N442"/>
      <c r="O442"/>
    </row>
    <row r="443" spans="11:15" x14ac:dyDescent="0.25">
      <c r="K443"/>
      <c r="L443"/>
      <c r="M443"/>
      <c r="N443"/>
      <c r="O443"/>
    </row>
    <row r="444" spans="11:15" x14ac:dyDescent="0.25">
      <c r="K444"/>
      <c r="L444"/>
      <c r="M444"/>
      <c r="N444"/>
      <c r="O444"/>
    </row>
    <row r="445" spans="11:15" x14ac:dyDescent="0.25">
      <c r="K445"/>
      <c r="L445"/>
      <c r="M445"/>
      <c r="N445"/>
      <c r="O445"/>
    </row>
    <row r="446" spans="11:15" x14ac:dyDescent="0.25">
      <c r="K446"/>
      <c r="L446"/>
      <c r="M446"/>
      <c r="N446"/>
      <c r="O446"/>
    </row>
    <row r="447" spans="11:15" x14ac:dyDescent="0.25">
      <c r="K447"/>
      <c r="L447"/>
      <c r="M447"/>
      <c r="N447"/>
      <c r="O447"/>
    </row>
    <row r="448" spans="11:15" x14ac:dyDescent="0.25">
      <c r="K448"/>
      <c r="L448"/>
      <c r="M448"/>
      <c r="N448"/>
      <c r="O448"/>
    </row>
    <row r="449" spans="11:15" x14ac:dyDescent="0.25">
      <c r="K449"/>
      <c r="L449"/>
      <c r="M449"/>
      <c r="N449"/>
      <c r="O449"/>
    </row>
    <row r="450" spans="11:15" x14ac:dyDescent="0.25">
      <c r="K450"/>
      <c r="L450"/>
      <c r="M450"/>
      <c r="N450"/>
      <c r="O450"/>
    </row>
    <row r="451" spans="11:15" x14ac:dyDescent="0.25">
      <c r="K451"/>
      <c r="L451"/>
      <c r="M451"/>
      <c r="N451"/>
      <c r="O451"/>
    </row>
    <row r="452" spans="11:15" x14ac:dyDescent="0.25">
      <c r="K452"/>
      <c r="L452"/>
      <c r="M452"/>
      <c r="N452"/>
      <c r="O452"/>
    </row>
    <row r="453" spans="11:15" x14ac:dyDescent="0.25">
      <c r="K453"/>
      <c r="L453"/>
      <c r="M453"/>
      <c r="N453"/>
      <c r="O453"/>
    </row>
    <row r="454" spans="11:15" x14ac:dyDescent="0.25">
      <c r="K454"/>
      <c r="L454"/>
      <c r="M454"/>
      <c r="N454"/>
      <c r="O454"/>
    </row>
    <row r="455" spans="11:15" x14ac:dyDescent="0.25">
      <c r="K455"/>
      <c r="L455"/>
      <c r="M455"/>
      <c r="N455"/>
      <c r="O455"/>
    </row>
    <row r="456" spans="11:15" x14ac:dyDescent="0.25">
      <c r="K456"/>
      <c r="L456"/>
      <c r="M456"/>
      <c r="N456"/>
      <c r="O456"/>
    </row>
    <row r="457" spans="11:15" x14ac:dyDescent="0.25">
      <c r="K457"/>
      <c r="L457"/>
      <c r="M457"/>
      <c r="N457"/>
      <c r="O457"/>
    </row>
    <row r="458" spans="11:15" x14ac:dyDescent="0.25">
      <c r="K458"/>
      <c r="L458"/>
      <c r="M458"/>
      <c r="N458"/>
      <c r="O458"/>
    </row>
    <row r="459" spans="11:15" x14ac:dyDescent="0.25">
      <c r="K459"/>
      <c r="L459"/>
      <c r="M459"/>
      <c r="N459"/>
      <c r="O459"/>
    </row>
    <row r="460" spans="11:15" x14ac:dyDescent="0.25">
      <c r="K460"/>
      <c r="L460"/>
      <c r="M460"/>
      <c r="N460"/>
      <c r="O460"/>
    </row>
    <row r="461" spans="11:15" x14ac:dyDescent="0.25">
      <c r="K461"/>
      <c r="L461"/>
      <c r="M461"/>
      <c r="N461"/>
      <c r="O461"/>
    </row>
    <row r="462" spans="11:15" x14ac:dyDescent="0.25">
      <c r="K462"/>
      <c r="L462"/>
      <c r="M462"/>
      <c r="N462"/>
      <c r="O462"/>
    </row>
    <row r="463" spans="11:15" x14ac:dyDescent="0.25">
      <c r="K463"/>
      <c r="L463"/>
      <c r="M463"/>
      <c r="N463"/>
      <c r="O463"/>
    </row>
    <row r="464" spans="11:15" x14ac:dyDescent="0.25">
      <c r="K464"/>
      <c r="L464"/>
      <c r="M464"/>
      <c r="N464"/>
      <c r="O464"/>
    </row>
    <row r="465" spans="11:15" x14ac:dyDescent="0.25">
      <c r="K465"/>
      <c r="L465"/>
      <c r="M465"/>
      <c r="N465"/>
      <c r="O465"/>
    </row>
    <row r="466" spans="11:15" x14ac:dyDescent="0.25">
      <c r="K466"/>
      <c r="L466"/>
      <c r="M466"/>
      <c r="N466"/>
      <c r="O466"/>
    </row>
    <row r="467" spans="11:15" x14ac:dyDescent="0.25">
      <c r="K467"/>
      <c r="L467"/>
      <c r="M467"/>
      <c r="N467"/>
      <c r="O467"/>
    </row>
    <row r="468" spans="11:15" x14ac:dyDescent="0.25">
      <c r="K468"/>
      <c r="L468"/>
      <c r="M468"/>
      <c r="N468"/>
      <c r="O468"/>
    </row>
    <row r="469" spans="11:15" x14ac:dyDescent="0.25">
      <c r="K469"/>
      <c r="L469"/>
      <c r="M469"/>
      <c r="N469"/>
      <c r="O469"/>
    </row>
    <row r="470" spans="11:15" x14ac:dyDescent="0.25">
      <c r="K470"/>
      <c r="L470"/>
      <c r="M470"/>
      <c r="N470"/>
      <c r="O470"/>
    </row>
    <row r="471" spans="11:15" x14ac:dyDescent="0.25">
      <c r="K471"/>
      <c r="L471"/>
      <c r="M471"/>
      <c r="N471"/>
      <c r="O471"/>
    </row>
    <row r="472" spans="11:15" x14ac:dyDescent="0.25">
      <c r="K472"/>
      <c r="L472"/>
      <c r="M472"/>
      <c r="N472"/>
      <c r="O472"/>
    </row>
    <row r="473" spans="11:15" x14ac:dyDescent="0.25">
      <c r="K473"/>
      <c r="L473"/>
      <c r="M473"/>
      <c r="N473"/>
      <c r="O473"/>
    </row>
    <row r="474" spans="11:15" x14ac:dyDescent="0.25">
      <c r="K474"/>
      <c r="L474"/>
      <c r="M474"/>
      <c r="N474"/>
      <c r="O474"/>
    </row>
    <row r="475" spans="11:15" x14ac:dyDescent="0.25">
      <c r="K475"/>
      <c r="L475"/>
      <c r="M475"/>
      <c r="N475"/>
      <c r="O475"/>
    </row>
    <row r="476" spans="11:15" x14ac:dyDescent="0.25">
      <c r="K476"/>
      <c r="L476"/>
      <c r="M476"/>
      <c r="N476"/>
      <c r="O476"/>
    </row>
    <row r="477" spans="11:15" x14ac:dyDescent="0.25">
      <c r="K477"/>
      <c r="L477"/>
      <c r="M477"/>
      <c r="N477"/>
      <c r="O477"/>
    </row>
    <row r="478" spans="11:15" x14ac:dyDescent="0.25">
      <c r="K478"/>
      <c r="L478"/>
      <c r="M478"/>
      <c r="N478"/>
      <c r="O478"/>
    </row>
    <row r="479" spans="11:15" x14ac:dyDescent="0.25">
      <c r="K479"/>
      <c r="L479"/>
      <c r="M479"/>
      <c r="N479"/>
      <c r="O479"/>
    </row>
    <row r="480" spans="11:15" x14ac:dyDescent="0.25">
      <c r="K480"/>
      <c r="L480"/>
      <c r="M480"/>
      <c r="N480"/>
      <c r="O480"/>
    </row>
    <row r="481" spans="11:15" x14ac:dyDescent="0.25">
      <c r="K481"/>
      <c r="L481"/>
      <c r="M481"/>
      <c r="N481"/>
      <c r="O481"/>
    </row>
    <row r="482" spans="11:15" x14ac:dyDescent="0.25">
      <c r="K482"/>
      <c r="L482"/>
      <c r="M482"/>
      <c r="N482"/>
      <c r="O482"/>
    </row>
    <row r="483" spans="11:15" x14ac:dyDescent="0.25">
      <c r="K483"/>
      <c r="L483"/>
      <c r="M483"/>
      <c r="N483"/>
      <c r="O483"/>
    </row>
    <row r="484" spans="11:15" x14ac:dyDescent="0.25">
      <c r="K484"/>
      <c r="L484"/>
      <c r="M484"/>
      <c r="N484"/>
      <c r="O484"/>
    </row>
    <row r="485" spans="11:15" x14ac:dyDescent="0.25">
      <c r="K485"/>
      <c r="L485"/>
      <c r="M485"/>
      <c r="N485"/>
      <c r="O485"/>
    </row>
    <row r="486" spans="11:15" x14ac:dyDescent="0.25">
      <c r="K486"/>
      <c r="L486"/>
      <c r="M486"/>
      <c r="N486"/>
      <c r="O486"/>
    </row>
    <row r="487" spans="11:15" x14ac:dyDescent="0.25">
      <c r="K487"/>
      <c r="L487"/>
      <c r="M487"/>
      <c r="N487"/>
      <c r="O487"/>
    </row>
    <row r="488" spans="11:15" x14ac:dyDescent="0.25">
      <c r="K488"/>
      <c r="L488"/>
      <c r="M488"/>
      <c r="N488"/>
      <c r="O488"/>
    </row>
    <row r="489" spans="11:15" x14ac:dyDescent="0.25">
      <c r="K489"/>
      <c r="L489"/>
      <c r="M489"/>
      <c r="N489"/>
      <c r="O489"/>
    </row>
    <row r="490" spans="11:15" x14ac:dyDescent="0.25">
      <c r="K490"/>
      <c r="L490"/>
      <c r="M490"/>
      <c r="N490"/>
      <c r="O490"/>
    </row>
    <row r="491" spans="11:15" x14ac:dyDescent="0.25">
      <c r="K491"/>
      <c r="L491"/>
      <c r="M491"/>
      <c r="N491"/>
      <c r="O491"/>
    </row>
    <row r="492" spans="11:15" x14ac:dyDescent="0.25">
      <c r="K492"/>
      <c r="L492"/>
      <c r="M492"/>
      <c r="N492"/>
      <c r="O492"/>
    </row>
    <row r="493" spans="11:15" x14ac:dyDescent="0.25">
      <c r="K493"/>
      <c r="L493"/>
      <c r="M493"/>
      <c r="N493"/>
      <c r="O493"/>
    </row>
    <row r="494" spans="11:15" x14ac:dyDescent="0.25">
      <c r="K494"/>
      <c r="L494"/>
      <c r="M494"/>
      <c r="N494"/>
      <c r="O494"/>
    </row>
    <row r="495" spans="11:15" x14ac:dyDescent="0.25">
      <c r="K495"/>
      <c r="L495"/>
      <c r="M495"/>
      <c r="N495"/>
      <c r="O495"/>
    </row>
    <row r="496" spans="11:15" x14ac:dyDescent="0.25">
      <c r="K496"/>
      <c r="L496"/>
      <c r="M496"/>
      <c r="N496"/>
      <c r="O496"/>
    </row>
    <row r="497" spans="11:15" x14ac:dyDescent="0.25">
      <c r="K497"/>
      <c r="L497"/>
      <c r="M497"/>
      <c r="N497"/>
      <c r="O497"/>
    </row>
    <row r="498" spans="11:15" x14ac:dyDescent="0.25">
      <c r="K498"/>
      <c r="L498"/>
      <c r="M498"/>
      <c r="N498"/>
      <c r="O498"/>
    </row>
    <row r="499" spans="11:15" x14ac:dyDescent="0.25">
      <c r="K499"/>
      <c r="L499"/>
      <c r="M499"/>
      <c r="N499"/>
      <c r="O499"/>
    </row>
    <row r="500" spans="11:15" x14ac:dyDescent="0.25">
      <c r="K500"/>
      <c r="L500"/>
      <c r="M500"/>
      <c r="N500"/>
      <c r="O500"/>
    </row>
    <row r="501" spans="11:15" x14ac:dyDescent="0.25">
      <c r="K501"/>
      <c r="L501"/>
      <c r="M501"/>
      <c r="N501"/>
      <c r="O501"/>
    </row>
    <row r="502" spans="11:15" x14ac:dyDescent="0.25">
      <c r="K502"/>
      <c r="L502"/>
      <c r="M502"/>
      <c r="N502"/>
      <c r="O502"/>
    </row>
    <row r="503" spans="11:15" x14ac:dyDescent="0.25">
      <c r="K503"/>
      <c r="L503"/>
      <c r="M503"/>
      <c r="N503"/>
      <c r="O503"/>
    </row>
    <row r="504" spans="11:15" x14ac:dyDescent="0.25">
      <c r="K504"/>
      <c r="L504"/>
      <c r="M504"/>
      <c r="N504"/>
      <c r="O504"/>
    </row>
    <row r="505" spans="11:15" x14ac:dyDescent="0.25">
      <c r="K505"/>
      <c r="L505"/>
      <c r="M505"/>
      <c r="N505"/>
      <c r="O505"/>
    </row>
    <row r="506" spans="11:15" x14ac:dyDescent="0.25">
      <c r="K506"/>
      <c r="L506"/>
      <c r="M506"/>
      <c r="N506"/>
      <c r="O506"/>
    </row>
    <row r="507" spans="11:15" x14ac:dyDescent="0.25">
      <c r="K507"/>
      <c r="L507"/>
      <c r="M507"/>
      <c r="N507"/>
      <c r="O507"/>
    </row>
    <row r="508" spans="11:15" x14ac:dyDescent="0.25">
      <c r="K508"/>
      <c r="L508"/>
      <c r="M508"/>
      <c r="N508"/>
      <c r="O508"/>
    </row>
    <row r="509" spans="11:15" x14ac:dyDescent="0.25">
      <c r="K509"/>
      <c r="L509"/>
      <c r="M509"/>
      <c r="N509"/>
      <c r="O509"/>
    </row>
    <row r="510" spans="11:15" x14ac:dyDescent="0.25">
      <c r="K510"/>
      <c r="L510"/>
      <c r="M510"/>
      <c r="N510"/>
      <c r="O510"/>
    </row>
    <row r="511" spans="11:15" x14ac:dyDescent="0.25">
      <c r="K511"/>
      <c r="L511"/>
      <c r="M511"/>
      <c r="N511"/>
      <c r="O511"/>
    </row>
    <row r="512" spans="11:15" x14ac:dyDescent="0.25">
      <c r="K512"/>
      <c r="L512"/>
      <c r="M512"/>
      <c r="N512"/>
      <c r="O512"/>
    </row>
    <row r="513" spans="11:15" x14ac:dyDescent="0.25">
      <c r="K513"/>
      <c r="L513"/>
      <c r="M513"/>
      <c r="N513"/>
      <c r="O513"/>
    </row>
    <row r="514" spans="11:15" x14ac:dyDescent="0.25">
      <c r="K514"/>
      <c r="L514"/>
      <c r="M514"/>
      <c r="N514"/>
      <c r="O514"/>
    </row>
    <row r="515" spans="11:15" x14ac:dyDescent="0.25">
      <c r="K515"/>
      <c r="L515"/>
      <c r="M515"/>
      <c r="N515"/>
      <c r="O515"/>
    </row>
    <row r="516" spans="11:15" x14ac:dyDescent="0.25">
      <c r="K516"/>
      <c r="L516"/>
      <c r="M516"/>
      <c r="N516"/>
      <c r="O516"/>
    </row>
    <row r="517" spans="11:15" x14ac:dyDescent="0.25">
      <c r="K517"/>
      <c r="L517"/>
      <c r="M517"/>
      <c r="N517"/>
      <c r="O517"/>
    </row>
    <row r="518" spans="11:15" x14ac:dyDescent="0.25">
      <c r="K518"/>
      <c r="L518"/>
      <c r="M518"/>
      <c r="N518"/>
      <c r="O518"/>
    </row>
    <row r="519" spans="11:15" x14ac:dyDescent="0.25">
      <c r="K519"/>
      <c r="L519"/>
      <c r="M519"/>
      <c r="N519"/>
      <c r="O519"/>
    </row>
    <row r="520" spans="11:15" x14ac:dyDescent="0.25">
      <c r="K520"/>
      <c r="L520"/>
      <c r="M520"/>
      <c r="N520"/>
      <c r="O520"/>
    </row>
    <row r="521" spans="11:15" x14ac:dyDescent="0.25">
      <c r="K521"/>
      <c r="L521"/>
      <c r="M521"/>
      <c r="N521"/>
      <c r="O521"/>
    </row>
    <row r="522" spans="11:15" x14ac:dyDescent="0.25">
      <c r="K522"/>
      <c r="L522"/>
      <c r="M522"/>
      <c r="N522"/>
      <c r="O522"/>
    </row>
    <row r="523" spans="11:15" x14ac:dyDescent="0.25">
      <c r="K523"/>
      <c r="L523"/>
      <c r="M523"/>
      <c r="N523"/>
      <c r="O523"/>
    </row>
    <row r="524" spans="11:15" x14ac:dyDescent="0.25">
      <c r="K524"/>
      <c r="L524"/>
      <c r="M524"/>
      <c r="N524"/>
      <c r="O524"/>
    </row>
    <row r="525" spans="11:15" x14ac:dyDescent="0.25">
      <c r="K525"/>
      <c r="L525"/>
      <c r="M525"/>
      <c r="N525"/>
      <c r="O525"/>
    </row>
    <row r="526" spans="11:15" x14ac:dyDescent="0.25">
      <c r="K526"/>
      <c r="L526"/>
      <c r="M526"/>
      <c r="N526"/>
      <c r="O526"/>
    </row>
    <row r="527" spans="11:15" x14ac:dyDescent="0.25">
      <c r="K527"/>
      <c r="L527"/>
      <c r="M527"/>
      <c r="N527"/>
      <c r="O527"/>
    </row>
    <row r="528" spans="11:15" x14ac:dyDescent="0.25">
      <c r="K528"/>
      <c r="L528"/>
      <c r="M528"/>
      <c r="N528"/>
      <c r="O528"/>
    </row>
    <row r="529" spans="11:15" x14ac:dyDescent="0.25">
      <c r="K529"/>
      <c r="L529"/>
      <c r="M529"/>
      <c r="N529"/>
      <c r="O529"/>
    </row>
    <row r="530" spans="11:15" x14ac:dyDescent="0.25">
      <c r="K530"/>
      <c r="L530"/>
      <c r="M530"/>
      <c r="N530"/>
      <c r="O530"/>
    </row>
    <row r="531" spans="11:15" x14ac:dyDescent="0.25">
      <c r="K531"/>
      <c r="L531"/>
      <c r="M531"/>
      <c r="N531"/>
      <c r="O531"/>
    </row>
    <row r="532" spans="11:15" x14ac:dyDescent="0.25">
      <c r="K532"/>
      <c r="L532"/>
      <c r="M532"/>
      <c r="N532"/>
      <c r="O532"/>
    </row>
    <row r="533" spans="11:15" x14ac:dyDescent="0.25">
      <c r="K533"/>
      <c r="L533"/>
      <c r="M533"/>
      <c r="N533"/>
      <c r="O533"/>
    </row>
    <row r="534" spans="11:15" x14ac:dyDescent="0.25">
      <c r="K534"/>
      <c r="L534"/>
      <c r="M534"/>
      <c r="N534"/>
      <c r="O534"/>
    </row>
    <row r="535" spans="11:15" x14ac:dyDescent="0.25">
      <c r="K535"/>
      <c r="L535"/>
      <c r="M535"/>
      <c r="N535"/>
      <c r="O535"/>
    </row>
    <row r="536" spans="11:15" x14ac:dyDescent="0.25">
      <c r="K536"/>
      <c r="L536"/>
      <c r="M536"/>
      <c r="N536"/>
      <c r="O536"/>
    </row>
    <row r="537" spans="11:15" x14ac:dyDescent="0.25">
      <c r="K537"/>
      <c r="L537"/>
      <c r="M537"/>
      <c r="N537"/>
      <c r="O537"/>
    </row>
    <row r="538" spans="11:15" x14ac:dyDescent="0.25">
      <c r="K538"/>
      <c r="L538"/>
      <c r="M538"/>
      <c r="N538"/>
      <c r="O538"/>
    </row>
    <row r="539" spans="11:15" x14ac:dyDescent="0.25">
      <c r="K539"/>
      <c r="L539"/>
      <c r="M539"/>
      <c r="N539"/>
      <c r="O539"/>
    </row>
    <row r="540" spans="11:15" x14ac:dyDescent="0.25">
      <c r="K540"/>
      <c r="L540"/>
      <c r="M540"/>
      <c r="N540"/>
      <c r="O540"/>
    </row>
    <row r="541" spans="11:15" x14ac:dyDescent="0.25">
      <c r="K541"/>
      <c r="L541"/>
      <c r="M541"/>
      <c r="N541"/>
      <c r="O541"/>
    </row>
    <row r="542" spans="11:15" x14ac:dyDescent="0.25">
      <c r="K542"/>
      <c r="L542"/>
      <c r="M542"/>
      <c r="N542"/>
      <c r="O542"/>
    </row>
    <row r="543" spans="11:15" x14ac:dyDescent="0.25">
      <c r="K543"/>
      <c r="L543"/>
      <c r="M543"/>
      <c r="N543"/>
      <c r="O543"/>
    </row>
    <row r="544" spans="11:15" x14ac:dyDescent="0.25">
      <c r="K544"/>
      <c r="L544"/>
      <c r="M544"/>
      <c r="N544"/>
      <c r="O544"/>
    </row>
    <row r="545" spans="11:15" x14ac:dyDescent="0.25">
      <c r="K545"/>
      <c r="L545"/>
      <c r="M545"/>
      <c r="N545"/>
      <c r="O545"/>
    </row>
    <row r="546" spans="11:15" x14ac:dyDescent="0.25">
      <c r="K546"/>
      <c r="L546"/>
      <c r="M546"/>
      <c r="N546"/>
      <c r="O546"/>
    </row>
    <row r="547" spans="11:15" x14ac:dyDescent="0.25">
      <c r="K547"/>
      <c r="L547"/>
      <c r="M547"/>
      <c r="N547"/>
      <c r="O547"/>
    </row>
    <row r="548" spans="11:15" x14ac:dyDescent="0.25">
      <c r="K548"/>
      <c r="L548"/>
      <c r="M548"/>
      <c r="N548"/>
      <c r="O548"/>
    </row>
    <row r="549" spans="11:15" x14ac:dyDescent="0.25">
      <c r="K549"/>
      <c r="L549"/>
      <c r="M549"/>
      <c r="N549"/>
      <c r="O549"/>
    </row>
    <row r="550" spans="11:15" x14ac:dyDescent="0.25">
      <c r="K550"/>
      <c r="L550"/>
      <c r="M550"/>
      <c r="N550"/>
      <c r="O550"/>
    </row>
    <row r="551" spans="11:15" x14ac:dyDescent="0.25">
      <c r="K551"/>
      <c r="L551"/>
      <c r="M551"/>
      <c r="N551"/>
      <c r="O551"/>
    </row>
    <row r="552" spans="11:15" x14ac:dyDescent="0.25">
      <c r="K552"/>
      <c r="L552"/>
      <c r="M552"/>
      <c r="N552"/>
      <c r="O552"/>
    </row>
    <row r="553" spans="11:15" x14ac:dyDescent="0.25">
      <c r="K553"/>
      <c r="L553"/>
      <c r="M553"/>
      <c r="N553"/>
      <c r="O553"/>
    </row>
    <row r="554" spans="11:15" x14ac:dyDescent="0.25">
      <c r="K554"/>
      <c r="L554"/>
      <c r="M554"/>
      <c r="N554"/>
      <c r="O554"/>
    </row>
    <row r="555" spans="11:15" x14ac:dyDescent="0.25">
      <c r="K555"/>
      <c r="L555"/>
      <c r="M555"/>
      <c r="N555"/>
      <c r="O555"/>
    </row>
    <row r="556" spans="11:15" x14ac:dyDescent="0.25">
      <c r="K556"/>
      <c r="L556"/>
      <c r="M556"/>
      <c r="N556"/>
      <c r="O556"/>
    </row>
    <row r="557" spans="11:15" x14ac:dyDescent="0.25">
      <c r="K557"/>
      <c r="L557"/>
      <c r="M557"/>
      <c r="N557"/>
      <c r="O557"/>
    </row>
    <row r="558" spans="11:15" x14ac:dyDescent="0.25">
      <c r="K558"/>
      <c r="L558"/>
      <c r="M558"/>
      <c r="N558"/>
      <c r="O558"/>
    </row>
    <row r="559" spans="11:15" x14ac:dyDescent="0.25">
      <c r="K559"/>
      <c r="L559"/>
      <c r="M559"/>
      <c r="N559"/>
      <c r="O559"/>
    </row>
    <row r="560" spans="11:15" x14ac:dyDescent="0.25">
      <c r="K560"/>
      <c r="L560"/>
      <c r="M560"/>
      <c r="N560"/>
      <c r="O560"/>
    </row>
    <row r="561" spans="11:15" x14ac:dyDescent="0.25">
      <c r="K561"/>
      <c r="L561"/>
      <c r="M561"/>
      <c r="N561"/>
      <c r="O561"/>
    </row>
    <row r="562" spans="11:15" x14ac:dyDescent="0.25">
      <c r="K562"/>
      <c r="L562"/>
      <c r="M562"/>
      <c r="N562"/>
      <c r="O562"/>
    </row>
    <row r="563" spans="11:15" x14ac:dyDescent="0.25">
      <c r="K563"/>
      <c r="L563"/>
      <c r="M563"/>
      <c r="N563"/>
      <c r="O563"/>
    </row>
    <row r="564" spans="11:15" x14ac:dyDescent="0.25">
      <c r="K564"/>
      <c r="L564"/>
      <c r="M564"/>
      <c r="N564"/>
      <c r="O564"/>
    </row>
    <row r="565" spans="11:15" x14ac:dyDescent="0.25">
      <c r="K565"/>
      <c r="L565"/>
      <c r="M565"/>
      <c r="N565"/>
      <c r="O565"/>
    </row>
    <row r="566" spans="11:15" x14ac:dyDescent="0.25">
      <c r="K566"/>
      <c r="L566"/>
      <c r="M566"/>
      <c r="N566"/>
      <c r="O566"/>
    </row>
    <row r="567" spans="11:15" x14ac:dyDescent="0.25">
      <c r="K567"/>
      <c r="L567"/>
      <c r="M567"/>
      <c r="N567"/>
      <c r="O567"/>
    </row>
    <row r="568" spans="11:15" x14ac:dyDescent="0.25">
      <c r="K568"/>
      <c r="L568"/>
      <c r="M568"/>
      <c r="N568"/>
      <c r="O568"/>
    </row>
    <row r="569" spans="11:15" x14ac:dyDescent="0.25">
      <c r="K569"/>
      <c r="L569"/>
      <c r="M569"/>
      <c r="N569"/>
      <c r="O569"/>
    </row>
    <row r="570" spans="11:15" x14ac:dyDescent="0.25">
      <c r="K570"/>
      <c r="L570"/>
      <c r="M570"/>
      <c r="N570"/>
      <c r="O570"/>
    </row>
    <row r="571" spans="11:15" x14ac:dyDescent="0.25">
      <c r="K571"/>
      <c r="L571"/>
      <c r="M571"/>
      <c r="N571"/>
      <c r="O571"/>
    </row>
    <row r="572" spans="11:15" x14ac:dyDescent="0.25">
      <c r="K572"/>
      <c r="L572"/>
      <c r="M572"/>
      <c r="N572"/>
      <c r="O572"/>
    </row>
    <row r="573" spans="11:15" x14ac:dyDescent="0.25">
      <c r="K573"/>
      <c r="L573"/>
      <c r="M573"/>
      <c r="N573"/>
      <c r="O573"/>
    </row>
    <row r="574" spans="11:15" x14ac:dyDescent="0.25">
      <c r="K574"/>
      <c r="L574"/>
      <c r="M574"/>
      <c r="N574"/>
      <c r="O574"/>
    </row>
    <row r="575" spans="11:15" x14ac:dyDescent="0.25">
      <c r="K575"/>
      <c r="L575"/>
      <c r="M575"/>
      <c r="N575"/>
      <c r="O575"/>
    </row>
    <row r="576" spans="11:15" x14ac:dyDescent="0.25">
      <c r="K576"/>
      <c r="L576"/>
      <c r="M576"/>
      <c r="N576"/>
      <c r="O576"/>
    </row>
    <row r="577" spans="11:15" x14ac:dyDescent="0.25">
      <c r="K577"/>
      <c r="L577"/>
      <c r="M577"/>
      <c r="N577"/>
      <c r="O577"/>
    </row>
    <row r="578" spans="11:15" x14ac:dyDescent="0.25">
      <c r="K578"/>
      <c r="L578"/>
      <c r="M578"/>
      <c r="N578"/>
      <c r="O578"/>
    </row>
    <row r="579" spans="11:15" x14ac:dyDescent="0.25">
      <c r="K579"/>
      <c r="L579"/>
      <c r="M579"/>
      <c r="N579"/>
      <c r="O579"/>
    </row>
    <row r="580" spans="11:15" x14ac:dyDescent="0.25">
      <c r="K580"/>
      <c r="L580"/>
      <c r="M580"/>
      <c r="N580"/>
      <c r="O580"/>
    </row>
    <row r="581" spans="11:15" x14ac:dyDescent="0.25">
      <c r="K581"/>
      <c r="L581"/>
      <c r="M581"/>
      <c r="N581"/>
      <c r="O581"/>
    </row>
    <row r="582" spans="11:15" x14ac:dyDescent="0.25">
      <c r="K582"/>
      <c r="L582"/>
      <c r="M582"/>
      <c r="N582"/>
      <c r="O582"/>
    </row>
    <row r="583" spans="11:15" x14ac:dyDescent="0.25">
      <c r="K583"/>
      <c r="L583"/>
      <c r="M583"/>
      <c r="N583"/>
      <c r="O583"/>
    </row>
    <row r="584" spans="11:15" x14ac:dyDescent="0.25">
      <c r="K584"/>
      <c r="L584"/>
      <c r="M584"/>
      <c r="N584"/>
      <c r="O584"/>
    </row>
    <row r="585" spans="11:15" x14ac:dyDescent="0.25">
      <c r="K585"/>
      <c r="L585"/>
      <c r="M585"/>
      <c r="N585"/>
      <c r="O585"/>
    </row>
    <row r="586" spans="11:15" x14ac:dyDescent="0.25">
      <c r="K586"/>
      <c r="L586"/>
      <c r="M586"/>
      <c r="N586"/>
      <c r="O586"/>
    </row>
    <row r="587" spans="11:15" x14ac:dyDescent="0.25">
      <c r="K587"/>
      <c r="L587"/>
      <c r="M587"/>
      <c r="N587"/>
      <c r="O587"/>
    </row>
    <row r="588" spans="11:15" x14ac:dyDescent="0.25">
      <c r="K588"/>
      <c r="L588"/>
      <c r="M588"/>
      <c r="N588"/>
      <c r="O588"/>
    </row>
    <row r="589" spans="11:15" x14ac:dyDescent="0.25">
      <c r="K589"/>
      <c r="L589"/>
      <c r="M589"/>
      <c r="N589"/>
      <c r="O589"/>
    </row>
    <row r="590" spans="11:15" x14ac:dyDescent="0.25">
      <c r="K590"/>
      <c r="L590"/>
      <c r="M590"/>
      <c r="N590"/>
      <c r="O590"/>
    </row>
    <row r="591" spans="11:15" x14ac:dyDescent="0.25">
      <c r="K591"/>
      <c r="L591"/>
      <c r="M591"/>
      <c r="N591"/>
      <c r="O591"/>
    </row>
    <row r="592" spans="11:15" x14ac:dyDescent="0.25">
      <c r="K592"/>
      <c r="L592"/>
      <c r="M592"/>
      <c r="N592"/>
      <c r="O592"/>
    </row>
    <row r="593" spans="11:15" x14ac:dyDescent="0.25">
      <c r="K593"/>
      <c r="L593"/>
      <c r="M593"/>
      <c r="N593"/>
      <c r="O593"/>
    </row>
    <row r="594" spans="11:15" x14ac:dyDescent="0.25">
      <c r="K594"/>
      <c r="L594"/>
      <c r="M594"/>
      <c r="N594"/>
      <c r="O594"/>
    </row>
    <row r="595" spans="11:15" x14ac:dyDescent="0.25">
      <c r="K595"/>
      <c r="L595"/>
      <c r="M595"/>
      <c r="N595"/>
      <c r="O595"/>
    </row>
    <row r="596" spans="11:15" x14ac:dyDescent="0.25">
      <c r="K596"/>
      <c r="L596"/>
      <c r="M596"/>
      <c r="N596"/>
      <c r="O596"/>
    </row>
    <row r="597" spans="11:15" x14ac:dyDescent="0.25">
      <c r="K597"/>
      <c r="L597"/>
      <c r="M597"/>
      <c r="N597"/>
      <c r="O597"/>
    </row>
    <row r="598" spans="11:15" x14ac:dyDescent="0.25">
      <c r="K598"/>
      <c r="L598"/>
      <c r="M598"/>
      <c r="N598"/>
      <c r="O598"/>
    </row>
    <row r="599" spans="11:15" x14ac:dyDescent="0.25">
      <c r="K599"/>
      <c r="L599"/>
      <c r="M599"/>
      <c r="N599"/>
      <c r="O599"/>
    </row>
    <row r="600" spans="11:15" x14ac:dyDescent="0.25">
      <c r="K600"/>
      <c r="L600"/>
      <c r="M600"/>
      <c r="N600"/>
      <c r="O600"/>
    </row>
    <row r="601" spans="11:15" x14ac:dyDescent="0.25">
      <c r="K601"/>
      <c r="L601"/>
      <c r="M601"/>
      <c r="N601"/>
      <c r="O601"/>
    </row>
    <row r="602" spans="11:15" x14ac:dyDescent="0.25">
      <c r="K602"/>
      <c r="L602"/>
      <c r="M602"/>
      <c r="N602"/>
      <c r="O602"/>
    </row>
    <row r="603" spans="11:15" x14ac:dyDescent="0.25">
      <c r="K603"/>
      <c r="L603"/>
      <c r="M603"/>
      <c r="N603"/>
      <c r="O603"/>
    </row>
    <row r="604" spans="11:15" x14ac:dyDescent="0.25">
      <c r="K604"/>
      <c r="L604"/>
      <c r="M604"/>
      <c r="N604"/>
      <c r="O604"/>
    </row>
    <row r="605" spans="11:15" x14ac:dyDescent="0.25">
      <c r="K605"/>
      <c r="L605"/>
      <c r="M605"/>
      <c r="N605"/>
      <c r="O605"/>
    </row>
    <row r="606" spans="11:15" x14ac:dyDescent="0.25">
      <c r="K606"/>
      <c r="L606"/>
      <c r="M606"/>
      <c r="N606"/>
      <c r="O606"/>
    </row>
    <row r="607" spans="11:15" x14ac:dyDescent="0.25">
      <c r="K607"/>
      <c r="L607"/>
      <c r="M607"/>
      <c r="N607"/>
      <c r="O607"/>
    </row>
    <row r="608" spans="11:15" x14ac:dyDescent="0.25">
      <c r="K608"/>
      <c r="L608"/>
      <c r="M608"/>
      <c r="N608"/>
      <c r="O608"/>
    </row>
    <row r="609" spans="11:15" x14ac:dyDescent="0.25">
      <c r="K609"/>
      <c r="L609"/>
      <c r="M609"/>
      <c r="N609"/>
      <c r="O609"/>
    </row>
    <row r="610" spans="11:15" x14ac:dyDescent="0.25">
      <c r="K610"/>
      <c r="L610"/>
      <c r="M610"/>
      <c r="N610"/>
      <c r="O610"/>
    </row>
    <row r="611" spans="11:15" x14ac:dyDescent="0.25">
      <c r="K611"/>
      <c r="L611"/>
      <c r="M611"/>
      <c r="N611"/>
      <c r="O611"/>
    </row>
    <row r="612" spans="11:15" x14ac:dyDescent="0.25">
      <c r="K612"/>
      <c r="L612"/>
      <c r="M612"/>
      <c r="N612"/>
      <c r="O612"/>
    </row>
    <row r="613" spans="11:15" x14ac:dyDescent="0.25">
      <c r="K613"/>
      <c r="L613"/>
      <c r="M613"/>
      <c r="N613"/>
      <c r="O613"/>
    </row>
    <row r="614" spans="11:15" x14ac:dyDescent="0.25">
      <c r="K614"/>
      <c r="L614"/>
      <c r="M614"/>
      <c r="N614"/>
      <c r="O614"/>
    </row>
    <row r="615" spans="11:15" x14ac:dyDescent="0.25">
      <c r="K615"/>
      <c r="L615"/>
      <c r="M615"/>
      <c r="N615"/>
      <c r="O615"/>
    </row>
    <row r="616" spans="11:15" x14ac:dyDescent="0.25">
      <c r="K616"/>
      <c r="L616"/>
      <c r="M616"/>
      <c r="N616"/>
      <c r="O616"/>
    </row>
    <row r="617" spans="11:15" x14ac:dyDescent="0.25">
      <c r="K617"/>
      <c r="L617"/>
      <c r="M617"/>
      <c r="N617"/>
      <c r="O617"/>
    </row>
    <row r="618" spans="11:15" x14ac:dyDescent="0.25">
      <c r="K618"/>
      <c r="L618"/>
      <c r="M618"/>
      <c r="N618"/>
      <c r="O618"/>
    </row>
    <row r="619" spans="11:15" x14ac:dyDescent="0.25">
      <c r="K619"/>
      <c r="L619"/>
      <c r="M619"/>
      <c r="N619"/>
      <c r="O619"/>
    </row>
    <row r="620" spans="11:15" x14ac:dyDescent="0.25">
      <c r="K620"/>
      <c r="L620"/>
      <c r="M620"/>
      <c r="N620"/>
      <c r="O620"/>
    </row>
    <row r="621" spans="11:15" x14ac:dyDescent="0.25">
      <c r="K621"/>
      <c r="L621"/>
      <c r="M621"/>
      <c r="N621"/>
      <c r="O621"/>
    </row>
    <row r="622" spans="11:15" x14ac:dyDescent="0.25">
      <c r="K622"/>
      <c r="L622"/>
      <c r="M622"/>
      <c r="N622"/>
      <c r="O622"/>
    </row>
    <row r="623" spans="11:15" x14ac:dyDescent="0.25">
      <c r="K623"/>
      <c r="L623"/>
      <c r="M623"/>
      <c r="N623"/>
      <c r="O623"/>
    </row>
    <row r="624" spans="11:15" x14ac:dyDescent="0.25">
      <c r="K624"/>
      <c r="L624"/>
      <c r="M624"/>
      <c r="N624"/>
      <c r="O624"/>
    </row>
    <row r="625" spans="11:15" x14ac:dyDescent="0.25">
      <c r="K625"/>
      <c r="L625"/>
      <c r="M625"/>
      <c r="N625"/>
      <c r="O625"/>
    </row>
    <row r="626" spans="11:15" x14ac:dyDescent="0.25">
      <c r="K626"/>
      <c r="L626"/>
      <c r="M626"/>
      <c r="N626"/>
      <c r="O626"/>
    </row>
    <row r="627" spans="11:15" x14ac:dyDescent="0.25">
      <c r="K627"/>
      <c r="L627"/>
      <c r="M627"/>
      <c r="N627"/>
      <c r="O627"/>
    </row>
    <row r="628" spans="11:15" x14ac:dyDescent="0.25">
      <c r="K628"/>
      <c r="L628"/>
      <c r="M628"/>
      <c r="N628"/>
      <c r="O628"/>
    </row>
    <row r="629" spans="11:15" x14ac:dyDescent="0.25">
      <c r="K629"/>
      <c r="L629"/>
      <c r="M629"/>
      <c r="N629"/>
      <c r="O629"/>
    </row>
    <row r="630" spans="11:15" x14ac:dyDescent="0.25">
      <c r="K630"/>
      <c r="L630"/>
      <c r="M630"/>
      <c r="N630"/>
      <c r="O630"/>
    </row>
    <row r="631" spans="11:15" x14ac:dyDescent="0.25">
      <c r="K631"/>
      <c r="L631"/>
      <c r="M631"/>
      <c r="N631"/>
      <c r="O631"/>
    </row>
    <row r="632" spans="11:15" x14ac:dyDescent="0.25">
      <c r="K632"/>
      <c r="L632"/>
      <c r="M632"/>
      <c r="N632"/>
      <c r="O632"/>
    </row>
    <row r="633" spans="11:15" x14ac:dyDescent="0.25">
      <c r="K633"/>
      <c r="L633"/>
      <c r="M633"/>
      <c r="N633"/>
      <c r="O633"/>
    </row>
    <row r="634" spans="11:15" x14ac:dyDescent="0.25">
      <c r="K634"/>
      <c r="L634"/>
      <c r="M634"/>
      <c r="N634"/>
      <c r="O634"/>
    </row>
    <row r="635" spans="11:15" x14ac:dyDescent="0.25">
      <c r="K635"/>
      <c r="L635"/>
      <c r="M635"/>
      <c r="N635"/>
      <c r="O635"/>
    </row>
    <row r="636" spans="11:15" x14ac:dyDescent="0.25">
      <c r="K636"/>
      <c r="L636"/>
      <c r="M636"/>
      <c r="N636"/>
      <c r="O636"/>
    </row>
    <row r="637" spans="11:15" x14ac:dyDescent="0.25">
      <c r="K637"/>
      <c r="L637"/>
      <c r="M637"/>
      <c r="N637"/>
      <c r="O637"/>
    </row>
    <row r="638" spans="11:15" x14ac:dyDescent="0.25">
      <c r="K638"/>
      <c r="L638"/>
      <c r="M638"/>
      <c r="N638"/>
      <c r="O638"/>
    </row>
    <row r="639" spans="11:15" x14ac:dyDescent="0.25">
      <c r="K639"/>
      <c r="L639"/>
      <c r="M639"/>
      <c r="N639"/>
      <c r="O639"/>
    </row>
    <row r="640" spans="11:15" x14ac:dyDescent="0.25">
      <c r="K640"/>
      <c r="L640"/>
      <c r="M640"/>
      <c r="N640"/>
      <c r="O640"/>
    </row>
    <row r="641" spans="11:15" x14ac:dyDescent="0.25">
      <c r="K641"/>
      <c r="L641"/>
      <c r="M641"/>
      <c r="N641"/>
      <c r="O641"/>
    </row>
    <row r="642" spans="11:15" x14ac:dyDescent="0.25">
      <c r="K642"/>
      <c r="L642"/>
      <c r="M642"/>
      <c r="N642"/>
      <c r="O642"/>
    </row>
    <row r="643" spans="11:15" x14ac:dyDescent="0.25">
      <c r="K643"/>
      <c r="L643"/>
      <c r="M643"/>
      <c r="N643"/>
      <c r="O643"/>
    </row>
    <row r="644" spans="11:15" x14ac:dyDescent="0.25">
      <c r="K644"/>
      <c r="L644"/>
      <c r="M644"/>
      <c r="N644"/>
      <c r="O644"/>
    </row>
    <row r="645" spans="11:15" x14ac:dyDescent="0.25">
      <c r="K645"/>
      <c r="L645"/>
      <c r="M645"/>
      <c r="N645"/>
      <c r="O645"/>
    </row>
    <row r="646" spans="11:15" x14ac:dyDescent="0.25">
      <c r="K646"/>
      <c r="L646"/>
      <c r="M646"/>
      <c r="N646"/>
      <c r="O646"/>
    </row>
    <row r="647" spans="11:15" x14ac:dyDescent="0.25">
      <c r="K647"/>
      <c r="L647"/>
      <c r="M647"/>
      <c r="N647"/>
      <c r="O647"/>
    </row>
    <row r="648" spans="11:15" x14ac:dyDescent="0.25">
      <c r="K648"/>
      <c r="L648"/>
      <c r="M648"/>
      <c r="N648"/>
      <c r="O648"/>
    </row>
    <row r="649" spans="11:15" x14ac:dyDescent="0.25">
      <c r="K649"/>
      <c r="L649"/>
      <c r="M649"/>
      <c r="N649"/>
      <c r="O649"/>
    </row>
    <row r="650" spans="11:15" x14ac:dyDescent="0.25">
      <c r="K650"/>
      <c r="L650"/>
      <c r="M650"/>
      <c r="N650"/>
      <c r="O650"/>
    </row>
    <row r="651" spans="11:15" x14ac:dyDescent="0.25">
      <c r="K651"/>
      <c r="L651"/>
      <c r="M651"/>
      <c r="N651"/>
      <c r="O651"/>
    </row>
    <row r="652" spans="11:15" x14ac:dyDescent="0.25">
      <c r="K652"/>
      <c r="L652"/>
      <c r="M652"/>
      <c r="N652"/>
      <c r="O652"/>
    </row>
    <row r="653" spans="11:15" x14ac:dyDescent="0.25">
      <c r="K653"/>
      <c r="L653"/>
      <c r="M653"/>
      <c r="N653"/>
      <c r="O653"/>
    </row>
    <row r="654" spans="11:15" x14ac:dyDescent="0.25">
      <c r="K654"/>
      <c r="L654"/>
      <c r="M654"/>
      <c r="N654"/>
      <c r="O654"/>
    </row>
    <row r="655" spans="11:15" x14ac:dyDescent="0.25">
      <c r="K655"/>
      <c r="L655"/>
      <c r="M655"/>
      <c r="N655"/>
      <c r="O655"/>
    </row>
    <row r="656" spans="11:15" x14ac:dyDescent="0.25">
      <c r="K656"/>
      <c r="L656"/>
      <c r="M656"/>
      <c r="N656"/>
      <c r="O656"/>
    </row>
    <row r="657" spans="11:15" x14ac:dyDescent="0.25">
      <c r="K657"/>
      <c r="L657"/>
      <c r="M657"/>
      <c r="N657"/>
      <c r="O657"/>
    </row>
    <row r="658" spans="11:15" x14ac:dyDescent="0.25">
      <c r="K658"/>
      <c r="L658"/>
      <c r="M658"/>
      <c r="N658"/>
      <c r="O658"/>
    </row>
    <row r="659" spans="11:15" x14ac:dyDescent="0.25">
      <c r="K659"/>
      <c r="L659"/>
      <c r="M659"/>
      <c r="N659"/>
      <c r="O659"/>
    </row>
    <row r="660" spans="11:15" x14ac:dyDescent="0.25">
      <c r="K660"/>
      <c r="L660"/>
      <c r="M660"/>
      <c r="N660"/>
      <c r="O660"/>
    </row>
    <row r="661" spans="11:15" x14ac:dyDescent="0.25">
      <c r="K661"/>
      <c r="L661"/>
      <c r="M661"/>
      <c r="N661"/>
      <c r="O661"/>
    </row>
    <row r="662" spans="11:15" x14ac:dyDescent="0.25">
      <c r="K662"/>
      <c r="L662"/>
      <c r="M662"/>
      <c r="N662"/>
      <c r="O662"/>
    </row>
    <row r="663" spans="11:15" x14ac:dyDescent="0.25">
      <c r="K663"/>
      <c r="L663"/>
      <c r="M663"/>
      <c r="N663"/>
      <c r="O663"/>
    </row>
    <row r="664" spans="11:15" x14ac:dyDescent="0.25">
      <c r="K664"/>
      <c r="L664"/>
      <c r="M664"/>
      <c r="N664"/>
      <c r="O664"/>
    </row>
    <row r="665" spans="11:15" x14ac:dyDescent="0.25">
      <c r="K665"/>
      <c r="L665"/>
      <c r="M665"/>
      <c r="N665"/>
      <c r="O665"/>
    </row>
    <row r="666" spans="11:15" x14ac:dyDescent="0.25">
      <c r="K666"/>
      <c r="L666"/>
      <c r="M666"/>
      <c r="N666"/>
      <c r="O666"/>
    </row>
    <row r="667" spans="11:15" x14ac:dyDescent="0.25">
      <c r="K667"/>
      <c r="L667"/>
      <c r="M667"/>
      <c r="N667"/>
      <c r="O667"/>
    </row>
    <row r="668" spans="11:15" x14ac:dyDescent="0.25">
      <c r="K668"/>
      <c r="L668"/>
      <c r="M668"/>
      <c r="N668"/>
      <c r="O668"/>
    </row>
    <row r="669" spans="11:15" x14ac:dyDescent="0.25">
      <c r="K669"/>
      <c r="L669"/>
      <c r="M669"/>
      <c r="N669"/>
      <c r="O669"/>
    </row>
    <row r="670" spans="11:15" x14ac:dyDescent="0.25">
      <c r="K670"/>
      <c r="L670"/>
      <c r="M670"/>
      <c r="N670"/>
      <c r="O670"/>
    </row>
    <row r="671" spans="11:15" x14ac:dyDescent="0.25">
      <c r="K671"/>
      <c r="L671"/>
      <c r="M671"/>
      <c r="N671"/>
      <c r="O671"/>
    </row>
    <row r="672" spans="11:15" x14ac:dyDescent="0.25">
      <c r="K672"/>
      <c r="L672"/>
      <c r="M672"/>
      <c r="N672"/>
      <c r="O672"/>
    </row>
    <row r="673" spans="11:15" x14ac:dyDescent="0.25">
      <c r="K673"/>
      <c r="L673"/>
      <c r="M673"/>
      <c r="N673"/>
      <c r="O673"/>
    </row>
    <row r="674" spans="11:15" x14ac:dyDescent="0.25">
      <c r="K674"/>
      <c r="L674"/>
      <c r="M674"/>
      <c r="N674"/>
      <c r="O674"/>
    </row>
    <row r="675" spans="11:15" x14ac:dyDescent="0.25">
      <c r="K675"/>
      <c r="L675"/>
      <c r="M675"/>
      <c r="N675"/>
      <c r="O675"/>
    </row>
    <row r="676" spans="11:15" x14ac:dyDescent="0.25">
      <c r="K676"/>
      <c r="L676"/>
      <c r="M676"/>
      <c r="N676"/>
      <c r="O676"/>
    </row>
    <row r="677" spans="11:15" x14ac:dyDescent="0.25">
      <c r="K677"/>
      <c r="L677"/>
      <c r="M677"/>
      <c r="N677"/>
      <c r="O677"/>
    </row>
    <row r="678" spans="11:15" x14ac:dyDescent="0.25">
      <c r="K678"/>
      <c r="L678"/>
      <c r="M678"/>
      <c r="N678"/>
      <c r="O678"/>
    </row>
    <row r="679" spans="11:15" x14ac:dyDescent="0.25">
      <c r="K679"/>
      <c r="L679"/>
      <c r="M679"/>
      <c r="N679"/>
      <c r="O679"/>
    </row>
    <row r="680" spans="11:15" x14ac:dyDescent="0.25">
      <c r="K680"/>
      <c r="L680"/>
      <c r="M680"/>
      <c r="N680"/>
      <c r="O680"/>
    </row>
    <row r="681" spans="11:15" x14ac:dyDescent="0.25">
      <c r="K681"/>
      <c r="L681"/>
      <c r="M681"/>
      <c r="N681"/>
      <c r="O681"/>
    </row>
    <row r="682" spans="11:15" x14ac:dyDescent="0.25">
      <c r="K682"/>
      <c r="L682"/>
      <c r="M682"/>
      <c r="N682"/>
      <c r="O682"/>
    </row>
    <row r="683" spans="11:15" x14ac:dyDescent="0.25">
      <c r="K683"/>
      <c r="L683"/>
      <c r="M683"/>
      <c r="N683"/>
      <c r="O683"/>
    </row>
    <row r="684" spans="11:15" x14ac:dyDescent="0.25">
      <c r="K684"/>
      <c r="L684"/>
      <c r="M684"/>
      <c r="N684"/>
      <c r="O684"/>
    </row>
    <row r="685" spans="11:15" x14ac:dyDescent="0.25">
      <c r="K685"/>
      <c r="L685"/>
      <c r="M685"/>
      <c r="N685"/>
      <c r="O685"/>
    </row>
    <row r="686" spans="11:15" x14ac:dyDescent="0.25">
      <c r="K686"/>
      <c r="L686"/>
      <c r="M686"/>
      <c r="N686"/>
      <c r="O686"/>
    </row>
    <row r="687" spans="11:15" x14ac:dyDescent="0.25">
      <c r="K687"/>
      <c r="L687"/>
      <c r="M687"/>
      <c r="N687"/>
      <c r="O687"/>
    </row>
    <row r="688" spans="11:15" x14ac:dyDescent="0.25">
      <c r="K688"/>
      <c r="L688"/>
      <c r="M688"/>
      <c r="N688"/>
      <c r="O688"/>
    </row>
    <row r="689" spans="11:15" x14ac:dyDescent="0.25">
      <c r="K689"/>
      <c r="L689"/>
      <c r="M689"/>
      <c r="N689"/>
      <c r="O689"/>
    </row>
    <row r="690" spans="11:15" x14ac:dyDescent="0.25">
      <c r="K690"/>
      <c r="L690"/>
      <c r="M690"/>
      <c r="N690"/>
      <c r="O690"/>
    </row>
    <row r="691" spans="11:15" x14ac:dyDescent="0.25">
      <c r="K691"/>
      <c r="L691"/>
      <c r="M691"/>
      <c r="N691"/>
      <c r="O691"/>
    </row>
    <row r="692" spans="11:15" x14ac:dyDescent="0.25">
      <c r="K692"/>
      <c r="L692"/>
      <c r="M692"/>
      <c r="N692"/>
      <c r="O692"/>
    </row>
    <row r="693" spans="11:15" x14ac:dyDescent="0.25">
      <c r="K693"/>
      <c r="L693"/>
      <c r="M693"/>
      <c r="N693"/>
      <c r="O693"/>
    </row>
    <row r="694" spans="11:15" x14ac:dyDescent="0.25">
      <c r="K694"/>
      <c r="L694"/>
      <c r="M694"/>
      <c r="N694"/>
      <c r="O694"/>
    </row>
    <row r="695" spans="11:15" x14ac:dyDescent="0.25">
      <c r="K695"/>
      <c r="L695"/>
      <c r="M695"/>
      <c r="N695"/>
      <c r="O695"/>
    </row>
    <row r="696" spans="11:15" x14ac:dyDescent="0.25">
      <c r="K696"/>
      <c r="L696"/>
      <c r="M696"/>
      <c r="N696"/>
      <c r="O696"/>
    </row>
    <row r="697" spans="11:15" x14ac:dyDescent="0.25">
      <c r="K697"/>
      <c r="L697"/>
      <c r="M697"/>
      <c r="N697"/>
      <c r="O697"/>
    </row>
    <row r="698" spans="11:15" x14ac:dyDescent="0.25">
      <c r="K698"/>
      <c r="L698"/>
      <c r="M698"/>
      <c r="N698"/>
      <c r="O698"/>
    </row>
    <row r="699" spans="11:15" x14ac:dyDescent="0.25">
      <c r="K699"/>
      <c r="L699"/>
      <c r="M699"/>
      <c r="N699"/>
      <c r="O699"/>
    </row>
    <row r="700" spans="11:15" x14ac:dyDescent="0.25">
      <c r="K700"/>
      <c r="L700"/>
      <c r="M700"/>
      <c r="N700"/>
      <c r="O700"/>
    </row>
    <row r="701" spans="11:15" x14ac:dyDescent="0.25">
      <c r="K701"/>
      <c r="L701"/>
      <c r="M701"/>
      <c r="N701"/>
      <c r="O701"/>
    </row>
    <row r="702" spans="11:15" x14ac:dyDescent="0.25">
      <c r="K702"/>
      <c r="L702"/>
      <c r="M702"/>
      <c r="N702"/>
      <c r="O702"/>
    </row>
    <row r="703" spans="11:15" x14ac:dyDescent="0.25">
      <c r="K703"/>
      <c r="L703"/>
      <c r="M703"/>
      <c r="N703"/>
      <c r="O703"/>
    </row>
    <row r="704" spans="11:15" x14ac:dyDescent="0.25">
      <c r="K704"/>
      <c r="L704"/>
      <c r="M704"/>
      <c r="N704"/>
      <c r="O704"/>
    </row>
    <row r="705" spans="11:15" x14ac:dyDescent="0.25">
      <c r="K705"/>
      <c r="L705"/>
      <c r="M705"/>
      <c r="N705"/>
      <c r="O705"/>
    </row>
    <row r="706" spans="11:15" x14ac:dyDescent="0.25">
      <c r="K706"/>
      <c r="L706"/>
      <c r="M706"/>
      <c r="N706"/>
      <c r="O706"/>
    </row>
    <row r="707" spans="11:15" x14ac:dyDescent="0.25">
      <c r="K707"/>
      <c r="L707"/>
      <c r="M707"/>
      <c r="N707"/>
      <c r="O707"/>
    </row>
    <row r="708" spans="11:15" x14ac:dyDescent="0.25">
      <c r="K708"/>
      <c r="L708"/>
      <c r="M708"/>
      <c r="N708"/>
      <c r="O708"/>
    </row>
    <row r="709" spans="11:15" x14ac:dyDescent="0.25">
      <c r="K709"/>
      <c r="L709"/>
      <c r="M709"/>
      <c r="N709"/>
      <c r="O709"/>
    </row>
    <row r="710" spans="11:15" x14ac:dyDescent="0.25">
      <c r="K710"/>
      <c r="L710"/>
      <c r="M710"/>
      <c r="N710"/>
      <c r="O710"/>
    </row>
    <row r="711" spans="11:15" x14ac:dyDescent="0.25">
      <c r="K711"/>
      <c r="L711"/>
      <c r="M711"/>
      <c r="N711"/>
      <c r="O711"/>
    </row>
    <row r="712" spans="11:15" x14ac:dyDescent="0.25">
      <c r="K712"/>
      <c r="L712"/>
      <c r="M712"/>
      <c r="N712"/>
      <c r="O712"/>
    </row>
    <row r="713" spans="11:15" x14ac:dyDescent="0.25">
      <c r="K713"/>
      <c r="L713"/>
      <c r="M713"/>
      <c r="N713"/>
      <c r="O713"/>
    </row>
    <row r="714" spans="11:15" x14ac:dyDescent="0.25">
      <c r="K714"/>
      <c r="L714"/>
      <c r="M714"/>
      <c r="N714"/>
      <c r="O714"/>
    </row>
    <row r="715" spans="11:15" x14ac:dyDescent="0.25">
      <c r="K715"/>
      <c r="L715"/>
      <c r="M715"/>
      <c r="N715"/>
      <c r="O715"/>
    </row>
    <row r="716" spans="11:15" x14ac:dyDescent="0.25">
      <c r="K716"/>
      <c r="L716"/>
      <c r="M716"/>
      <c r="N716"/>
      <c r="O716"/>
    </row>
    <row r="717" spans="11:15" x14ac:dyDescent="0.25">
      <c r="K717"/>
      <c r="L717"/>
      <c r="M717"/>
      <c r="N717"/>
      <c r="O717"/>
    </row>
    <row r="718" spans="11:15" x14ac:dyDescent="0.25">
      <c r="K718"/>
      <c r="L718"/>
      <c r="M718"/>
      <c r="N718"/>
      <c r="O718"/>
    </row>
    <row r="719" spans="11:15" x14ac:dyDescent="0.25">
      <c r="K719"/>
      <c r="L719"/>
      <c r="M719"/>
      <c r="N719"/>
      <c r="O719"/>
    </row>
    <row r="720" spans="11:15" x14ac:dyDescent="0.25">
      <c r="K720"/>
      <c r="L720"/>
      <c r="M720"/>
      <c r="N720"/>
      <c r="O720"/>
    </row>
    <row r="721" spans="11:15" x14ac:dyDescent="0.25">
      <c r="K721"/>
      <c r="L721"/>
      <c r="M721"/>
      <c r="N721"/>
      <c r="O721"/>
    </row>
    <row r="722" spans="11:15" x14ac:dyDescent="0.25">
      <c r="K722"/>
      <c r="L722"/>
      <c r="M722"/>
      <c r="N722"/>
      <c r="O722"/>
    </row>
    <row r="723" spans="11:15" x14ac:dyDescent="0.25">
      <c r="K723"/>
      <c r="L723"/>
      <c r="M723"/>
      <c r="N723"/>
      <c r="O723"/>
    </row>
    <row r="724" spans="11:15" x14ac:dyDescent="0.25">
      <c r="K724"/>
      <c r="L724"/>
      <c r="M724"/>
      <c r="N724"/>
      <c r="O724"/>
    </row>
    <row r="725" spans="11:15" x14ac:dyDescent="0.25">
      <c r="K725"/>
      <c r="L725"/>
      <c r="M725"/>
      <c r="N725"/>
      <c r="O725"/>
    </row>
    <row r="726" spans="11:15" x14ac:dyDescent="0.25">
      <c r="K726"/>
      <c r="L726"/>
      <c r="M726"/>
      <c r="N726"/>
      <c r="O726"/>
    </row>
    <row r="727" spans="11:15" x14ac:dyDescent="0.25">
      <c r="K727"/>
      <c r="L727"/>
      <c r="M727"/>
      <c r="N727"/>
      <c r="O727"/>
    </row>
    <row r="728" spans="11:15" x14ac:dyDescent="0.25">
      <c r="K728"/>
      <c r="L728"/>
      <c r="M728"/>
      <c r="N728"/>
      <c r="O728"/>
    </row>
    <row r="729" spans="11:15" x14ac:dyDescent="0.25">
      <c r="K729"/>
      <c r="L729"/>
      <c r="M729"/>
      <c r="N729"/>
      <c r="O729"/>
    </row>
    <row r="730" spans="11:15" x14ac:dyDescent="0.25">
      <c r="K730"/>
      <c r="L730"/>
      <c r="M730"/>
      <c r="N730"/>
      <c r="O730"/>
    </row>
    <row r="731" spans="11:15" x14ac:dyDescent="0.25">
      <c r="K731"/>
      <c r="L731"/>
      <c r="M731"/>
      <c r="N731"/>
      <c r="O731"/>
    </row>
    <row r="732" spans="11:15" x14ac:dyDescent="0.25">
      <c r="K732"/>
      <c r="L732"/>
      <c r="M732"/>
      <c r="N732"/>
      <c r="O732"/>
    </row>
    <row r="733" spans="11:15" x14ac:dyDescent="0.25">
      <c r="K733"/>
      <c r="L733"/>
      <c r="M733"/>
      <c r="N733"/>
      <c r="O733"/>
    </row>
    <row r="734" spans="11:15" x14ac:dyDescent="0.25">
      <c r="K734"/>
      <c r="L734"/>
      <c r="M734"/>
      <c r="N734"/>
      <c r="O734"/>
    </row>
    <row r="735" spans="11:15" x14ac:dyDescent="0.25">
      <c r="K735"/>
      <c r="L735"/>
      <c r="M735"/>
      <c r="N735"/>
      <c r="O735"/>
    </row>
    <row r="736" spans="11:15" x14ac:dyDescent="0.25">
      <c r="K736"/>
      <c r="L736"/>
      <c r="M736"/>
      <c r="N736"/>
      <c r="O736"/>
    </row>
    <row r="737" spans="11:15" x14ac:dyDescent="0.25">
      <c r="K737"/>
      <c r="L737"/>
      <c r="M737"/>
      <c r="N737"/>
      <c r="O737"/>
    </row>
    <row r="738" spans="11:15" x14ac:dyDescent="0.25">
      <c r="K738"/>
      <c r="L738"/>
      <c r="M738"/>
      <c r="N738"/>
      <c r="O738"/>
    </row>
    <row r="739" spans="11:15" x14ac:dyDescent="0.25">
      <c r="K739"/>
      <c r="L739"/>
      <c r="M739"/>
      <c r="N739"/>
      <c r="O739"/>
    </row>
    <row r="740" spans="11:15" x14ac:dyDescent="0.25">
      <c r="K740"/>
      <c r="L740"/>
      <c r="M740"/>
      <c r="N740"/>
      <c r="O740"/>
    </row>
    <row r="741" spans="11:15" x14ac:dyDescent="0.25">
      <c r="K741"/>
      <c r="L741"/>
      <c r="M741"/>
      <c r="N741"/>
      <c r="O741"/>
    </row>
    <row r="742" spans="11:15" x14ac:dyDescent="0.25">
      <c r="K742"/>
      <c r="L742"/>
      <c r="M742"/>
      <c r="N742"/>
      <c r="O742"/>
    </row>
    <row r="743" spans="11:15" x14ac:dyDescent="0.25">
      <c r="K743"/>
      <c r="L743"/>
      <c r="M743"/>
      <c r="N743"/>
      <c r="O743"/>
    </row>
    <row r="744" spans="11:15" x14ac:dyDescent="0.25">
      <c r="K744"/>
      <c r="L744"/>
      <c r="M744"/>
      <c r="N744"/>
      <c r="O744"/>
    </row>
    <row r="745" spans="11:15" x14ac:dyDescent="0.25">
      <c r="K745"/>
      <c r="L745"/>
      <c r="M745"/>
      <c r="N745"/>
      <c r="O745"/>
    </row>
    <row r="746" spans="11:15" x14ac:dyDescent="0.25">
      <c r="K746"/>
      <c r="L746"/>
      <c r="M746"/>
      <c r="N746"/>
      <c r="O746"/>
    </row>
    <row r="747" spans="11:15" x14ac:dyDescent="0.25">
      <c r="K747"/>
      <c r="L747"/>
      <c r="M747"/>
      <c r="N747"/>
      <c r="O747"/>
    </row>
    <row r="748" spans="11:15" x14ac:dyDescent="0.25">
      <c r="K748"/>
      <c r="L748"/>
      <c r="M748"/>
      <c r="N748"/>
      <c r="O748"/>
    </row>
    <row r="749" spans="11:15" x14ac:dyDescent="0.25">
      <c r="K749"/>
      <c r="L749"/>
      <c r="M749"/>
      <c r="N749"/>
      <c r="O749"/>
    </row>
    <row r="750" spans="11:15" x14ac:dyDescent="0.25">
      <c r="K750"/>
      <c r="L750"/>
      <c r="M750"/>
      <c r="N750"/>
      <c r="O750"/>
    </row>
    <row r="751" spans="11:15" x14ac:dyDescent="0.25">
      <c r="K751"/>
      <c r="L751"/>
      <c r="M751"/>
      <c r="N751"/>
      <c r="O751"/>
    </row>
    <row r="752" spans="11:15" x14ac:dyDescent="0.25">
      <c r="K752"/>
      <c r="L752"/>
      <c r="M752"/>
      <c r="N752"/>
      <c r="O752"/>
    </row>
    <row r="753" spans="11:15" x14ac:dyDescent="0.25">
      <c r="K753"/>
      <c r="L753"/>
      <c r="M753"/>
      <c r="N753"/>
      <c r="O753"/>
    </row>
    <row r="754" spans="11:15" x14ac:dyDescent="0.25">
      <c r="K754"/>
      <c r="L754"/>
      <c r="M754"/>
      <c r="N754"/>
      <c r="O754"/>
    </row>
    <row r="755" spans="11:15" x14ac:dyDescent="0.25">
      <c r="K755"/>
      <c r="L755"/>
      <c r="M755"/>
      <c r="N755"/>
      <c r="O755"/>
    </row>
    <row r="756" spans="11:15" x14ac:dyDescent="0.25">
      <c r="K756"/>
      <c r="L756"/>
      <c r="M756"/>
      <c r="N756"/>
      <c r="O756"/>
    </row>
    <row r="757" spans="11:15" x14ac:dyDescent="0.25">
      <c r="K757"/>
      <c r="L757"/>
      <c r="M757"/>
      <c r="N757"/>
      <c r="O757"/>
    </row>
    <row r="758" spans="11:15" x14ac:dyDescent="0.25">
      <c r="K758"/>
      <c r="L758"/>
      <c r="M758"/>
      <c r="N758"/>
      <c r="O758"/>
    </row>
    <row r="759" spans="11:15" x14ac:dyDescent="0.25">
      <c r="K759"/>
      <c r="L759"/>
      <c r="M759"/>
      <c r="N759"/>
      <c r="O759"/>
    </row>
    <row r="760" spans="11:15" x14ac:dyDescent="0.25">
      <c r="K760"/>
      <c r="L760"/>
      <c r="M760"/>
      <c r="N760"/>
      <c r="O760"/>
    </row>
    <row r="761" spans="11:15" x14ac:dyDescent="0.25">
      <c r="K761"/>
      <c r="L761"/>
      <c r="M761"/>
      <c r="N761"/>
      <c r="O761"/>
    </row>
    <row r="762" spans="11:15" x14ac:dyDescent="0.25">
      <c r="K762"/>
      <c r="L762"/>
      <c r="M762"/>
      <c r="N762"/>
      <c r="O762"/>
    </row>
    <row r="763" spans="11:15" x14ac:dyDescent="0.25">
      <c r="K763"/>
      <c r="L763"/>
      <c r="M763"/>
      <c r="N763"/>
      <c r="O763"/>
    </row>
    <row r="764" spans="11:15" x14ac:dyDescent="0.25">
      <c r="K764"/>
      <c r="L764"/>
      <c r="M764"/>
      <c r="N764"/>
      <c r="O764"/>
    </row>
    <row r="765" spans="11:15" x14ac:dyDescent="0.25">
      <c r="K765"/>
      <c r="L765"/>
      <c r="M765"/>
      <c r="N765"/>
      <c r="O765"/>
    </row>
    <row r="766" spans="11:15" x14ac:dyDescent="0.25">
      <c r="K766"/>
      <c r="L766"/>
      <c r="M766"/>
      <c r="N766"/>
      <c r="O766"/>
    </row>
    <row r="767" spans="11:15" x14ac:dyDescent="0.25">
      <c r="K767"/>
      <c r="L767"/>
      <c r="M767"/>
      <c r="N767"/>
      <c r="O767"/>
    </row>
    <row r="768" spans="11:15" x14ac:dyDescent="0.25">
      <c r="K768"/>
      <c r="L768"/>
      <c r="M768"/>
      <c r="N768"/>
      <c r="O768"/>
    </row>
    <row r="769" spans="11:15" x14ac:dyDescent="0.25">
      <c r="K769"/>
      <c r="L769"/>
      <c r="M769"/>
      <c r="N769"/>
      <c r="O769"/>
    </row>
    <row r="770" spans="11:15" x14ac:dyDescent="0.25">
      <c r="K770"/>
      <c r="L770"/>
      <c r="M770"/>
      <c r="N770"/>
      <c r="O770"/>
    </row>
    <row r="771" spans="11:15" x14ac:dyDescent="0.25">
      <c r="K771"/>
      <c r="L771"/>
      <c r="M771"/>
      <c r="N771"/>
      <c r="O771"/>
    </row>
    <row r="772" spans="11:15" x14ac:dyDescent="0.25">
      <c r="K772"/>
      <c r="L772"/>
      <c r="M772"/>
      <c r="N772"/>
      <c r="O772"/>
    </row>
    <row r="773" spans="11:15" x14ac:dyDescent="0.25">
      <c r="K773"/>
      <c r="L773"/>
      <c r="M773"/>
      <c r="N773"/>
      <c r="O773"/>
    </row>
    <row r="774" spans="11:15" x14ac:dyDescent="0.25">
      <c r="K774"/>
      <c r="L774"/>
      <c r="M774"/>
      <c r="N774"/>
      <c r="O774"/>
    </row>
    <row r="775" spans="11:15" x14ac:dyDescent="0.25">
      <c r="K775"/>
      <c r="L775"/>
      <c r="M775"/>
      <c r="N775"/>
      <c r="O775"/>
    </row>
    <row r="776" spans="11:15" x14ac:dyDescent="0.25">
      <c r="K776"/>
      <c r="L776"/>
      <c r="M776"/>
      <c r="N776"/>
      <c r="O776"/>
    </row>
    <row r="777" spans="11:15" x14ac:dyDescent="0.25">
      <c r="K777"/>
      <c r="L777"/>
      <c r="M777"/>
      <c r="N777"/>
      <c r="O777"/>
    </row>
    <row r="778" spans="11:15" x14ac:dyDescent="0.25">
      <c r="K778"/>
      <c r="L778"/>
      <c r="M778"/>
      <c r="N778"/>
      <c r="O778"/>
    </row>
    <row r="779" spans="11:15" x14ac:dyDescent="0.25">
      <c r="K779"/>
      <c r="L779"/>
      <c r="M779"/>
      <c r="N779"/>
      <c r="O779"/>
    </row>
    <row r="780" spans="11:15" x14ac:dyDescent="0.25">
      <c r="K780"/>
      <c r="L780"/>
      <c r="M780"/>
      <c r="N780"/>
      <c r="O780"/>
    </row>
    <row r="781" spans="11:15" x14ac:dyDescent="0.25">
      <c r="K781"/>
      <c r="L781"/>
      <c r="M781"/>
      <c r="N781"/>
      <c r="O781"/>
    </row>
    <row r="782" spans="11:15" x14ac:dyDescent="0.25">
      <c r="K782"/>
      <c r="L782"/>
      <c r="M782"/>
      <c r="N782"/>
      <c r="O782"/>
    </row>
    <row r="783" spans="11:15" x14ac:dyDescent="0.25">
      <c r="K783"/>
      <c r="L783"/>
      <c r="M783"/>
      <c r="N783"/>
      <c r="O783"/>
    </row>
    <row r="784" spans="11:15" x14ac:dyDescent="0.25">
      <c r="K784"/>
      <c r="L784"/>
      <c r="M784"/>
      <c r="N784"/>
      <c r="O784"/>
    </row>
    <row r="785" spans="11:15" x14ac:dyDescent="0.25">
      <c r="K785"/>
      <c r="L785"/>
      <c r="M785"/>
      <c r="N785"/>
      <c r="O785"/>
    </row>
    <row r="786" spans="11:15" x14ac:dyDescent="0.25">
      <c r="K786"/>
      <c r="L786"/>
      <c r="M786"/>
      <c r="N786"/>
      <c r="O786"/>
    </row>
    <row r="787" spans="11:15" x14ac:dyDescent="0.25">
      <c r="K787"/>
      <c r="L787"/>
      <c r="M787"/>
      <c r="N787"/>
      <c r="O787"/>
    </row>
    <row r="788" spans="11:15" x14ac:dyDescent="0.25">
      <c r="K788"/>
      <c r="L788"/>
      <c r="M788"/>
      <c r="N788"/>
      <c r="O788"/>
    </row>
    <row r="789" spans="11:15" x14ac:dyDescent="0.25">
      <c r="K789"/>
      <c r="L789"/>
      <c r="M789"/>
      <c r="N789"/>
      <c r="O789"/>
    </row>
    <row r="790" spans="11:15" x14ac:dyDescent="0.25">
      <c r="K790"/>
      <c r="L790"/>
      <c r="M790"/>
      <c r="N790"/>
      <c r="O790"/>
    </row>
    <row r="791" spans="11:15" x14ac:dyDescent="0.25">
      <c r="K791"/>
      <c r="L791"/>
      <c r="M791"/>
      <c r="N791"/>
      <c r="O791"/>
    </row>
    <row r="792" spans="11:15" x14ac:dyDescent="0.25">
      <c r="K792"/>
      <c r="L792"/>
      <c r="M792"/>
      <c r="N792"/>
      <c r="O792"/>
    </row>
    <row r="793" spans="11:15" x14ac:dyDescent="0.25">
      <c r="K793"/>
      <c r="L793"/>
      <c r="M793"/>
      <c r="N793"/>
      <c r="O793"/>
    </row>
    <row r="794" spans="11:15" x14ac:dyDescent="0.25">
      <c r="K794"/>
      <c r="L794"/>
      <c r="M794"/>
      <c r="N794"/>
      <c r="O794"/>
    </row>
    <row r="795" spans="11:15" x14ac:dyDescent="0.25">
      <c r="K795"/>
      <c r="L795"/>
      <c r="M795"/>
      <c r="N795"/>
      <c r="O795"/>
    </row>
    <row r="796" spans="11:15" x14ac:dyDescent="0.25">
      <c r="K796"/>
      <c r="L796"/>
      <c r="M796"/>
      <c r="N796"/>
      <c r="O796"/>
    </row>
    <row r="797" spans="11:15" x14ac:dyDescent="0.25">
      <c r="K797"/>
      <c r="L797"/>
      <c r="M797"/>
      <c r="N797"/>
      <c r="O797"/>
    </row>
    <row r="798" spans="11:15" x14ac:dyDescent="0.25">
      <c r="K798"/>
      <c r="L798"/>
      <c r="M798"/>
      <c r="N798"/>
      <c r="O798"/>
    </row>
    <row r="799" spans="11:15" x14ac:dyDescent="0.25">
      <c r="K799"/>
      <c r="L799"/>
      <c r="M799"/>
      <c r="N799"/>
      <c r="O799"/>
    </row>
    <row r="800" spans="11:15" x14ac:dyDescent="0.25">
      <c r="K800"/>
      <c r="L800"/>
      <c r="M800"/>
      <c r="N800"/>
      <c r="O800"/>
    </row>
    <row r="801" spans="11:15" x14ac:dyDescent="0.25">
      <c r="K801"/>
      <c r="L801"/>
      <c r="M801"/>
      <c r="N801"/>
      <c r="O801"/>
    </row>
    <row r="802" spans="11:15" x14ac:dyDescent="0.25">
      <c r="K802"/>
      <c r="L802"/>
      <c r="M802"/>
      <c r="N802"/>
      <c r="O802"/>
    </row>
    <row r="803" spans="11:15" x14ac:dyDescent="0.25">
      <c r="K803"/>
      <c r="L803"/>
      <c r="M803"/>
      <c r="N803"/>
      <c r="O803"/>
    </row>
    <row r="804" spans="11:15" x14ac:dyDescent="0.25">
      <c r="K804"/>
      <c r="L804"/>
      <c r="M804"/>
      <c r="N804"/>
      <c r="O804"/>
    </row>
    <row r="805" spans="11:15" x14ac:dyDescent="0.25">
      <c r="K805"/>
      <c r="L805"/>
      <c r="M805"/>
      <c r="N805"/>
      <c r="O805"/>
    </row>
    <row r="806" spans="11:15" x14ac:dyDescent="0.25">
      <c r="K806"/>
      <c r="L806"/>
      <c r="M806"/>
      <c r="N806"/>
      <c r="O806"/>
    </row>
    <row r="807" spans="11:15" x14ac:dyDescent="0.25">
      <c r="K807"/>
      <c r="L807"/>
      <c r="M807"/>
      <c r="N807"/>
      <c r="O807"/>
    </row>
    <row r="808" spans="11:15" x14ac:dyDescent="0.25">
      <c r="K808"/>
      <c r="L808"/>
      <c r="M808"/>
      <c r="N808"/>
      <c r="O808"/>
    </row>
    <row r="809" spans="11:15" x14ac:dyDescent="0.25">
      <c r="K809"/>
      <c r="L809"/>
      <c r="M809"/>
      <c r="N809"/>
      <c r="O809"/>
    </row>
    <row r="810" spans="11:15" x14ac:dyDescent="0.25">
      <c r="K810"/>
      <c r="L810"/>
      <c r="M810"/>
      <c r="N810"/>
      <c r="O810"/>
    </row>
    <row r="811" spans="11:15" x14ac:dyDescent="0.25">
      <c r="K811"/>
      <c r="L811"/>
      <c r="M811"/>
      <c r="N811"/>
      <c r="O811"/>
    </row>
    <row r="812" spans="11:15" x14ac:dyDescent="0.25">
      <c r="K812"/>
      <c r="L812"/>
      <c r="M812"/>
      <c r="N812"/>
      <c r="O812"/>
    </row>
    <row r="813" spans="11:15" x14ac:dyDescent="0.25">
      <c r="K813"/>
      <c r="L813"/>
      <c r="M813"/>
      <c r="N813"/>
      <c r="O813"/>
    </row>
    <row r="814" spans="11:15" x14ac:dyDescent="0.25">
      <c r="K814"/>
      <c r="L814"/>
      <c r="M814"/>
      <c r="N814"/>
      <c r="O814"/>
    </row>
    <row r="815" spans="11:15" x14ac:dyDescent="0.25">
      <c r="K815"/>
      <c r="L815"/>
      <c r="M815"/>
      <c r="N815"/>
      <c r="O815"/>
    </row>
    <row r="816" spans="11:15" x14ac:dyDescent="0.25">
      <c r="K816"/>
      <c r="L816"/>
      <c r="M816"/>
      <c r="N816"/>
      <c r="O816"/>
    </row>
    <row r="817" spans="11:15" x14ac:dyDescent="0.25">
      <c r="K817"/>
      <c r="L817"/>
      <c r="M817"/>
      <c r="N817"/>
      <c r="O817"/>
    </row>
    <row r="818" spans="11:15" x14ac:dyDescent="0.25">
      <c r="K818"/>
      <c r="L818"/>
      <c r="M818"/>
      <c r="N818"/>
      <c r="O818"/>
    </row>
    <row r="819" spans="11:15" x14ac:dyDescent="0.25">
      <c r="K819"/>
      <c r="L819"/>
      <c r="M819"/>
      <c r="N819"/>
      <c r="O819"/>
    </row>
    <row r="820" spans="11:15" x14ac:dyDescent="0.25">
      <c r="K820"/>
      <c r="L820"/>
      <c r="M820"/>
      <c r="N820"/>
      <c r="O820"/>
    </row>
    <row r="821" spans="11:15" x14ac:dyDescent="0.25">
      <c r="K821"/>
      <c r="L821"/>
      <c r="M821"/>
      <c r="N821"/>
      <c r="O821"/>
    </row>
    <row r="822" spans="11:15" x14ac:dyDescent="0.25">
      <c r="K822"/>
      <c r="L822"/>
      <c r="M822"/>
      <c r="N822"/>
      <c r="O822"/>
    </row>
    <row r="823" spans="11:15" x14ac:dyDescent="0.25">
      <c r="K823"/>
      <c r="L823"/>
      <c r="M823"/>
      <c r="N823"/>
      <c r="O823"/>
    </row>
    <row r="824" spans="11:15" x14ac:dyDescent="0.25">
      <c r="K824"/>
      <c r="L824"/>
      <c r="M824"/>
      <c r="N824"/>
      <c r="O824"/>
    </row>
    <row r="825" spans="11:15" x14ac:dyDescent="0.25">
      <c r="K825"/>
      <c r="L825"/>
      <c r="M825"/>
      <c r="N825"/>
      <c r="O825"/>
    </row>
    <row r="826" spans="11:15" x14ac:dyDescent="0.25">
      <c r="K826"/>
      <c r="L826"/>
      <c r="M826"/>
      <c r="N826"/>
      <c r="O826"/>
    </row>
    <row r="827" spans="11:15" x14ac:dyDescent="0.25">
      <c r="K827"/>
      <c r="L827"/>
      <c r="M827"/>
      <c r="N827"/>
      <c r="O827"/>
    </row>
    <row r="828" spans="11:15" x14ac:dyDescent="0.25">
      <c r="K828"/>
      <c r="L828"/>
      <c r="M828"/>
      <c r="N828"/>
      <c r="O828"/>
    </row>
    <row r="829" spans="11:15" x14ac:dyDescent="0.25">
      <c r="K829"/>
      <c r="L829"/>
      <c r="M829"/>
      <c r="N829"/>
      <c r="O829"/>
    </row>
    <row r="830" spans="11:15" x14ac:dyDescent="0.25">
      <c r="K830"/>
      <c r="L830"/>
      <c r="M830"/>
      <c r="N830"/>
      <c r="O830"/>
    </row>
    <row r="831" spans="11:15" x14ac:dyDescent="0.25">
      <c r="K831"/>
      <c r="L831"/>
      <c r="M831"/>
      <c r="N831"/>
      <c r="O831"/>
    </row>
    <row r="832" spans="11:15" x14ac:dyDescent="0.25">
      <c r="K832"/>
      <c r="L832"/>
      <c r="M832"/>
      <c r="N832"/>
      <c r="O832"/>
    </row>
    <row r="833" spans="11:15" x14ac:dyDescent="0.25">
      <c r="K833"/>
      <c r="L833"/>
      <c r="M833"/>
      <c r="N833"/>
      <c r="O833"/>
    </row>
    <row r="834" spans="11:15" x14ac:dyDescent="0.25">
      <c r="K834"/>
      <c r="L834"/>
      <c r="M834"/>
      <c r="N834"/>
      <c r="O834"/>
    </row>
    <row r="835" spans="11:15" x14ac:dyDescent="0.25">
      <c r="K835"/>
      <c r="L835"/>
      <c r="M835"/>
      <c r="N835"/>
      <c r="O835"/>
    </row>
    <row r="836" spans="11:15" x14ac:dyDescent="0.25">
      <c r="K836"/>
      <c r="L836"/>
      <c r="M836"/>
      <c r="N836"/>
      <c r="O836"/>
    </row>
    <row r="837" spans="11:15" x14ac:dyDescent="0.25">
      <c r="K837"/>
      <c r="L837"/>
      <c r="M837"/>
      <c r="N837"/>
      <c r="O837"/>
    </row>
    <row r="838" spans="11:15" x14ac:dyDescent="0.25">
      <c r="K838"/>
      <c r="L838"/>
      <c r="M838"/>
      <c r="N838"/>
      <c r="O838"/>
    </row>
    <row r="839" spans="11:15" x14ac:dyDescent="0.25">
      <c r="K839"/>
      <c r="L839"/>
      <c r="M839"/>
      <c r="N839"/>
      <c r="O839"/>
    </row>
    <row r="840" spans="11:15" x14ac:dyDescent="0.25">
      <c r="K840"/>
      <c r="L840"/>
      <c r="M840"/>
      <c r="N840"/>
      <c r="O840"/>
    </row>
    <row r="841" spans="11:15" x14ac:dyDescent="0.25">
      <c r="K841"/>
      <c r="L841"/>
      <c r="M841"/>
      <c r="N841"/>
      <c r="O841"/>
    </row>
    <row r="842" spans="11:15" x14ac:dyDescent="0.25">
      <c r="K842"/>
      <c r="L842"/>
      <c r="M842"/>
      <c r="N842"/>
      <c r="O842"/>
    </row>
    <row r="843" spans="11:15" x14ac:dyDescent="0.25">
      <c r="K843"/>
      <c r="L843"/>
      <c r="M843"/>
      <c r="N843"/>
      <c r="O843"/>
    </row>
    <row r="844" spans="11:15" x14ac:dyDescent="0.25">
      <c r="K844"/>
      <c r="L844"/>
      <c r="M844"/>
      <c r="N844"/>
      <c r="O844"/>
    </row>
    <row r="845" spans="11:15" x14ac:dyDescent="0.25">
      <c r="K845"/>
      <c r="L845"/>
      <c r="M845"/>
      <c r="N845"/>
      <c r="O845"/>
    </row>
    <row r="846" spans="11:15" x14ac:dyDescent="0.25">
      <c r="K846"/>
      <c r="L846"/>
      <c r="M846"/>
      <c r="N846"/>
      <c r="O846"/>
    </row>
    <row r="847" spans="11:15" x14ac:dyDescent="0.25">
      <c r="K847"/>
      <c r="L847"/>
      <c r="M847"/>
      <c r="N847"/>
      <c r="O847"/>
    </row>
    <row r="848" spans="11:15" x14ac:dyDescent="0.25">
      <c r="K848"/>
      <c r="L848"/>
      <c r="M848"/>
      <c r="N848"/>
      <c r="O848"/>
    </row>
    <row r="849" spans="11:15" x14ac:dyDescent="0.25">
      <c r="K849"/>
      <c r="L849"/>
      <c r="M849"/>
      <c r="N849"/>
      <c r="O849"/>
    </row>
    <row r="850" spans="11:15" x14ac:dyDescent="0.25">
      <c r="K850"/>
      <c r="L850"/>
      <c r="M850"/>
      <c r="N850"/>
      <c r="O850"/>
    </row>
    <row r="851" spans="11:15" x14ac:dyDescent="0.25">
      <c r="K851"/>
      <c r="L851"/>
      <c r="M851"/>
      <c r="N851"/>
      <c r="O851"/>
    </row>
    <row r="852" spans="11:15" x14ac:dyDescent="0.25">
      <c r="K852"/>
      <c r="L852"/>
      <c r="M852"/>
      <c r="N852"/>
      <c r="O852"/>
    </row>
    <row r="853" spans="11:15" x14ac:dyDescent="0.25">
      <c r="K853"/>
      <c r="L853"/>
      <c r="M853"/>
      <c r="N853"/>
      <c r="O853"/>
    </row>
    <row r="854" spans="11:15" x14ac:dyDescent="0.25">
      <c r="K854"/>
      <c r="L854"/>
      <c r="M854"/>
      <c r="N854"/>
      <c r="O854"/>
    </row>
    <row r="855" spans="11:15" x14ac:dyDescent="0.25">
      <c r="K855"/>
      <c r="L855"/>
      <c r="M855"/>
      <c r="N855"/>
      <c r="O855"/>
    </row>
    <row r="856" spans="11:15" x14ac:dyDescent="0.25">
      <c r="K856"/>
      <c r="L856"/>
      <c r="M856"/>
      <c r="N856"/>
      <c r="O856"/>
    </row>
    <row r="857" spans="11:15" x14ac:dyDescent="0.25">
      <c r="K857"/>
      <c r="L857"/>
      <c r="M857"/>
      <c r="N857"/>
      <c r="O857"/>
    </row>
    <row r="858" spans="11:15" x14ac:dyDescent="0.25">
      <c r="K858"/>
      <c r="L858"/>
      <c r="M858"/>
      <c r="N858"/>
      <c r="O858"/>
    </row>
    <row r="859" spans="11:15" x14ac:dyDescent="0.25">
      <c r="K859"/>
      <c r="L859"/>
      <c r="M859"/>
      <c r="N859"/>
      <c r="O859"/>
    </row>
    <row r="860" spans="11:15" x14ac:dyDescent="0.25">
      <c r="K860"/>
      <c r="L860"/>
      <c r="M860"/>
      <c r="N860"/>
      <c r="O860"/>
    </row>
    <row r="861" spans="11:15" x14ac:dyDescent="0.25">
      <c r="K861"/>
      <c r="L861"/>
      <c r="M861"/>
      <c r="N861"/>
      <c r="O861"/>
    </row>
    <row r="862" spans="11:15" x14ac:dyDescent="0.25">
      <c r="K862"/>
      <c r="L862"/>
      <c r="M862"/>
      <c r="N862"/>
      <c r="O862"/>
    </row>
    <row r="863" spans="11:15" x14ac:dyDescent="0.25">
      <c r="K863"/>
      <c r="L863"/>
      <c r="M863"/>
      <c r="N863"/>
      <c r="O863"/>
    </row>
    <row r="864" spans="11:15" x14ac:dyDescent="0.25">
      <c r="K864"/>
      <c r="L864"/>
      <c r="M864"/>
      <c r="N864"/>
      <c r="O864"/>
    </row>
    <row r="865" spans="11:15" x14ac:dyDescent="0.25">
      <c r="K865"/>
      <c r="L865"/>
      <c r="M865"/>
      <c r="N865"/>
      <c r="O865"/>
    </row>
    <row r="866" spans="11:15" x14ac:dyDescent="0.25">
      <c r="K866"/>
      <c r="L866"/>
      <c r="M866"/>
      <c r="N866"/>
      <c r="O866"/>
    </row>
    <row r="867" spans="11:15" x14ac:dyDescent="0.25">
      <c r="K867"/>
      <c r="L867"/>
      <c r="M867"/>
      <c r="N867"/>
      <c r="O867"/>
    </row>
    <row r="868" spans="11:15" x14ac:dyDescent="0.25">
      <c r="K868"/>
      <c r="L868"/>
      <c r="M868"/>
      <c r="N868"/>
      <c r="O868"/>
    </row>
    <row r="869" spans="11:15" x14ac:dyDescent="0.25">
      <c r="K869"/>
      <c r="L869"/>
      <c r="M869"/>
      <c r="N869"/>
      <c r="O869"/>
    </row>
    <row r="870" spans="11:15" x14ac:dyDescent="0.25">
      <c r="K870"/>
      <c r="L870"/>
      <c r="M870"/>
      <c r="N870"/>
      <c r="O870"/>
    </row>
    <row r="871" spans="11:15" x14ac:dyDescent="0.25">
      <c r="K871"/>
      <c r="L871"/>
      <c r="M871"/>
      <c r="N871"/>
      <c r="O871"/>
    </row>
    <row r="872" spans="11:15" x14ac:dyDescent="0.25">
      <c r="K872"/>
      <c r="L872"/>
      <c r="M872"/>
      <c r="N872"/>
      <c r="O872"/>
    </row>
    <row r="873" spans="11:15" x14ac:dyDescent="0.25">
      <c r="K873"/>
      <c r="L873"/>
      <c r="M873"/>
      <c r="N873"/>
      <c r="O873"/>
    </row>
    <row r="874" spans="11:15" x14ac:dyDescent="0.25">
      <c r="K874"/>
      <c r="L874"/>
      <c r="M874"/>
      <c r="N874"/>
      <c r="O874"/>
    </row>
    <row r="875" spans="11:15" x14ac:dyDescent="0.25">
      <c r="K875"/>
      <c r="L875"/>
      <c r="M875"/>
      <c r="N875"/>
      <c r="O875"/>
    </row>
    <row r="876" spans="11:15" x14ac:dyDescent="0.25">
      <c r="K876"/>
      <c r="L876"/>
      <c r="M876"/>
      <c r="N876"/>
      <c r="O876"/>
    </row>
    <row r="877" spans="11:15" x14ac:dyDescent="0.25">
      <c r="K877"/>
      <c r="L877"/>
      <c r="M877"/>
      <c r="N877"/>
      <c r="O877"/>
    </row>
    <row r="878" spans="11:15" x14ac:dyDescent="0.25">
      <c r="K878"/>
      <c r="L878"/>
      <c r="M878"/>
      <c r="N878"/>
      <c r="O878"/>
    </row>
    <row r="879" spans="11:15" x14ac:dyDescent="0.25">
      <c r="K879"/>
      <c r="L879"/>
      <c r="M879"/>
      <c r="N879"/>
      <c r="O879"/>
    </row>
    <row r="880" spans="11:15" x14ac:dyDescent="0.25">
      <c r="K880"/>
      <c r="L880"/>
      <c r="M880"/>
      <c r="N880"/>
      <c r="O880"/>
    </row>
    <row r="881" spans="11:15" x14ac:dyDescent="0.25">
      <c r="K881"/>
      <c r="L881"/>
      <c r="M881"/>
      <c r="N881"/>
      <c r="O881"/>
    </row>
    <row r="882" spans="11:15" x14ac:dyDescent="0.25">
      <c r="K882"/>
      <c r="L882"/>
      <c r="M882"/>
      <c r="N882"/>
      <c r="O882"/>
    </row>
    <row r="883" spans="11:15" x14ac:dyDescent="0.25">
      <c r="K883"/>
      <c r="L883"/>
      <c r="M883"/>
      <c r="N883"/>
      <c r="O883"/>
    </row>
    <row r="884" spans="11:15" x14ac:dyDescent="0.25">
      <c r="K884"/>
      <c r="L884"/>
      <c r="M884"/>
      <c r="N884"/>
      <c r="O884"/>
    </row>
    <row r="885" spans="11:15" x14ac:dyDescent="0.25">
      <c r="K885"/>
      <c r="L885"/>
      <c r="M885"/>
      <c r="N885"/>
      <c r="O885"/>
    </row>
    <row r="886" spans="11:15" x14ac:dyDescent="0.25">
      <c r="K886"/>
      <c r="L886"/>
      <c r="M886"/>
      <c r="N886"/>
      <c r="O886"/>
    </row>
    <row r="887" spans="11:15" x14ac:dyDescent="0.25">
      <c r="K887"/>
      <c r="L887"/>
      <c r="M887"/>
      <c r="N887"/>
      <c r="O887"/>
    </row>
    <row r="888" spans="11:15" x14ac:dyDescent="0.25">
      <c r="K888"/>
      <c r="L888"/>
      <c r="M888"/>
      <c r="N888"/>
      <c r="O888"/>
    </row>
    <row r="889" spans="11:15" x14ac:dyDescent="0.25">
      <c r="K889"/>
      <c r="L889"/>
      <c r="M889"/>
      <c r="N889"/>
      <c r="O889"/>
    </row>
    <row r="890" spans="11:15" x14ac:dyDescent="0.25">
      <c r="K890"/>
      <c r="L890"/>
      <c r="M890"/>
      <c r="N890"/>
      <c r="O890"/>
    </row>
    <row r="891" spans="11:15" x14ac:dyDescent="0.25">
      <c r="K891"/>
      <c r="L891"/>
      <c r="M891"/>
      <c r="N891"/>
      <c r="O891"/>
    </row>
    <row r="892" spans="11:15" x14ac:dyDescent="0.25">
      <c r="K892"/>
      <c r="L892"/>
      <c r="M892"/>
      <c r="N892"/>
      <c r="O892"/>
    </row>
    <row r="893" spans="11:15" x14ac:dyDescent="0.25">
      <c r="K893"/>
      <c r="L893"/>
      <c r="M893"/>
      <c r="N893"/>
      <c r="O893"/>
    </row>
    <row r="894" spans="11:15" x14ac:dyDescent="0.25">
      <c r="K894"/>
      <c r="L894"/>
      <c r="M894"/>
      <c r="N894"/>
      <c r="O894"/>
    </row>
    <row r="895" spans="11:15" x14ac:dyDescent="0.25">
      <c r="K895"/>
      <c r="L895"/>
      <c r="M895"/>
      <c r="N895"/>
      <c r="O895"/>
    </row>
    <row r="896" spans="11:15" x14ac:dyDescent="0.25">
      <c r="K896"/>
      <c r="L896"/>
      <c r="M896"/>
      <c r="N896"/>
      <c r="O896"/>
    </row>
    <row r="897" spans="11:15" x14ac:dyDescent="0.25">
      <c r="K897"/>
      <c r="L897"/>
      <c r="M897"/>
      <c r="N897"/>
      <c r="O897"/>
    </row>
    <row r="898" spans="11:15" x14ac:dyDescent="0.25">
      <c r="K898"/>
      <c r="L898"/>
      <c r="M898"/>
      <c r="N898"/>
      <c r="O898"/>
    </row>
    <row r="899" spans="11:15" x14ac:dyDescent="0.25">
      <c r="K899"/>
      <c r="L899"/>
      <c r="M899"/>
      <c r="N899"/>
      <c r="O899"/>
    </row>
    <row r="900" spans="11:15" x14ac:dyDescent="0.25">
      <c r="K900"/>
      <c r="L900"/>
      <c r="M900"/>
      <c r="N900"/>
      <c r="O900"/>
    </row>
    <row r="901" spans="11:15" x14ac:dyDescent="0.25">
      <c r="K901"/>
      <c r="L901"/>
      <c r="M901"/>
      <c r="N901"/>
      <c r="O901"/>
    </row>
    <row r="902" spans="11:15" x14ac:dyDescent="0.25">
      <c r="K902"/>
      <c r="L902"/>
      <c r="M902"/>
      <c r="N902"/>
      <c r="O902"/>
    </row>
    <row r="903" spans="11:15" x14ac:dyDescent="0.25">
      <c r="K903"/>
      <c r="L903"/>
      <c r="M903"/>
      <c r="N903"/>
      <c r="O903"/>
    </row>
    <row r="904" spans="11:15" x14ac:dyDescent="0.25">
      <c r="K904"/>
      <c r="L904"/>
      <c r="M904"/>
      <c r="N904"/>
      <c r="O904"/>
    </row>
    <row r="905" spans="11:15" x14ac:dyDescent="0.25">
      <c r="K905"/>
      <c r="L905"/>
      <c r="M905"/>
      <c r="N905"/>
      <c r="O905"/>
    </row>
    <row r="906" spans="11:15" x14ac:dyDescent="0.25">
      <c r="K906"/>
      <c r="L906"/>
      <c r="M906"/>
      <c r="N906"/>
      <c r="O906"/>
    </row>
    <row r="907" spans="11:15" x14ac:dyDescent="0.25">
      <c r="K907"/>
      <c r="L907"/>
      <c r="M907"/>
      <c r="N907"/>
      <c r="O907"/>
    </row>
    <row r="908" spans="11:15" x14ac:dyDescent="0.25">
      <c r="K908"/>
      <c r="L908"/>
      <c r="M908"/>
      <c r="N908"/>
      <c r="O908"/>
    </row>
    <row r="909" spans="11:15" x14ac:dyDescent="0.25">
      <c r="K909"/>
      <c r="L909"/>
      <c r="M909"/>
      <c r="N909"/>
      <c r="O909"/>
    </row>
    <row r="910" spans="11:15" x14ac:dyDescent="0.25">
      <c r="K910"/>
      <c r="L910"/>
      <c r="M910"/>
      <c r="N910"/>
      <c r="O910"/>
    </row>
    <row r="911" spans="11:15" x14ac:dyDescent="0.25">
      <c r="K911"/>
      <c r="L911"/>
      <c r="M911"/>
      <c r="N911"/>
      <c r="O911"/>
    </row>
    <row r="912" spans="11:15" x14ac:dyDescent="0.25">
      <c r="K912"/>
      <c r="L912"/>
      <c r="M912"/>
      <c r="N912"/>
      <c r="O912"/>
    </row>
    <row r="913" spans="11:15" x14ac:dyDescent="0.25">
      <c r="K913"/>
      <c r="L913"/>
      <c r="M913"/>
      <c r="N913"/>
      <c r="O913"/>
    </row>
    <row r="914" spans="11:15" x14ac:dyDescent="0.25">
      <c r="K914"/>
      <c r="L914"/>
      <c r="M914"/>
      <c r="N914"/>
      <c r="O914"/>
    </row>
    <row r="915" spans="11:15" x14ac:dyDescent="0.25">
      <c r="K915"/>
      <c r="L915"/>
      <c r="M915"/>
      <c r="N915"/>
      <c r="O915"/>
    </row>
    <row r="916" spans="11:15" x14ac:dyDescent="0.25">
      <c r="K916"/>
      <c r="L916"/>
      <c r="M916"/>
      <c r="N916"/>
      <c r="O916"/>
    </row>
    <row r="917" spans="11:15" x14ac:dyDescent="0.25">
      <c r="K917"/>
      <c r="L917"/>
      <c r="M917"/>
      <c r="N917"/>
      <c r="O917"/>
    </row>
    <row r="918" spans="11:15" x14ac:dyDescent="0.25">
      <c r="K918"/>
      <c r="L918"/>
      <c r="M918"/>
      <c r="N918"/>
      <c r="O918"/>
    </row>
    <row r="919" spans="11:15" x14ac:dyDescent="0.25">
      <c r="K919"/>
      <c r="L919"/>
      <c r="M919"/>
      <c r="N919"/>
      <c r="O919"/>
    </row>
    <row r="920" spans="11:15" x14ac:dyDescent="0.25">
      <c r="K920"/>
      <c r="L920"/>
      <c r="M920"/>
      <c r="N920"/>
      <c r="O920"/>
    </row>
    <row r="921" spans="11:15" x14ac:dyDescent="0.25">
      <c r="K921"/>
      <c r="L921"/>
      <c r="M921"/>
      <c r="N921"/>
      <c r="O921"/>
    </row>
    <row r="922" spans="11:15" x14ac:dyDescent="0.25">
      <c r="K922"/>
      <c r="L922"/>
      <c r="M922"/>
      <c r="N922"/>
      <c r="O922"/>
    </row>
    <row r="923" spans="11:15" x14ac:dyDescent="0.25">
      <c r="K923"/>
      <c r="L923"/>
      <c r="M923"/>
      <c r="N923"/>
      <c r="O923"/>
    </row>
    <row r="924" spans="11:15" x14ac:dyDescent="0.25">
      <c r="K924"/>
      <c r="L924"/>
      <c r="M924"/>
      <c r="N924"/>
      <c r="O924"/>
    </row>
    <row r="925" spans="11:15" x14ac:dyDescent="0.25">
      <c r="K925"/>
      <c r="L925"/>
      <c r="M925"/>
      <c r="N925"/>
      <c r="O925"/>
    </row>
    <row r="926" spans="11:15" x14ac:dyDescent="0.25">
      <c r="K926"/>
      <c r="L926"/>
      <c r="M926"/>
      <c r="N926"/>
      <c r="O926"/>
    </row>
    <row r="927" spans="11:15" x14ac:dyDescent="0.25">
      <c r="K927"/>
      <c r="L927"/>
      <c r="M927"/>
      <c r="N927"/>
      <c r="O927"/>
    </row>
    <row r="928" spans="11:15" x14ac:dyDescent="0.25">
      <c r="K928"/>
      <c r="L928"/>
      <c r="M928"/>
      <c r="N928"/>
      <c r="O928"/>
    </row>
    <row r="929" spans="11:15" x14ac:dyDescent="0.25">
      <c r="K929"/>
      <c r="L929"/>
      <c r="M929"/>
      <c r="N929"/>
      <c r="O929"/>
    </row>
    <row r="930" spans="11:15" x14ac:dyDescent="0.25">
      <c r="K930"/>
      <c r="L930"/>
      <c r="M930"/>
      <c r="N930"/>
      <c r="O930"/>
    </row>
    <row r="931" spans="11:15" x14ac:dyDescent="0.25">
      <c r="K931"/>
      <c r="L931"/>
      <c r="M931"/>
      <c r="N931"/>
      <c r="O931"/>
    </row>
    <row r="932" spans="11:15" x14ac:dyDescent="0.25">
      <c r="K932"/>
      <c r="L932"/>
      <c r="M932"/>
      <c r="N932"/>
      <c r="O932"/>
    </row>
    <row r="933" spans="11:15" x14ac:dyDescent="0.25">
      <c r="K933"/>
      <c r="L933"/>
      <c r="M933"/>
      <c r="N933"/>
      <c r="O933"/>
    </row>
    <row r="934" spans="11:15" x14ac:dyDescent="0.25">
      <c r="K934"/>
      <c r="L934"/>
      <c r="M934"/>
      <c r="N934"/>
      <c r="O934"/>
    </row>
    <row r="935" spans="11:15" x14ac:dyDescent="0.25">
      <c r="K935"/>
      <c r="L935"/>
      <c r="M935"/>
      <c r="N935"/>
      <c r="O935"/>
    </row>
    <row r="936" spans="11:15" x14ac:dyDescent="0.25">
      <c r="K936"/>
      <c r="L936"/>
      <c r="M936"/>
      <c r="N936"/>
      <c r="O936"/>
    </row>
    <row r="937" spans="11:15" x14ac:dyDescent="0.25">
      <c r="K937"/>
      <c r="L937"/>
      <c r="M937"/>
      <c r="N937"/>
      <c r="O937"/>
    </row>
    <row r="938" spans="11:15" x14ac:dyDescent="0.25">
      <c r="K938"/>
      <c r="L938"/>
      <c r="M938"/>
      <c r="N938"/>
      <c r="O938"/>
    </row>
    <row r="939" spans="11:15" x14ac:dyDescent="0.25">
      <c r="K939"/>
      <c r="L939"/>
      <c r="M939"/>
      <c r="N939"/>
      <c r="O939"/>
    </row>
    <row r="940" spans="11:15" x14ac:dyDescent="0.25">
      <c r="K940"/>
      <c r="L940"/>
      <c r="M940"/>
      <c r="N940"/>
      <c r="O940"/>
    </row>
    <row r="941" spans="11:15" x14ac:dyDescent="0.25">
      <c r="K941"/>
      <c r="L941"/>
      <c r="M941"/>
      <c r="N941"/>
      <c r="O941"/>
    </row>
    <row r="942" spans="11:15" x14ac:dyDescent="0.25">
      <c r="K942"/>
      <c r="L942"/>
      <c r="M942"/>
      <c r="N942"/>
      <c r="O942"/>
    </row>
    <row r="943" spans="11:15" x14ac:dyDescent="0.25">
      <c r="K943"/>
      <c r="L943"/>
      <c r="M943"/>
      <c r="N943"/>
      <c r="O943"/>
    </row>
    <row r="944" spans="11:15" x14ac:dyDescent="0.25">
      <c r="K944"/>
      <c r="L944"/>
      <c r="M944"/>
      <c r="N944"/>
      <c r="O944"/>
    </row>
    <row r="945" spans="11:15" x14ac:dyDescent="0.25">
      <c r="K945"/>
      <c r="L945"/>
      <c r="M945"/>
      <c r="N945"/>
      <c r="O945"/>
    </row>
    <row r="946" spans="11:15" x14ac:dyDescent="0.25">
      <c r="K946"/>
      <c r="L946"/>
      <c r="M946"/>
      <c r="N946"/>
      <c r="O946"/>
    </row>
    <row r="947" spans="11:15" x14ac:dyDescent="0.25">
      <c r="K947"/>
      <c r="L947"/>
      <c r="M947"/>
      <c r="N947"/>
      <c r="O947"/>
    </row>
    <row r="948" spans="11:15" x14ac:dyDescent="0.25">
      <c r="K948"/>
      <c r="L948"/>
      <c r="M948"/>
      <c r="N948"/>
      <c r="O948"/>
    </row>
    <row r="949" spans="11:15" x14ac:dyDescent="0.25">
      <c r="K949"/>
      <c r="L949"/>
      <c r="M949"/>
      <c r="N949"/>
      <c r="O949"/>
    </row>
    <row r="950" spans="11:15" x14ac:dyDescent="0.25">
      <c r="K950"/>
      <c r="L950"/>
      <c r="M950"/>
      <c r="N950"/>
      <c r="O950"/>
    </row>
    <row r="951" spans="11:15" x14ac:dyDescent="0.25">
      <c r="K951"/>
      <c r="L951"/>
      <c r="M951"/>
      <c r="N951"/>
      <c r="O951"/>
    </row>
    <row r="952" spans="11:15" x14ac:dyDescent="0.25">
      <c r="K952"/>
      <c r="L952"/>
      <c r="M952"/>
      <c r="N952"/>
      <c r="O952"/>
    </row>
    <row r="953" spans="11:15" x14ac:dyDescent="0.25">
      <c r="K953"/>
      <c r="L953"/>
      <c r="M953"/>
      <c r="N953"/>
      <c r="O953"/>
    </row>
    <row r="954" spans="11:15" x14ac:dyDescent="0.25">
      <c r="K954"/>
      <c r="L954"/>
      <c r="M954"/>
      <c r="N954"/>
      <c r="O954"/>
    </row>
    <row r="955" spans="11:15" x14ac:dyDescent="0.25">
      <c r="K955"/>
      <c r="L955"/>
      <c r="M955"/>
      <c r="N955"/>
      <c r="O955"/>
    </row>
    <row r="956" spans="11:15" x14ac:dyDescent="0.25">
      <c r="K956"/>
      <c r="L956"/>
      <c r="M956"/>
      <c r="N956"/>
      <c r="O956"/>
    </row>
    <row r="957" spans="11:15" x14ac:dyDescent="0.25">
      <c r="K957"/>
      <c r="L957"/>
      <c r="M957"/>
      <c r="N957"/>
      <c r="O957"/>
    </row>
    <row r="958" spans="11:15" x14ac:dyDescent="0.25">
      <c r="K958"/>
      <c r="L958"/>
      <c r="M958"/>
      <c r="N958"/>
      <c r="O958"/>
    </row>
    <row r="959" spans="11:15" x14ac:dyDescent="0.25">
      <c r="K959"/>
      <c r="L959"/>
      <c r="M959"/>
      <c r="N959"/>
      <c r="O959"/>
    </row>
    <row r="960" spans="11:15" x14ac:dyDescent="0.25">
      <c r="K960"/>
      <c r="L960"/>
      <c r="M960"/>
      <c r="N960"/>
      <c r="O960"/>
    </row>
    <row r="961" spans="11:15" x14ac:dyDescent="0.25">
      <c r="K961"/>
      <c r="L961"/>
      <c r="M961"/>
      <c r="N961"/>
      <c r="O961"/>
    </row>
    <row r="962" spans="11:15" x14ac:dyDescent="0.25">
      <c r="K962"/>
      <c r="L962"/>
      <c r="M962"/>
      <c r="N962"/>
      <c r="O962"/>
    </row>
    <row r="963" spans="11:15" x14ac:dyDescent="0.25">
      <c r="K963"/>
      <c r="L963"/>
      <c r="M963"/>
      <c r="N963"/>
      <c r="O963"/>
    </row>
    <row r="964" spans="11:15" x14ac:dyDescent="0.25">
      <c r="K964"/>
      <c r="L964"/>
      <c r="M964"/>
      <c r="N964"/>
      <c r="O964"/>
    </row>
    <row r="965" spans="11:15" x14ac:dyDescent="0.25">
      <c r="K965"/>
      <c r="L965"/>
      <c r="M965"/>
      <c r="N965"/>
      <c r="O965"/>
    </row>
    <row r="966" spans="11:15" x14ac:dyDescent="0.25">
      <c r="K966"/>
      <c r="L966"/>
      <c r="M966"/>
      <c r="N966"/>
      <c r="O966"/>
    </row>
    <row r="967" spans="11:15" x14ac:dyDescent="0.25">
      <c r="K967"/>
      <c r="L967"/>
      <c r="M967"/>
      <c r="N967"/>
      <c r="O967"/>
    </row>
    <row r="968" spans="11:15" x14ac:dyDescent="0.25">
      <c r="K968"/>
      <c r="L968"/>
      <c r="M968"/>
      <c r="N968"/>
      <c r="O968"/>
    </row>
    <row r="969" spans="11:15" x14ac:dyDescent="0.25">
      <c r="K969"/>
      <c r="L969"/>
      <c r="M969"/>
      <c r="N969"/>
      <c r="O969"/>
    </row>
    <row r="970" spans="11:15" x14ac:dyDescent="0.25">
      <c r="K970"/>
      <c r="L970"/>
      <c r="M970"/>
      <c r="N970"/>
      <c r="O970"/>
    </row>
    <row r="971" spans="11:15" x14ac:dyDescent="0.25">
      <c r="K971"/>
      <c r="L971"/>
      <c r="M971"/>
      <c r="N971"/>
      <c r="O971"/>
    </row>
    <row r="972" spans="11:15" x14ac:dyDescent="0.25">
      <c r="K972"/>
      <c r="L972"/>
      <c r="M972"/>
      <c r="N972"/>
      <c r="O972"/>
    </row>
    <row r="973" spans="11:15" x14ac:dyDescent="0.25">
      <c r="K973"/>
      <c r="L973"/>
      <c r="M973"/>
      <c r="N973"/>
      <c r="O973"/>
    </row>
    <row r="974" spans="11:15" x14ac:dyDescent="0.25">
      <c r="K974"/>
      <c r="L974"/>
      <c r="M974"/>
      <c r="N974"/>
      <c r="O974"/>
    </row>
    <row r="975" spans="11:15" x14ac:dyDescent="0.25">
      <c r="K975"/>
      <c r="L975"/>
      <c r="M975"/>
      <c r="N975"/>
      <c r="O975"/>
    </row>
    <row r="976" spans="11:15" x14ac:dyDescent="0.25">
      <c r="K976"/>
      <c r="L976"/>
      <c r="M976"/>
      <c r="N976"/>
      <c r="O976"/>
    </row>
    <row r="977" spans="11:15" x14ac:dyDescent="0.25">
      <c r="K977"/>
      <c r="L977"/>
      <c r="M977"/>
      <c r="N977"/>
      <c r="O977"/>
    </row>
    <row r="978" spans="11:15" x14ac:dyDescent="0.25">
      <c r="K978"/>
      <c r="L978"/>
      <c r="M978"/>
      <c r="N978"/>
      <c r="O978"/>
    </row>
    <row r="979" spans="11:15" x14ac:dyDescent="0.25">
      <c r="K979"/>
      <c r="L979"/>
      <c r="M979"/>
      <c r="N979"/>
      <c r="O979"/>
    </row>
    <row r="980" spans="11:15" x14ac:dyDescent="0.25">
      <c r="K980"/>
      <c r="L980"/>
      <c r="M980"/>
      <c r="N980"/>
      <c r="O980"/>
    </row>
    <row r="981" spans="11:15" x14ac:dyDescent="0.25">
      <c r="K981"/>
      <c r="L981"/>
      <c r="M981"/>
      <c r="N981"/>
      <c r="O981"/>
    </row>
    <row r="982" spans="11:15" x14ac:dyDescent="0.25">
      <c r="K982"/>
      <c r="L982"/>
      <c r="M982"/>
      <c r="N982"/>
      <c r="O982"/>
    </row>
    <row r="983" spans="11:15" x14ac:dyDescent="0.25">
      <c r="K983"/>
      <c r="L983"/>
      <c r="M983"/>
      <c r="N983"/>
      <c r="O983"/>
    </row>
    <row r="984" spans="11:15" x14ac:dyDescent="0.25">
      <c r="K984"/>
      <c r="L984"/>
      <c r="M984"/>
      <c r="N984"/>
      <c r="O984"/>
    </row>
    <row r="985" spans="11:15" x14ac:dyDescent="0.25">
      <c r="K985"/>
      <c r="L985"/>
      <c r="M985"/>
      <c r="N985"/>
      <c r="O985"/>
    </row>
    <row r="986" spans="11:15" x14ac:dyDescent="0.25">
      <c r="K986"/>
      <c r="L986"/>
      <c r="M986"/>
      <c r="N986"/>
      <c r="O986"/>
    </row>
    <row r="987" spans="11:15" x14ac:dyDescent="0.25">
      <c r="K987"/>
      <c r="L987"/>
      <c r="M987"/>
      <c r="N987"/>
      <c r="O987"/>
    </row>
    <row r="988" spans="11:15" x14ac:dyDescent="0.25">
      <c r="K988"/>
      <c r="L988"/>
      <c r="M988"/>
      <c r="N988"/>
      <c r="O988"/>
    </row>
    <row r="989" spans="11:15" x14ac:dyDescent="0.25">
      <c r="K989"/>
      <c r="L989"/>
      <c r="M989"/>
      <c r="N989"/>
      <c r="O989"/>
    </row>
    <row r="990" spans="11:15" x14ac:dyDescent="0.25">
      <c r="K990"/>
      <c r="L990"/>
      <c r="M990"/>
      <c r="N990"/>
      <c r="O990"/>
    </row>
    <row r="991" spans="11:15" x14ac:dyDescent="0.25">
      <c r="K991"/>
      <c r="L991"/>
      <c r="M991"/>
      <c r="N991"/>
      <c r="O991"/>
    </row>
    <row r="992" spans="11:15" x14ac:dyDescent="0.25">
      <c r="K992"/>
      <c r="L992"/>
      <c r="M992"/>
      <c r="N992"/>
      <c r="O992"/>
    </row>
    <row r="993" spans="11:15" x14ac:dyDescent="0.25">
      <c r="K993"/>
      <c r="L993"/>
      <c r="M993"/>
      <c r="N993"/>
      <c r="O993"/>
    </row>
    <row r="994" spans="11:15" x14ac:dyDescent="0.25">
      <c r="K994"/>
      <c r="L994"/>
      <c r="M994"/>
      <c r="N994"/>
      <c r="O994"/>
    </row>
    <row r="995" spans="11:15" x14ac:dyDescent="0.25">
      <c r="K995"/>
      <c r="L995"/>
      <c r="M995"/>
      <c r="N995"/>
      <c r="O995"/>
    </row>
    <row r="996" spans="11:15" x14ac:dyDescent="0.25">
      <c r="K996"/>
      <c r="L996"/>
      <c r="M996"/>
      <c r="N996"/>
      <c r="O996"/>
    </row>
    <row r="997" spans="11:15" x14ac:dyDescent="0.25">
      <c r="K997"/>
      <c r="L997"/>
      <c r="M997"/>
      <c r="N997"/>
      <c r="O997"/>
    </row>
    <row r="998" spans="11:15" x14ac:dyDescent="0.25">
      <c r="K998"/>
      <c r="L998"/>
      <c r="M998"/>
      <c r="N998"/>
      <c r="O998"/>
    </row>
    <row r="999" spans="11:15" x14ac:dyDescent="0.25">
      <c r="K999"/>
      <c r="L999"/>
      <c r="M999"/>
      <c r="N999"/>
      <c r="O999"/>
    </row>
    <row r="1000" spans="11:15" x14ac:dyDescent="0.25">
      <c r="K1000"/>
      <c r="L1000"/>
      <c r="M1000"/>
      <c r="N1000"/>
      <c r="O1000"/>
    </row>
    <row r="1001" spans="11:15" x14ac:dyDescent="0.25">
      <c r="K1001"/>
      <c r="L1001"/>
      <c r="M1001"/>
      <c r="N1001"/>
      <c r="O1001"/>
    </row>
    <row r="1002" spans="11:15" x14ac:dyDescent="0.25">
      <c r="K1002"/>
      <c r="L1002"/>
      <c r="M1002"/>
      <c r="N1002"/>
      <c r="O1002"/>
    </row>
    <row r="1003" spans="11:15" x14ac:dyDescent="0.25">
      <c r="K1003"/>
      <c r="L1003"/>
      <c r="M1003"/>
      <c r="N1003"/>
      <c r="O1003"/>
    </row>
    <row r="1004" spans="11:15" x14ac:dyDescent="0.25">
      <c r="K1004"/>
      <c r="L1004"/>
      <c r="M1004"/>
      <c r="N1004"/>
      <c r="O1004"/>
    </row>
    <row r="1005" spans="11:15" x14ac:dyDescent="0.25">
      <c r="K1005"/>
      <c r="L1005"/>
      <c r="M1005"/>
      <c r="N1005"/>
      <c r="O1005"/>
    </row>
    <row r="1006" spans="11:15" x14ac:dyDescent="0.25">
      <c r="K1006"/>
      <c r="L1006"/>
      <c r="M1006"/>
      <c r="N1006"/>
      <c r="O1006"/>
    </row>
    <row r="1007" spans="11:15" x14ac:dyDescent="0.25">
      <c r="K1007"/>
      <c r="L1007"/>
      <c r="M1007"/>
      <c r="N1007"/>
      <c r="O1007"/>
    </row>
    <row r="1008" spans="11:15" x14ac:dyDescent="0.25">
      <c r="K1008"/>
      <c r="L1008"/>
      <c r="M1008"/>
      <c r="N1008"/>
      <c r="O1008"/>
    </row>
    <row r="1009" spans="11:15" x14ac:dyDescent="0.25">
      <c r="K1009"/>
      <c r="L1009"/>
      <c r="M1009"/>
      <c r="N1009"/>
      <c r="O1009"/>
    </row>
    <row r="1010" spans="11:15" x14ac:dyDescent="0.25">
      <c r="K1010"/>
      <c r="L1010"/>
      <c r="M1010"/>
      <c r="N1010"/>
      <c r="O1010"/>
    </row>
    <row r="1011" spans="11:15" x14ac:dyDescent="0.25">
      <c r="K1011"/>
      <c r="L1011"/>
      <c r="M1011"/>
      <c r="N1011"/>
      <c r="O1011"/>
    </row>
    <row r="1012" spans="11:15" x14ac:dyDescent="0.25">
      <c r="K1012"/>
      <c r="L1012"/>
      <c r="M1012"/>
      <c r="N1012"/>
      <c r="O1012"/>
    </row>
    <row r="1013" spans="11:15" x14ac:dyDescent="0.25">
      <c r="K1013"/>
      <c r="L1013"/>
      <c r="M1013"/>
      <c r="N1013"/>
      <c r="O1013"/>
    </row>
    <row r="1014" spans="11:15" x14ac:dyDescent="0.25">
      <c r="K1014"/>
      <c r="L1014"/>
      <c r="M1014"/>
      <c r="N1014"/>
      <c r="O1014"/>
    </row>
    <row r="1015" spans="11:15" x14ac:dyDescent="0.25">
      <c r="K1015"/>
      <c r="L1015"/>
      <c r="M1015"/>
      <c r="N1015"/>
      <c r="O1015"/>
    </row>
    <row r="1016" spans="11:15" x14ac:dyDescent="0.25">
      <c r="K1016"/>
      <c r="L1016"/>
      <c r="M1016"/>
      <c r="N1016"/>
      <c r="O1016"/>
    </row>
    <row r="1017" spans="11:15" x14ac:dyDescent="0.25">
      <c r="K1017"/>
      <c r="L1017"/>
      <c r="M1017"/>
      <c r="N1017"/>
      <c r="O1017"/>
    </row>
    <row r="1018" spans="11:15" x14ac:dyDescent="0.25">
      <c r="K1018"/>
      <c r="L1018"/>
      <c r="M1018"/>
      <c r="N1018"/>
      <c r="O1018"/>
    </row>
    <row r="1019" spans="11:15" x14ac:dyDescent="0.25">
      <c r="K1019"/>
      <c r="L1019"/>
      <c r="M1019"/>
      <c r="N1019"/>
      <c r="O1019"/>
    </row>
    <row r="1020" spans="11:15" x14ac:dyDescent="0.25">
      <c r="K1020"/>
      <c r="L1020"/>
      <c r="M1020"/>
      <c r="N1020"/>
      <c r="O1020"/>
    </row>
    <row r="1021" spans="11:15" x14ac:dyDescent="0.25">
      <c r="K1021"/>
      <c r="L1021"/>
      <c r="M1021"/>
      <c r="N1021"/>
      <c r="O1021"/>
    </row>
    <row r="1022" spans="11:15" x14ac:dyDescent="0.25">
      <c r="K1022"/>
      <c r="L1022"/>
      <c r="M1022"/>
      <c r="N1022"/>
      <c r="O1022"/>
    </row>
    <row r="1023" spans="11:15" x14ac:dyDescent="0.25">
      <c r="K1023"/>
      <c r="L1023"/>
      <c r="M1023"/>
      <c r="N1023"/>
      <c r="O1023"/>
    </row>
    <row r="1024" spans="11:15" x14ac:dyDescent="0.25">
      <c r="K1024"/>
      <c r="L1024"/>
      <c r="M1024"/>
      <c r="N1024"/>
      <c r="O1024"/>
    </row>
    <row r="1025" spans="11:15" x14ac:dyDescent="0.25">
      <c r="K1025"/>
      <c r="L1025"/>
      <c r="M1025"/>
      <c r="N1025"/>
      <c r="O1025"/>
    </row>
    <row r="1026" spans="11:15" x14ac:dyDescent="0.25">
      <c r="K1026"/>
      <c r="L1026"/>
      <c r="M1026"/>
      <c r="N1026"/>
      <c r="O1026"/>
    </row>
    <row r="1027" spans="11:15" x14ac:dyDescent="0.25">
      <c r="K1027"/>
      <c r="L1027"/>
      <c r="M1027"/>
      <c r="N1027"/>
      <c r="O1027"/>
    </row>
    <row r="1028" spans="11:15" x14ac:dyDescent="0.25">
      <c r="K1028"/>
      <c r="L1028"/>
      <c r="M1028"/>
      <c r="N1028"/>
      <c r="O1028"/>
    </row>
    <row r="1029" spans="11:15" x14ac:dyDescent="0.25">
      <c r="K1029"/>
      <c r="L1029"/>
      <c r="M1029"/>
      <c r="N1029"/>
      <c r="O1029"/>
    </row>
    <row r="1030" spans="11:15" x14ac:dyDescent="0.25">
      <c r="K1030"/>
      <c r="L1030"/>
      <c r="M1030"/>
      <c r="N1030"/>
      <c r="O1030"/>
    </row>
    <row r="1031" spans="11:15" x14ac:dyDescent="0.25">
      <c r="K1031"/>
      <c r="L1031"/>
      <c r="M1031"/>
      <c r="N1031"/>
      <c r="O1031"/>
    </row>
    <row r="1032" spans="11:15" x14ac:dyDescent="0.25">
      <c r="K1032"/>
      <c r="L1032"/>
      <c r="M1032"/>
      <c r="N1032"/>
      <c r="O1032"/>
    </row>
    <row r="1033" spans="11:15" x14ac:dyDescent="0.25">
      <c r="K1033"/>
      <c r="L1033"/>
      <c r="M1033"/>
      <c r="N1033"/>
      <c r="O1033"/>
    </row>
    <row r="1034" spans="11:15" x14ac:dyDescent="0.25">
      <c r="K1034"/>
      <c r="L1034"/>
      <c r="M1034"/>
      <c r="N1034"/>
      <c r="O1034"/>
    </row>
    <row r="1035" spans="11:15" x14ac:dyDescent="0.25">
      <c r="K1035"/>
      <c r="L1035"/>
      <c r="M1035"/>
      <c r="N1035"/>
      <c r="O1035"/>
    </row>
    <row r="1036" spans="11:15" x14ac:dyDescent="0.25">
      <c r="K1036"/>
      <c r="L1036"/>
      <c r="M1036"/>
      <c r="N1036"/>
      <c r="O1036"/>
    </row>
    <row r="1037" spans="11:15" x14ac:dyDescent="0.25">
      <c r="K1037"/>
      <c r="L1037"/>
      <c r="M1037"/>
      <c r="N1037"/>
      <c r="O1037"/>
    </row>
    <row r="1038" spans="11:15" x14ac:dyDescent="0.25">
      <c r="K1038"/>
      <c r="L1038"/>
      <c r="M1038"/>
      <c r="N1038"/>
      <c r="O1038"/>
    </row>
    <row r="1039" spans="11:15" x14ac:dyDescent="0.25">
      <c r="K1039"/>
      <c r="L1039"/>
      <c r="M1039"/>
      <c r="N1039"/>
      <c r="O1039"/>
    </row>
    <row r="1040" spans="11:15" x14ac:dyDescent="0.25">
      <c r="K1040"/>
      <c r="L1040"/>
      <c r="M1040"/>
      <c r="N1040"/>
      <c r="O1040"/>
    </row>
    <row r="1041" spans="11:15" x14ac:dyDescent="0.25">
      <c r="K1041"/>
      <c r="L1041"/>
      <c r="M1041"/>
      <c r="N1041"/>
      <c r="O1041"/>
    </row>
    <row r="1042" spans="11:15" x14ac:dyDescent="0.25">
      <c r="K1042"/>
      <c r="L1042"/>
      <c r="M1042"/>
      <c r="N1042"/>
      <c r="O1042"/>
    </row>
    <row r="1043" spans="11:15" x14ac:dyDescent="0.25">
      <c r="K1043"/>
      <c r="L1043"/>
      <c r="M1043"/>
      <c r="N1043"/>
      <c r="O1043"/>
    </row>
    <row r="1044" spans="11:15" x14ac:dyDescent="0.25">
      <c r="K1044"/>
      <c r="L1044"/>
      <c r="M1044"/>
      <c r="N1044"/>
      <c r="O1044"/>
    </row>
    <row r="1045" spans="11:15" x14ac:dyDescent="0.25">
      <c r="K1045"/>
      <c r="L1045"/>
      <c r="M1045"/>
      <c r="N1045"/>
      <c r="O1045"/>
    </row>
    <row r="1046" spans="11:15" x14ac:dyDescent="0.25">
      <c r="K1046"/>
      <c r="L1046"/>
      <c r="M1046"/>
      <c r="N1046"/>
      <c r="O1046"/>
    </row>
    <row r="1047" spans="11:15" x14ac:dyDescent="0.25">
      <c r="K1047"/>
      <c r="L1047"/>
      <c r="M1047"/>
      <c r="N1047"/>
      <c r="O1047"/>
    </row>
    <row r="1048" spans="11:15" x14ac:dyDescent="0.25">
      <c r="K1048"/>
      <c r="L1048"/>
      <c r="M1048"/>
      <c r="N1048"/>
      <c r="O1048"/>
    </row>
    <row r="1049" spans="11:15" x14ac:dyDescent="0.25">
      <c r="K1049"/>
      <c r="L1049"/>
      <c r="M1049"/>
      <c r="N1049"/>
      <c r="O1049"/>
    </row>
    <row r="1050" spans="11:15" x14ac:dyDescent="0.25">
      <c r="K1050"/>
      <c r="L1050"/>
      <c r="M1050"/>
      <c r="N1050"/>
      <c r="O1050"/>
    </row>
    <row r="1051" spans="11:15" x14ac:dyDescent="0.25">
      <c r="K1051"/>
      <c r="L1051"/>
      <c r="M1051"/>
      <c r="N1051"/>
      <c r="O1051"/>
    </row>
    <row r="1052" spans="11:15" x14ac:dyDescent="0.25">
      <c r="K1052"/>
      <c r="L1052"/>
      <c r="M1052"/>
      <c r="N1052"/>
      <c r="O1052"/>
    </row>
    <row r="1053" spans="11:15" x14ac:dyDescent="0.25">
      <c r="K1053"/>
      <c r="L1053"/>
      <c r="M1053"/>
      <c r="N1053"/>
      <c r="O1053"/>
    </row>
    <row r="1054" spans="11:15" x14ac:dyDescent="0.25">
      <c r="K1054"/>
      <c r="L1054"/>
      <c r="M1054"/>
      <c r="N1054"/>
      <c r="O1054"/>
    </row>
    <row r="1055" spans="11:15" x14ac:dyDescent="0.25">
      <c r="K1055"/>
      <c r="L1055"/>
      <c r="M1055"/>
      <c r="N1055"/>
      <c r="O1055"/>
    </row>
    <row r="1056" spans="11:15" x14ac:dyDescent="0.25">
      <c r="K1056"/>
      <c r="L1056"/>
      <c r="M1056"/>
      <c r="N1056"/>
      <c r="O1056"/>
    </row>
    <row r="1057" spans="11:15" x14ac:dyDescent="0.25">
      <c r="K1057"/>
      <c r="L1057"/>
      <c r="M1057"/>
      <c r="N1057"/>
      <c r="O1057"/>
    </row>
    <row r="1058" spans="11:15" x14ac:dyDescent="0.25">
      <c r="K1058"/>
      <c r="L1058"/>
      <c r="M1058"/>
      <c r="N1058"/>
      <c r="O1058"/>
    </row>
    <row r="1059" spans="11:15" x14ac:dyDescent="0.25">
      <c r="K1059"/>
      <c r="L1059"/>
      <c r="M1059"/>
      <c r="N1059"/>
      <c r="O1059"/>
    </row>
    <row r="1060" spans="11:15" x14ac:dyDescent="0.25">
      <c r="K1060"/>
      <c r="L1060"/>
      <c r="M1060"/>
      <c r="N1060"/>
      <c r="O1060"/>
    </row>
    <row r="1061" spans="11:15" x14ac:dyDescent="0.25">
      <c r="K1061"/>
      <c r="L1061"/>
      <c r="M1061"/>
      <c r="N1061"/>
      <c r="O1061"/>
    </row>
    <row r="1062" spans="11:15" x14ac:dyDescent="0.25">
      <c r="K1062"/>
      <c r="L1062"/>
      <c r="M1062"/>
      <c r="N1062"/>
      <c r="O1062"/>
    </row>
    <row r="1063" spans="11:15" x14ac:dyDescent="0.25">
      <c r="K1063"/>
      <c r="L1063"/>
      <c r="M1063"/>
      <c r="N1063"/>
      <c r="O1063"/>
    </row>
  </sheetData>
  <sheetProtection sheet="1" objects="1" scenarios="1"/>
  <autoFilter ref="G25:G115" xr:uid="{00000000-0009-0000-0000-000003000000}"/>
  <pageMargins left="0.70866141732283472" right="0.51181102362204722" top="0.55118110236220474" bottom="0.55118110236220474" header="0.31496062992125984" footer="0.31496062992125984"/>
  <pageSetup paperSize="9" orientation="portrait" r:id="rId1"/>
  <colBreaks count="2" manualBreakCount="2">
    <brk id="9" max="1048575" man="1"/>
    <brk id="15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5889" r:id="rId4" name="Drop Down 1">
              <controlPr defaultSize="0" print="0" autoLine="0" autoPict="0">
                <anchor moveWithCells="1">
                  <from>
                    <xdr:col>6</xdr:col>
                    <xdr:colOff>171450</xdr:colOff>
                    <xdr:row>13</xdr:row>
                    <xdr:rowOff>180975</xdr:rowOff>
                  </from>
                  <to>
                    <xdr:col>9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90" r:id="rId5" name="Check Box 2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13</xdr:row>
                    <xdr:rowOff>161925</xdr:rowOff>
                  </from>
                  <to>
                    <xdr:col>5</xdr:col>
                    <xdr:colOff>981075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91" r:id="rId6" name="Check Box 3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14</xdr:row>
                    <xdr:rowOff>161925</xdr:rowOff>
                  </from>
                  <to>
                    <xdr:col>5</xdr:col>
                    <xdr:colOff>981075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92" r:id="rId7" name="Drop Down 4">
              <controlPr defaultSize="0" print="0" autoLine="0" autoPict="0">
                <anchor moveWithCells="1">
                  <from>
                    <xdr:col>6</xdr:col>
                    <xdr:colOff>171450</xdr:colOff>
                    <xdr:row>15</xdr:row>
                    <xdr:rowOff>0</xdr:rowOff>
                  </from>
                  <to>
                    <xdr:col>9</xdr:col>
                    <xdr:colOff>9525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93" r:id="rId8" name="Check Box 5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15</xdr:row>
                    <xdr:rowOff>161925</xdr:rowOff>
                  </from>
                  <to>
                    <xdr:col>5</xdr:col>
                    <xdr:colOff>981075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94" r:id="rId9" name="Check Box 6">
              <controlPr defaultSize="0" print="0" autoFill="0" autoLine="0" autoPict="0">
                <anchor moveWithCells="1">
                  <from>
                    <xdr:col>6</xdr:col>
                    <xdr:colOff>161925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6"/>
  <dimension ref="A1:P1063"/>
  <sheetViews>
    <sheetView showGridLines="0" zoomScale="85" zoomScaleNormal="85" workbookViewId="0">
      <selection activeCell="C4" sqref="C4"/>
    </sheetView>
  </sheetViews>
  <sheetFormatPr defaultRowHeight="15" x14ac:dyDescent="0.25"/>
  <cols>
    <col min="1" max="1" width="2.7109375" style="1" customWidth="1"/>
    <col min="2" max="2" width="5.28515625" style="1" customWidth="1"/>
    <col min="3" max="3" width="9" style="1" customWidth="1"/>
    <col min="4" max="5" width="14.28515625" style="1" customWidth="1"/>
    <col min="6" max="6" width="14.85546875" style="1" customWidth="1"/>
    <col min="7" max="7" width="2.7109375" style="1" customWidth="1"/>
    <col min="8" max="8" width="9" style="1" customWidth="1"/>
    <col min="9" max="9" width="12.5703125" style="1" customWidth="1"/>
    <col min="10" max="10" width="2.7109375" style="1" customWidth="1"/>
    <col min="11" max="11" width="9.42578125" style="1" bestFit="1" customWidth="1"/>
    <col min="12" max="12" width="9" style="1" customWidth="1"/>
    <col min="13" max="13" width="14.28515625" style="1" customWidth="1"/>
    <col min="14" max="14" width="84.42578125" style="1" bestFit="1" customWidth="1"/>
    <col min="15" max="15" width="8.28515625" style="1" bestFit="1" customWidth="1"/>
    <col min="16" max="16" width="2.7109375" style="1" customWidth="1"/>
    <col min="17" max="17" width="87.140625" style="1" customWidth="1"/>
    <col min="18" max="16384" width="9.140625" style="1"/>
  </cols>
  <sheetData>
    <row r="1" spans="2:16" x14ac:dyDescent="0.25">
      <c r="B1" s="2" t="s">
        <v>3</v>
      </c>
      <c r="H1" s="38" t="s">
        <v>19</v>
      </c>
      <c r="I1" s="15"/>
      <c r="K1" s="12" t="s">
        <v>4</v>
      </c>
      <c r="L1" s="13"/>
      <c r="M1" s="12"/>
      <c r="N1" s="13"/>
      <c r="O1" s="14">
        <f>O3/(L3+O3)</f>
        <v>2.8532298561972153E-5</v>
      </c>
    </row>
    <row r="2" spans="2:16" ht="33" customHeight="1" x14ac:dyDescent="0.25">
      <c r="B2" s="3" t="str">
        <f>B24</f>
        <v>№</v>
      </c>
      <c r="C2" s="3" t="s">
        <v>1</v>
      </c>
      <c r="D2" s="3" t="s">
        <v>0</v>
      </c>
      <c r="E2" s="3" t="s">
        <v>10</v>
      </c>
      <c r="F2" s="4" t="s">
        <v>12</v>
      </c>
      <c r="H2" s="3" t="s">
        <v>1</v>
      </c>
      <c r="I2" s="3" t="s">
        <v>0</v>
      </c>
      <c r="K2" s="5" t="s">
        <v>1</v>
      </c>
      <c r="L2" s="5" t="s">
        <v>6</v>
      </c>
      <c r="M2" s="6" t="s">
        <v>11</v>
      </c>
      <c r="N2" s="5" t="s">
        <v>7</v>
      </c>
      <c r="O2" s="6" t="str">
        <f>"Отходы
"&amp;IF((L3+O3)&gt;0,TEXT(O3/(L3+O3),"0,00%"),"")</f>
        <v>Отходы
000%</v>
      </c>
    </row>
    <row r="3" spans="2:16" x14ac:dyDescent="0.25">
      <c r="B3" s="27"/>
      <c r="C3" s="27">
        <f>IF(COUNT(C4:C13)=COUNT(D4:D13),SUMPRODUCT(C4:C13,D4:D13),)</f>
        <v>0</v>
      </c>
      <c r="D3" s="23" t="str">
        <f>IF(COUNT(C4:C13)=COUNT(D4:D13),SUM(D4:D13),"много")</f>
        <v>много</v>
      </c>
      <c r="E3" s="23">
        <f>SUM(E4:E13)</f>
        <v>24</v>
      </c>
      <c r="F3" s="23" t="str">
        <f>IF(D3="много","много",D3-E3)</f>
        <v>много</v>
      </c>
      <c r="H3" s="27">
        <f>SUMPRODUCT(H4:H13,I4:I13)</f>
        <v>3808</v>
      </c>
      <c r="I3" s="23" t="str">
        <f>IF(COUNT(H4:H13)=COUNT(I4:I13),SUM(I4:I13),"много")</f>
        <v>много</v>
      </c>
      <c r="K3" s="31">
        <f>SUMPRODUCT(K4:K1060,$M4:$M1060)</f>
        <v>144000</v>
      </c>
      <c r="L3" s="31">
        <f>SUMPRODUCT(L4:L1060,$M4:$M1060)</f>
        <v>140188</v>
      </c>
      <c r="M3" s="32">
        <f>SUM(M4:M1060)</f>
        <v>24</v>
      </c>
      <c r="N3" s="33"/>
      <c r="O3" s="31">
        <f t="array" ref="O3">SUM(IF((O4:O1060&lt;D17)+(D17=0),$M4:$M1060*O4:O1060))</f>
        <v>4</v>
      </c>
    </row>
    <row r="4" spans="2:16" x14ac:dyDescent="0.25">
      <c r="B4" s="36">
        <f>IF(N(C4)=0,"",1)</f>
        <v>1</v>
      </c>
      <c r="C4" s="48">
        <v>6000</v>
      </c>
      <c r="D4" s="9"/>
      <c r="E4" s="28">
        <f t="shared" ref="E4:E13" si="0">MIN(SUMIF(K$4:K$1060,C4,M$4:M$1060),D4)</f>
        <v>24</v>
      </c>
      <c r="F4" s="28">
        <f>IF(D4,D4-E4,)</f>
        <v>0</v>
      </c>
      <c r="H4" s="51">
        <v>6000</v>
      </c>
      <c r="I4" s="41"/>
      <c r="K4" s="66">
        <v>6000</v>
      </c>
      <c r="L4" s="65">
        <v>6000</v>
      </c>
      <c r="M4" s="72">
        <v>2</v>
      </c>
      <c r="N4" s="69" t="s">
        <v>100</v>
      </c>
      <c r="O4" s="65">
        <f t="shared" ref="O4:O15" si="1">K4-L4</f>
        <v>0</v>
      </c>
    </row>
    <row r="5" spans="2:16" x14ac:dyDescent="0.25">
      <c r="B5" s="34" t="str">
        <f>IF(N(C5)=0,"",IF(ISNUMBER(MATCH(C5,C$4:C4,)),INDEX(B$4:B4,MATCH(C5,C$4:C4,)),MAX(B$4:B4)+1))</f>
        <v/>
      </c>
      <c r="C5" s="49"/>
      <c r="D5" s="10"/>
      <c r="E5" s="29">
        <f t="shared" si="0"/>
        <v>0</v>
      </c>
      <c r="F5" s="29">
        <f>IF(D5,D5-E5,)</f>
        <v>0</v>
      </c>
      <c r="H5" s="52">
        <v>1904</v>
      </c>
      <c r="I5" s="42">
        <v>2</v>
      </c>
      <c r="K5" s="67">
        <v>6000</v>
      </c>
      <c r="L5" s="45">
        <v>6000</v>
      </c>
      <c r="M5" s="73">
        <v>2</v>
      </c>
      <c r="N5" s="70" t="s">
        <v>101</v>
      </c>
      <c r="O5" s="45">
        <f t="shared" si="1"/>
        <v>0</v>
      </c>
    </row>
    <row r="6" spans="2:16" x14ac:dyDescent="0.25">
      <c r="B6" s="34" t="str">
        <f>IF(N(C6)=0,"",IF(ISNUMBER(MATCH(C6,C$4:C5,)),INDEX(B$4:B5,MATCH(C6,C$4:C5,)),MAX(B$4:B5)+1))</f>
        <v/>
      </c>
      <c r="C6" s="49"/>
      <c r="D6" s="10"/>
      <c r="E6" s="29">
        <f t="shared" si="0"/>
        <v>0</v>
      </c>
      <c r="F6" s="29">
        <f t="shared" ref="F6:F11" si="2">IF(D6,D6-E6,)</f>
        <v>0</v>
      </c>
      <c r="H6" s="52"/>
      <c r="I6" s="42"/>
      <c r="K6" s="67">
        <v>6000</v>
      </c>
      <c r="L6" s="45">
        <v>6000</v>
      </c>
      <c r="M6" s="73">
        <v>2</v>
      </c>
      <c r="N6" s="70" t="s">
        <v>102</v>
      </c>
      <c r="O6" s="45">
        <f t="shared" si="1"/>
        <v>0</v>
      </c>
    </row>
    <row r="7" spans="2:16" x14ac:dyDescent="0.25">
      <c r="B7" s="34" t="str">
        <f>IF(N(C7)=0,"",IF(ISNUMBER(MATCH(C7,C$4:C6,)),INDEX(B$4:B6,MATCH(C7,C$4:C6,)),MAX(B$4:B6)+1))</f>
        <v/>
      </c>
      <c r="C7" s="49"/>
      <c r="D7" s="10"/>
      <c r="E7" s="29">
        <f t="shared" si="0"/>
        <v>0</v>
      </c>
      <c r="F7" s="29">
        <f t="shared" si="2"/>
        <v>0</v>
      </c>
      <c r="H7" s="52"/>
      <c r="I7" s="42"/>
      <c r="K7" s="67">
        <v>6000</v>
      </c>
      <c r="L7" s="45">
        <v>6000</v>
      </c>
      <c r="M7" s="73">
        <v>2</v>
      </c>
      <c r="N7" s="70" t="s">
        <v>103</v>
      </c>
      <c r="O7" s="45">
        <f t="shared" si="1"/>
        <v>0</v>
      </c>
    </row>
    <row r="8" spans="2:16" x14ac:dyDescent="0.25">
      <c r="B8" s="34" t="str">
        <f>IF(N(C8)=0,"",IF(ISNUMBER(MATCH(C8,C$4:C7,)),INDEX(B$4:B7,MATCH(C8,C$4:C7,)),MAX(B$4:B7)+1))</f>
        <v/>
      </c>
      <c r="C8" s="49"/>
      <c r="D8" s="10"/>
      <c r="E8" s="29">
        <f t="shared" si="0"/>
        <v>0</v>
      </c>
      <c r="F8" s="29">
        <f t="shared" si="2"/>
        <v>0</v>
      </c>
      <c r="H8" s="52"/>
      <c r="I8" s="42"/>
      <c r="K8" s="67">
        <v>6000</v>
      </c>
      <c r="L8" s="45">
        <v>6000</v>
      </c>
      <c r="M8" s="73">
        <v>2</v>
      </c>
      <c r="N8" s="70" t="s">
        <v>104</v>
      </c>
      <c r="O8" s="45">
        <f t="shared" si="1"/>
        <v>0</v>
      </c>
    </row>
    <row r="9" spans="2:16" x14ac:dyDescent="0.25">
      <c r="B9" s="34" t="str">
        <f>IF(N(C9)=0,"",IF(ISNUMBER(MATCH(C9,C$4:C8,)),INDEX(B$4:B8,MATCH(C9,C$4:C8,)),MAX(B$4:B8)+1))</f>
        <v/>
      </c>
      <c r="C9" s="49"/>
      <c r="D9" s="10"/>
      <c r="E9" s="29">
        <f t="shared" si="0"/>
        <v>0</v>
      </c>
      <c r="F9" s="29">
        <f t="shared" si="2"/>
        <v>0</v>
      </c>
      <c r="H9" s="52"/>
      <c r="I9" s="42"/>
      <c r="K9" s="67">
        <v>6000</v>
      </c>
      <c r="L9" s="45">
        <v>6000</v>
      </c>
      <c r="M9" s="73">
        <v>2</v>
      </c>
      <c r="N9" s="70" t="s">
        <v>105</v>
      </c>
      <c r="O9" s="45">
        <f t="shared" si="1"/>
        <v>0</v>
      </c>
    </row>
    <row r="10" spans="2:16" x14ac:dyDescent="0.25">
      <c r="B10" s="34" t="str">
        <f>IF(N(C10)=0,"",IF(ISNUMBER(MATCH(C10,C$4:C9,)),INDEX(B$4:B9,MATCH(C10,C$4:C9,)),MAX(B$4:B9)+1))</f>
        <v/>
      </c>
      <c r="C10" s="49"/>
      <c r="D10" s="10"/>
      <c r="E10" s="29">
        <f t="shared" si="0"/>
        <v>0</v>
      </c>
      <c r="F10" s="29">
        <f t="shared" si="2"/>
        <v>0</v>
      </c>
      <c r="H10" s="52"/>
      <c r="I10" s="42"/>
      <c r="K10" s="67">
        <v>6000</v>
      </c>
      <c r="L10" s="45">
        <v>6000</v>
      </c>
      <c r="M10" s="73">
        <v>2</v>
      </c>
      <c r="N10" s="70" t="s">
        <v>106</v>
      </c>
      <c r="O10" s="45">
        <f t="shared" si="1"/>
        <v>0</v>
      </c>
    </row>
    <row r="11" spans="2:16" x14ac:dyDescent="0.25">
      <c r="B11" s="34" t="str">
        <f>IF(N(C11)=0,"",IF(ISNUMBER(MATCH(C11,C$4:C10,)),INDEX(B$4:B10,MATCH(C11,C$4:C10,)),MAX(B$4:B10)+1))</f>
        <v/>
      </c>
      <c r="C11" s="49"/>
      <c r="D11" s="10"/>
      <c r="E11" s="29">
        <f t="shared" si="0"/>
        <v>0</v>
      </c>
      <c r="F11" s="29">
        <f t="shared" si="2"/>
        <v>0</v>
      </c>
      <c r="H11" s="52"/>
      <c r="I11" s="42"/>
      <c r="K11" s="67">
        <v>6000</v>
      </c>
      <c r="L11" s="45">
        <v>6000</v>
      </c>
      <c r="M11" s="73">
        <v>2</v>
      </c>
      <c r="N11" s="70" t="s">
        <v>107</v>
      </c>
      <c r="O11" s="45">
        <f t="shared" si="1"/>
        <v>0</v>
      </c>
    </row>
    <row r="12" spans="2:16" x14ac:dyDescent="0.25">
      <c r="B12" s="34" t="str">
        <f>IF(N(C12)=0,"",IF(ISNUMBER(MATCH(C12,C$4:C11,)),INDEX(B$4:B11,MATCH(C12,C$4:C11,)),MAX(B$4:B11)+1))</f>
        <v/>
      </c>
      <c r="C12" s="49"/>
      <c r="D12" s="10"/>
      <c r="E12" s="29">
        <f t="shared" si="0"/>
        <v>0</v>
      </c>
      <c r="F12" s="29">
        <f>IF(D12,D12-E12,)</f>
        <v>0</v>
      </c>
      <c r="H12" s="52"/>
      <c r="I12" s="42"/>
      <c r="K12" s="67">
        <v>6000</v>
      </c>
      <c r="L12" s="45">
        <v>6000</v>
      </c>
      <c r="M12" s="73">
        <v>2</v>
      </c>
      <c r="N12" s="70" t="s">
        <v>108</v>
      </c>
      <c r="O12" s="45">
        <f t="shared" si="1"/>
        <v>0</v>
      </c>
    </row>
    <row r="13" spans="2:16" x14ac:dyDescent="0.25">
      <c r="B13" s="35" t="str">
        <f>IF(N(C13)=0,"",IF(ISNUMBER(MATCH(C13,C$4:C12,)),INDEX(B$4:B12,MATCH(C13,C$4:C12,)),MAX(B$4:B12)+1))</f>
        <v/>
      </c>
      <c r="C13" s="50"/>
      <c r="D13" s="11"/>
      <c r="E13" s="30">
        <f t="shared" si="0"/>
        <v>0</v>
      </c>
      <c r="F13" s="30">
        <f>IF(D13,D13-E13,)</f>
        <v>0</v>
      </c>
      <c r="H13" s="53"/>
      <c r="I13" s="43"/>
      <c r="K13" s="67">
        <v>6000</v>
      </c>
      <c r="L13" s="45">
        <v>6000</v>
      </c>
      <c r="M13" s="73">
        <v>2</v>
      </c>
      <c r="N13" s="70" t="s">
        <v>109</v>
      </c>
      <c r="O13" s="45">
        <f t="shared" si="1"/>
        <v>0</v>
      </c>
    </row>
    <row r="14" spans="2:16" x14ac:dyDescent="0.25">
      <c r="J14" s="15"/>
      <c r="K14" s="67">
        <v>6000</v>
      </c>
      <c r="L14" s="45">
        <v>5998</v>
      </c>
      <c r="M14" s="73">
        <v>2</v>
      </c>
      <c r="N14" s="70" t="s">
        <v>110</v>
      </c>
      <c r="O14" s="45">
        <f t="shared" si="1"/>
        <v>2</v>
      </c>
      <c r="P14" s="15"/>
    </row>
    <row r="15" spans="2:16" x14ac:dyDescent="0.25">
      <c r="B15" s="2" t="s">
        <v>13</v>
      </c>
      <c r="D15" s="37">
        <v>10</v>
      </c>
      <c r="E15" s="21" t="b">
        <v>1</v>
      </c>
      <c r="G15" s="17" t="s">
        <v>40</v>
      </c>
      <c r="H15" s="21">
        <v>5</v>
      </c>
      <c r="I15" s="17"/>
      <c r="J15" s="15"/>
      <c r="K15" s="68">
        <v>6000</v>
      </c>
      <c r="L15" s="46">
        <v>4096</v>
      </c>
      <c r="M15" s="74">
        <v>2</v>
      </c>
      <c r="N15" s="71" t="s">
        <v>111</v>
      </c>
      <c r="O15" s="46">
        <f t="shared" si="1"/>
        <v>1904</v>
      </c>
      <c r="P15" s="15"/>
    </row>
    <row r="16" spans="2:16" x14ac:dyDescent="0.25">
      <c r="B16" s="38" t="s">
        <v>17</v>
      </c>
      <c r="C16" s="15"/>
      <c r="D16" s="39">
        <v>10</v>
      </c>
      <c r="E16" s="22" t="b">
        <v>1</v>
      </c>
      <c r="G16" s="17" t="s">
        <v>41</v>
      </c>
      <c r="H16" s="21">
        <v>1</v>
      </c>
      <c r="I16" s="17"/>
      <c r="J16" s="15"/>
      <c r="K16"/>
      <c r="L16"/>
      <c r="M16"/>
      <c r="N16"/>
      <c r="O16"/>
      <c r="P16" s="15"/>
    </row>
    <row r="17" spans="1:16" x14ac:dyDescent="0.25">
      <c r="B17" s="38" t="s">
        <v>18</v>
      </c>
      <c r="C17" s="15"/>
      <c r="D17" s="39">
        <v>1000</v>
      </c>
      <c r="E17" s="22" t="b">
        <v>1</v>
      </c>
      <c r="F17" s="22" t="b">
        <v>0</v>
      </c>
      <c r="G17" s="17" t="s">
        <v>42</v>
      </c>
      <c r="I17" s="17"/>
      <c r="J17" s="15"/>
      <c r="K17"/>
      <c r="L17"/>
      <c r="M17"/>
      <c r="N17"/>
      <c r="O17"/>
      <c r="P17" s="15"/>
    </row>
    <row r="18" spans="1:16" x14ac:dyDescent="0.25">
      <c r="B18" s="38"/>
      <c r="C18" s="15"/>
      <c r="D18" s="40"/>
      <c r="E18" s="22"/>
      <c r="G18" s="17" t="s">
        <v>43</v>
      </c>
      <c r="H18" s="15"/>
      <c r="I18" s="17"/>
      <c r="J18" s="15"/>
      <c r="K18"/>
      <c r="L18"/>
      <c r="M18"/>
      <c r="N18"/>
      <c r="O18"/>
      <c r="P18" s="15"/>
    </row>
    <row r="19" spans="1:16" x14ac:dyDescent="0.25">
      <c r="B19" s="38"/>
      <c r="C19" s="15"/>
      <c r="D19" s="40"/>
      <c r="E19" s="22"/>
      <c r="G19" s="17" t="s">
        <v>44</v>
      </c>
      <c r="H19" s="15"/>
      <c r="I19" s="16"/>
      <c r="J19" s="15"/>
      <c r="K19"/>
      <c r="L19"/>
      <c r="M19"/>
      <c r="N19"/>
      <c r="O19"/>
      <c r="P19" s="15"/>
    </row>
    <row r="20" spans="1:16" x14ac:dyDescent="0.25">
      <c r="B20" s="38"/>
      <c r="C20" s="15"/>
      <c r="D20" s="40"/>
      <c r="E20" s="22"/>
      <c r="H20" s="15"/>
      <c r="I20" s="16"/>
      <c r="J20" s="15"/>
      <c r="K20"/>
      <c r="L20"/>
      <c r="M20"/>
      <c r="N20"/>
      <c r="O20"/>
      <c r="P20" s="15"/>
    </row>
    <row r="21" spans="1:16" x14ac:dyDescent="0.25">
      <c r="B21" s="38"/>
      <c r="C21" s="15"/>
      <c r="D21" s="40"/>
      <c r="E21" s="22"/>
      <c r="H21" s="15"/>
      <c r="I21" s="16"/>
      <c r="J21" s="15"/>
      <c r="K21"/>
      <c r="L21"/>
      <c r="M21"/>
      <c r="N21"/>
      <c r="O21"/>
      <c r="P21" s="15"/>
    </row>
    <row r="22" spans="1:16" x14ac:dyDescent="0.25">
      <c r="B22" s="38"/>
      <c r="C22" s="15"/>
      <c r="D22" s="40"/>
      <c r="E22" s="22"/>
      <c r="H22" s="15"/>
      <c r="I22" s="16"/>
      <c r="J22" s="15"/>
      <c r="K22"/>
      <c r="L22"/>
      <c r="M22"/>
      <c r="N22"/>
      <c r="O22"/>
      <c r="P22" s="15"/>
    </row>
    <row r="23" spans="1:16" x14ac:dyDescent="0.25">
      <c r="B23" s="2" t="s">
        <v>2</v>
      </c>
      <c r="H23" s="2" t="s">
        <v>5</v>
      </c>
      <c r="I23" s="2"/>
      <c r="J23" s="15"/>
      <c r="K23"/>
      <c r="L23"/>
      <c r="M23"/>
      <c r="N23"/>
      <c r="O23"/>
      <c r="P23" s="15"/>
    </row>
    <row r="24" spans="1:16" x14ac:dyDescent="0.25">
      <c r="B24" s="3" t="s">
        <v>14</v>
      </c>
      <c r="C24" s="3" t="s">
        <v>1</v>
      </c>
      <c r="D24" s="3" t="s">
        <v>0</v>
      </c>
      <c r="E24" s="3" t="s">
        <v>8</v>
      </c>
      <c r="F24" s="4" t="s">
        <v>9</v>
      </c>
      <c r="H24" s="3" t="s">
        <v>1</v>
      </c>
      <c r="I24" s="3" t="s">
        <v>0</v>
      </c>
      <c r="J24" s="15"/>
      <c r="K24"/>
      <c r="L24"/>
      <c r="M24"/>
      <c r="N24"/>
      <c r="O24"/>
      <c r="P24" s="15"/>
    </row>
    <row r="25" spans="1:16" x14ac:dyDescent="0.25">
      <c r="B25" s="27"/>
      <c r="C25" s="27">
        <f>IF(D25="много","много",SUMPRODUCT(C26:C115,D26:D115))</f>
        <v>138668</v>
      </c>
      <c r="D25" s="23">
        <f t="array" ref="D25">IF(OR((D26:D115="")+(C26:C115="")=1),"много",SUM(D26:D115))</f>
        <v>128</v>
      </c>
      <c r="E25" s="23">
        <f>SUM(E26:E115)</f>
        <v>128</v>
      </c>
      <c r="F25" s="23">
        <f>IF(D25="много","много",SUM(F26:F115))</f>
        <v>0</v>
      </c>
      <c r="H25" s="27">
        <f>SUMPRODUCT(H26:H115,I26:I115)</f>
        <v>0</v>
      </c>
      <c r="I25" s="23">
        <f>SUM(I26:I115)</f>
        <v>0</v>
      </c>
      <c r="J25" s="15"/>
      <c r="K25"/>
      <c r="L25"/>
      <c r="M25"/>
      <c r="N25"/>
      <c r="O25"/>
      <c r="P25" s="15"/>
    </row>
    <row r="26" spans="1:16" x14ac:dyDescent="0.25">
      <c r="A26" s="17">
        <v>2</v>
      </c>
      <c r="B26" s="36">
        <f>IF(N(C26)=0,"",1)</f>
        <v>1</v>
      </c>
      <c r="C26" s="54">
        <v>636</v>
      </c>
      <c r="D26" s="44">
        <v>2</v>
      </c>
      <c r="E26" s="24">
        <f t="shared" ref="E26:E89" si="3">IF($K$3=0,0,IF(ISNA(VLOOKUP(C26,H$26:I$115,2,))*C26,D26,IF(C26="","",IF(D26="",TRUNC($C$3/C26)-VLOOKUP(C26,H$26:I$115,2,),D26-VLOOKUP(C26,H$26:I$115,2,)))))</f>
        <v>2</v>
      </c>
      <c r="F26" s="24">
        <f t="shared" ref="F26:F89" si="4">IF($K$3=0,"",IF(AND(C26&lt;&gt;"",D26&lt;&gt;""),D26-E26,IF(D26="","",TRUNC($C$3/C26)-VLOOKUP(C26,H$26:I$115,2,))))</f>
        <v>0</v>
      </c>
      <c r="G26" s="47">
        <f>--(C26+H26+K26&gt;0)</f>
        <v>1</v>
      </c>
      <c r="H26" s="51"/>
      <c r="I26" s="18"/>
      <c r="J26" s="15"/>
      <c r="K26"/>
      <c r="L26"/>
      <c r="M26"/>
      <c r="N26"/>
      <c r="O26"/>
      <c r="P26" s="15"/>
    </row>
    <row r="27" spans="1:16" x14ac:dyDescent="0.25">
      <c r="A27" s="17">
        <v>3</v>
      </c>
      <c r="B27" s="34">
        <f>IF(N(C27)=0,"",IF(ISNUMBER(MATCH(C27,C$26:C26,)),INDEX(B$26:B26,MATCH(C27,C$26:C26,)),MAX(B$26:B26)+1))</f>
        <v>2</v>
      </c>
      <c r="C27" s="55">
        <v>676</v>
      </c>
      <c r="D27" s="7">
        <v>2</v>
      </c>
      <c r="E27" s="25">
        <f t="shared" si="3"/>
        <v>2</v>
      </c>
      <c r="F27" s="25">
        <f t="shared" si="4"/>
        <v>0</v>
      </c>
      <c r="G27" s="47">
        <f t="shared" ref="G27:G90" si="5">--(C27+H27+K27&gt;0)</f>
        <v>1</v>
      </c>
      <c r="H27" s="52"/>
      <c r="I27" s="19"/>
      <c r="J27" s="15"/>
      <c r="K27"/>
      <c r="L27"/>
      <c r="M27"/>
      <c r="N27"/>
      <c r="O27"/>
      <c r="P27" s="15"/>
    </row>
    <row r="28" spans="1:16" x14ac:dyDescent="0.25">
      <c r="A28" s="17">
        <v>4</v>
      </c>
      <c r="B28" s="34">
        <f>IF(N(C28)=0,"",IF(ISNUMBER(MATCH(C28,C$26:C27,)),INDEX(B$26:B27,MATCH(C28,C$26:C27,)),MAX(B$26:B27)+1))</f>
        <v>3</v>
      </c>
      <c r="C28" s="55">
        <v>686</v>
      </c>
      <c r="D28" s="7">
        <v>2</v>
      </c>
      <c r="E28" s="25">
        <f t="shared" si="3"/>
        <v>2</v>
      </c>
      <c r="F28" s="25">
        <f t="shared" si="4"/>
        <v>0</v>
      </c>
      <c r="G28" s="47">
        <f t="shared" si="5"/>
        <v>1</v>
      </c>
      <c r="H28" s="52"/>
      <c r="I28" s="19"/>
      <c r="J28" s="15"/>
      <c r="K28"/>
      <c r="L28"/>
      <c r="M28"/>
      <c r="N28"/>
      <c r="O28"/>
      <c r="P28" s="15"/>
    </row>
    <row r="29" spans="1:16" x14ac:dyDescent="0.25">
      <c r="A29" s="17">
        <v>5</v>
      </c>
      <c r="B29" s="34">
        <f>IF(N(C29)=0,"",IF(ISNUMBER(MATCH(C29,C$26:C28,)),INDEX(B$26:B28,MATCH(C29,C$26:C28,)),MAX(B$26:B28)+1))</f>
        <v>4</v>
      </c>
      <c r="C29" s="55">
        <v>696</v>
      </c>
      <c r="D29" s="7">
        <v>2</v>
      </c>
      <c r="E29" s="25">
        <f t="shared" si="3"/>
        <v>2</v>
      </c>
      <c r="F29" s="25">
        <f t="shared" si="4"/>
        <v>0</v>
      </c>
      <c r="G29" s="47">
        <f t="shared" si="5"/>
        <v>1</v>
      </c>
      <c r="H29" s="52"/>
      <c r="I29" s="19"/>
      <c r="J29" s="15"/>
      <c r="K29"/>
      <c r="L29"/>
      <c r="M29"/>
      <c r="N29"/>
      <c r="O29"/>
      <c r="P29" s="15"/>
    </row>
    <row r="30" spans="1:16" x14ac:dyDescent="0.25">
      <c r="A30" s="17">
        <v>6</v>
      </c>
      <c r="B30" s="34">
        <f>IF(N(C30)=0,"",IF(ISNUMBER(MATCH(C30,C$26:C29,)),INDEX(B$26:B29,MATCH(C30,C$26:C29,)),MAX(B$26:B29)+1))</f>
        <v>5</v>
      </c>
      <c r="C30" s="55">
        <v>706</v>
      </c>
      <c r="D30" s="7">
        <v>6</v>
      </c>
      <c r="E30" s="25">
        <f t="shared" si="3"/>
        <v>6</v>
      </c>
      <c r="F30" s="25">
        <f t="shared" si="4"/>
        <v>0</v>
      </c>
      <c r="G30" s="47">
        <f t="shared" si="5"/>
        <v>1</v>
      </c>
      <c r="H30" s="52"/>
      <c r="I30" s="19"/>
      <c r="J30" s="15"/>
      <c r="K30"/>
      <c r="L30"/>
      <c r="M30"/>
      <c r="N30"/>
      <c r="O30"/>
      <c r="P30" s="15"/>
    </row>
    <row r="31" spans="1:16" x14ac:dyDescent="0.25">
      <c r="A31" s="17">
        <v>7</v>
      </c>
      <c r="B31" s="34">
        <f>IF(N(C31)=0,"",IF(ISNUMBER(MATCH(C31,C$26:C30,)),INDEX(B$26:B30,MATCH(C31,C$26:C30,)),MAX(B$26:B30)+1))</f>
        <v>6</v>
      </c>
      <c r="C31" s="55">
        <v>1066</v>
      </c>
      <c r="D31" s="7">
        <v>2</v>
      </c>
      <c r="E31" s="25">
        <f t="shared" si="3"/>
        <v>2</v>
      </c>
      <c r="F31" s="25">
        <f t="shared" si="4"/>
        <v>0</v>
      </c>
      <c r="G31" s="47">
        <f t="shared" si="5"/>
        <v>1</v>
      </c>
      <c r="H31" s="52"/>
      <c r="I31" s="19"/>
      <c r="J31" s="15"/>
      <c r="K31"/>
      <c r="L31"/>
      <c r="M31"/>
      <c r="N31"/>
      <c r="O31"/>
      <c r="P31" s="15"/>
    </row>
    <row r="32" spans="1:16" x14ac:dyDescent="0.25">
      <c r="A32" s="17">
        <v>8</v>
      </c>
      <c r="B32" s="34">
        <f>IF(N(C32)=0,"",IF(ISNUMBER(MATCH(C32,C$26:C31,)),INDEX(B$26:B31,MATCH(C32,C$26:C31,)),MAX(B$26:B31)+1))</f>
        <v>7</v>
      </c>
      <c r="C32" s="55">
        <v>1136</v>
      </c>
      <c r="D32" s="7">
        <v>2</v>
      </c>
      <c r="E32" s="25">
        <f t="shared" si="3"/>
        <v>2</v>
      </c>
      <c r="F32" s="25">
        <f t="shared" si="4"/>
        <v>0</v>
      </c>
      <c r="G32" s="47">
        <f t="shared" si="5"/>
        <v>1</v>
      </c>
      <c r="H32" s="52"/>
      <c r="I32" s="19"/>
      <c r="J32" s="15"/>
      <c r="K32"/>
      <c r="L32"/>
      <c r="M32"/>
      <c r="N32"/>
      <c r="O32"/>
      <c r="P32" s="15"/>
    </row>
    <row r="33" spans="1:16" x14ac:dyDescent="0.25">
      <c r="A33" s="17">
        <v>16</v>
      </c>
      <c r="B33" s="34">
        <f>IF(N(C33)=0,"",IF(ISNUMBER(MATCH(C33,C$26:C32,)),INDEX(B$26:B32,MATCH(C33,C$26:C32,)),MAX(B$26:B32)+1))</f>
        <v>8</v>
      </c>
      <c r="C33" s="55">
        <v>1166</v>
      </c>
      <c r="D33" s="7">
        <v>10</v>
      </c>
      <c r="E33" s="25">
        <f t="shared" si="3"/>
        <v>10</v>
      </c>
      <c r="F33" s="25">
        <f t="shared" si="4"/>
        <v>0</v>
      </c>
      <c r="G33" s="47">
        <f t="shared" si="5"/>
        <v>1</v>
      </c>
      <c r="H33" s="52"/>
      <c r="I33" s="19"/>
      <c r="J33" s="15"/>
      <c r="K33"/>
      <c r="L33"/>
      <c r="M33"/>
      <c r="N33"/>
      <c r="O33"/>
      <c r="P33" s="15"/>
    </row>
    <row r="34" spans="1:16" x14ac:dyDescent="0.25">
      <c r="A34" s="17">
        <v>17</v>
      </c>
      <c r="B34" s="34">
        <f>IF(N(C34)=0,"",IF(ISNUMBER(MATCH(C34,C$26:C33,)),INDEX(B$26:B33,MATCH(C34,C$26:C33,)),MAX(B$26:B33)+1))</f>
        <v>9</v>
      </c>
      <c r="C34" s="55">
        <v>1316</v>
      </c>
      <c r="D34" s="7">
        <v>4</v>
      </c>
      <c r="E34" s="25">
        <f t="shared" si="3"/>
        <v>4</v>
      </c>
      <c r="F34" s="25">
        <f t="shared" si="4"/>
        <v>0</v>
      </c>
      <c r="G34" s="47">
        <f t="shared" si="5"/>
        <v>1</v>
      </c>
      <c r="H34" s="52"/>
      <c r="I34" s="19"/>
      <c r="J34" s="15"/>
      <c r="K34"/>
      <c r="L34"/>
      <c r="M34"/>
      <c r="N34"/>
      <c r="O34"/>
      <c r="P34" s="15"/>
    </row>
    <row r="35" spans="1:16" x14ac:dyDescent="0.25">
      <c r="A35" s="17">
        <v>18</v>
      </c>
      <c r="B35" s="34">
        <f>IF(N(C35)=0,"",IF(ISNUMBER(MATCH(C35,C$26:C34,)),INDEX(B$26:B34,MATCH(C35,C$26:C34,)),MAX(B$26:B34)+1))</f>
        <v>10</v>
      </c>
      <c r="C35" s="55">
        <v>1436</v>
      </c>
      <c r="D35" s="7">
        <v>2</v>
      </c>
      <c r="E35" s="25">
        <f t="shared" si="3"/>
        <v>2</v>
      </c>
      <c r="F35" s="25">
        <f t="shared" si="4"/>
        <v>0</v>
      </c>
      <c r="G35" s="47">
        <f t="shared" si="5"/>
        <v>1</v>
      </c>
      <c r="H35" s="52"/>
      <c r="I35" s="19"/>
      <c r="J35" s="15"/>
      <c r="K35"/>
      <c r="L35"/>
      <c r="M35"/>
      <c r="N35"/>
      <c r="O35"/>
      <c r="P35" s="15"/>
    </row>
    <row r="36" spans="1:16" x14ac:dyDescent="0.25">
      <c r="A36" s="17">
        <v>19</v>
      </c>
      <c r="B36" s="34">
        <f>IF(N(C36)=0,"",IF(ISNUMBER(MATCH(C36,C$26:C35,)),INDEX(B$26:B35,MATCH(C36,C$26:C35,)),MAX(B$26:B35)+1))</f>
        <v>11</v>
      </c>
      <c r="C36" s="55">
        <v>1526</v>
      </c>
      <c r="D36" s="7">
        <v>2</v>
      </c>
      <c r="E36" s="25">
        <f t="shared" si="3"/>
        <v>2</v>
      </c>
      <c r="F36" s="25">
        <f t="shared" si="4"/>
        <v>0</v>
      </c>
      <c r="G36" s="47">
        <f t="shared" si="5"/>
        <v>1</v>
      </c>
      <c r="H36" s="52"/>
      <c r="I36" s="19"/>
      <c r="J36" s="15"/>
      <c r="K36"/>
      <c r="L36"/>
      <c r="M36"/>
      <c r="N36"/>
      <c r="O36"/>
      <c r="P36" s="15"/>
    </row>
    <row r="37" spans="1:16" x14ac:dyDescent="0.25">
      <c r="A37" s="17">
        <v>20</v>
      </c>
      <c r="B37" s="34">
        <f>IF(N(C37)=0,"",IF(ISNUMBER(MATCH(C37,C$26:C36,)),INDEX(B$26:B36,MATCH(C37,C$26:C36,)),MAX(B$26:B36)+1))</f>
        <v>12</v>
      </c>
      <c r="C37" s="55">
        <v>1576</v>
      </c>
      <c r="D37" s="7">
        <v>2</v>
      </c>
      <c r="E37" s="25">
        <f t="shared" si="3"/>
        <v>2</v>
      </c>
      <c r="F37" s="25">
        <f t="shared" si="4"/>
        <v>0</v>
      </c>
      <c r="G37" s="47">
        <f t="shared" si="5"/>
        <v>1</v>
      </c>
      <c r="H37" s="52"/>
      <c r="I37" s="19"/>
      <c r="J37" s="15"/>
      <c r="K37"/>
      <c r="L37"/>
      <c r="M37"/>
      <c r="N37"/>
      <c r="O37"/>
      <c r="P37" s="15"/>
    </row>
    <row r="38" spans="1:16" x14ac:dyDescent="0.25">
      <c r="A38" s="17">
        <v>21</v>
      </c>
      <c r="B38" s="34">
        <f>IF(N(C38)=0,"",IF(ISNUMBER(MATCH(C38,C$26:C37,)),INDEX(B$26:B37,MATCH(C38,C$26:C37,)),MAX(B$26:B37)+1))</f>
        <v>13</v>
      </c>
      <c r="C38" s="55">
        <v>2036</v>
      </c>
      <c r="D38" s="7">
        <v>2</v>
      </c>
      <c r="E38" s="25">
        <f t="shared" si="3"/>
        <v>2</v>
      </c>
      <c r="F38" s="25">
        <f t="shared" si="4"/>
        <v>0</v>
      </c>
      <c r="G38" s="47">
        <f t="shared" si="5"/>
        <v>1</v>
      </c>
      <c r="H38" s="52"/>
      <c r="I38" s="19"/>
      <c r="J38" s="15"/>
      <c r="K38"/>
      <c r="L38"/>
      <c r="M38"/>
      <c r="N38"/>
      <c r="O38"/>
      <c r="P38" s="15"/>
    </row>
    <row r="39" spans="1:16" x14ac:dyDescent="0.25">
      <c r="A39" s="17">
        <v>22</v>
      </c>
      <c r="B39" s="34">
        <f>IF(N(C39)=0,"",IF(ISNUMBER(MATCH(C39,C$26:C38,)),INDEX(B$26:B38,MATCH(C39,C$26:C38,)),MAX(B$26:B38)+1))</f>
        <v>14</v>
      </c>
      <c r="C39" s="55">
        <v>496</v>
      </c>
      <c r="D39" s="7">
        <v>2</v>
      </c>
      <c r="E39" s="25">
        <f t="shared" si="3"/>
        <v>2</v>
      </c>
      <c r="F39" s="25">
        <f t="shared" si="4"/>
        <v>0</v>
      </c>
      <c r="G39" s="47">
        <f t="shared" si="5"/>
        <v>1</v>
      </c>
      <c r="H39" s="52"/>
      <c r="I39" s="19"/>
      <c r="J39" s="15"/>
      <c r="K39"/>
      <c r="L39"/>
      <c r="M39"/>
      <c r="N39"/>
      <c r="O39"/>
      <c r="P39" s="15"/>
    </row>
    <row r="40" spans="1:16" x14ac:dyDescent="0.25">
      <c r="A40" s="17">
        <v>23</v>
      </c>
      <c r="B40" s="34">
        <f>IF(N(C40)=0,"",IF(ISNUMBER(MATCH(C40,C$26:C39,)),INDEX(B$26:B39,MATCH(C40,C$26:C39,)),MAX(B$26:B39)+1))</f>
        <v>15</v>
      </c>
      <c r="C40" s="55">
        <v>1936</v>
      </c>
      <c r="D40" s="7">
        <v>2</v>
      </c>
      <c r="E40" s="25">
        <f t="shared" si="3"/>
        <v>2</v>
      </c>
      <c r="F40" s="25">
        <f t="shared" si="4"/>
        <v>0</v>
      </c>
      <c r="G40" s="47">
        <f t="shared" si="5"/>
        <v>1</v>
      </c>
      <c r="H40" s="52"/>
      <c r="I40" s="19"/>
      <c r="J40" s="15"/>
      <c r="K40"/>
      <c r="L40"/>
      <c r="M40"/>
      <c r="N40"/>
      <c r="O40"/>
      <c r="P40" s="15"/>
    </row>
    <row r="41" spans="1:16" x14ac:dyDescent="0.25">
      <c r="A41" s="17">
        <v>24</v>
      </c>
      <c r="B41" s="34">
        <f>IF(N(C41)=0,"",IF(ISNUMBER(MATCH(C41,C$26:C40,)),INDEX(B$26:B40,MATCH(C41,C$26:C40,)),MAX(B$26:B40)+1))</f>
        <v>16</v>
      </c>
      <c r="C41" s="55">
        <v>1386</v>
      </c>
      <c r="D41" s="7">
        <v>6</v>
      </c>
      <c r="E41" s="25">
        <f t="shared" si="3"/>
        <v>6</v>
      </c>
      <c r="F41" s="25">
        <f t="shared" si="4"/>
        <v>0</v>
      </c>
      <c r="G41" s="47">
        <f t="shared" si="5"/>
        <v>1</v>
      </c>
      <c r="H41" s="52"/>
      <c r="I41" s="19"/>
      <c r="J41" s="15"/>
      <c r="K41"/>
      <c r="L41"/>
      <c r="M41"/>
      <c r="N41"/>
      <c r="O41"/>
      <c r="P41" s="15"/>
    </row>
    <row r="42" spans="1:16" x14ac:dyDescent="0.25">
      <c r="A42" s="17">
        <v>25</v>
      </c>
      <c r="B42" s="34">
        <f>IF(N(C42)=0,"",IF(ISNUMBER(MATCH(C42,C$26:C41,)),INDEX(B$26:B41,MATCH(C42,C$26:C41,)),MAX(B$26:B41)+1))</f>
        <v>17</v>
      </c>
      <c r="C42" s="55">
        <v>1496</v>
      </c>
      <c r="D42" s="7">
        <v>2</v>
      </c>
      <c r="E42" s="25">
        <f t="shared" si="3"/>
        <v>2</v>
      </c>
      <c r="F42" s="25">
        <f t="shared" si="4"/>
        <v>0</v>
      </c>
      <c r="G42" s="47">
        <f t="shared" si="5"/>
        <v>1</v>
      </c>
      <c r="H42" s="52"/>
      <c r="I42" s="19"/>
      <c r="J42" s="15"/>
      <c r="K42"/>
      <c r="L42"/>
      <c r="M42"/>
      <c r="N42"/>
      <c r="O42"/>
      <c r="P42" s="15"/>
    </row>
    <row r="43" spans="1:16" x14ac:dyDescent="0.25">
      <c r="A43" s="17">
        <v>26</v>
      </c>
      <c r="B43" s="34">
        <f>IF(N(C43)=0,"",IF(ISNUMBER(MATCH(C43,C$26:C42,)),INDEX(B$26:B42,MATCH(C43,C$26:C42,)),MAX(B$26:B42)+1))</f>
        <v>18</v>
      </c>
      <c r="C43" s="55">
        <v>1456</v>
      </c>
      <c r="D43" s="7">
        <v>2</v>
      </c>
      <c r="E43" s="25">
        <f t="shared" si="3"/>
        <v>2</v>
      </c>
      <c r="F43" s="25">
        <f t="shared" si="4"/>
        <v>0</v>
      </c>
      <c r="G43" s="47">
        <f t="shared" si="5"/>
        <v>1</v>
      </c>
      <c r="H43" s="52"/>
      <c r="I43" s="19"/>
      <c r="J43" s="15"/>
      <c r="K43"/>
      <c r="L43"/>
      <c r="M43"/>
      <c r="N43"/>
      <c r="O43"/>
      <c r="P43" s="15"/>
    </row>
    <row r="44" spans="1:16" x14ac:dyDescent="0.25">
      <c r="A44" s="17">
        <v>27</v>
      </c>
      <c r="B44" s="34">
        <f>IF(N(C44)=0,"",IF(ISNUMBER(MATCH(C44,C$26:C43,)),INDEX(B$26:B43,MATCH(C44,C$26:C43,)),MAX(B$26:B43)+1))</f>
        <v>19</v>
      </c>
      <c r="C44" s="55">
        <v>1476</v>
      </c>
      <c r="D44" s="7">
        <v>2</v>
      </c>
      <c r="E44" s="25">
        <f t="shared" si="3"/>
        <v>2</v>
      </c>
      <c r="F44" s="25">
        <f t="shared" si="4"/>
        <v>0</v>
      </c>
      <c r="G44" s="47">
        <f t="shared" si="5"/>
        <v>1</v>
      </c>
      <c r="H44" s="52"/>
      <c r="I44" s="19"/>
      <c r="J44" s="15"/>
      <c r="K44"/>
      <c r="L44"/>
      <c r="M44"/>
      <c r="N44"/>
      <c r="O44"/>
      <c r="P44" s="15"/>
    </row>
    <row r="45" spans="1:16" x14ac:dyDescent="0.25">
      <c r="A45" s="17">
        <v>28</v>
      </c>
      <c r="B45" s="34">
        <f>IF(N(C45)=0,"",IF(ISNUMBER(MATCH(C45,C$26:C44,)),INDEX(B$26:B44,MATCH(C45,C$26:C44,)),MAX(B$26:B44)+1))</f>
        <v>20</v>
      </c>
      <c r="C45" s="55">
        <v>1426</v>
      </c>
      <c r="D45" s="7">
        <v>8</v>
      </c>
      <c r="E45" s="25">
        <f t="shared" si="3"/>
        <v>8</v>
      </c>
      <c r="F45" s="25">
        <f t="shared" si="4"/>
        <v>0</v>
      </c>
      <c r="G45" s="47">
        <f t="shared" si="5"/>
        <v>1</v>
      </c>
      <c r="H45" s="52"/>
      <c r="I45" s="19"/>
      <c r="J45" s="15"/>
      <c r="K45"/>
      <c r="L45"/>
      <c r="M45"/>
      <c r="N45"/>
      <c r="O45"/>
      <c r="P45" s="15"/>
    </row>
    <row r="46" spans="1:16" x14ac:dyDescent="0.25">
      <c r="A46" s="17">
        <v>29</v>
      </c>
      <c r="B46" s="34">
        <f>IF(N(C46)=0,"",IF(ISNUMBER(MATCH(C46,C$26:C45,)),INDEX(B$26:B45,MATCH(C46,C$26:C45,)),MAX(B$26:B45)+1))</f>
        <v>21</v>
      </c>
      <c r="C46" s="55">
        <v>956</v>
      </c>
      <c r="D46" s="7">
        <v>4</v>
      </c>
      <c r="E46" s="25">
        <f t="shared" si="3"/>
        <v>4</v>
      </c>
      <c r="F46" s="25">
        <f t="shared" si="4"/>
        <v>0</v>
      </c>
      <c r="G46" s="47">
        <f t="shared" si="5"/>
        <v>1</v>
      </c>
      <c r="H46" s="52"/>
      <c r="I46" s="19"/>
      <c r="J46" s="15"/>
      <c r="K46"/>
      <c r="L46"/>
      <c r="M46"/>
      <c r="N46"/>
      <c r="O46"/>
      <c r="P46" s="15"/>
    </row>
    <row r="47" spans="1:16" x14ac:dyDescent="0.25">
      <c r="A47" s="17">
        <v>30</v>
      </c>
      <c r="B47" s="34">
        <f>IF(N(C47)=0,"",IF(ISNUMBER(MATCH(C47,C$26:C46,)),INDEX(B$26:B46,MATCH(C47,C$26:C46,)),MAX(B$26:B46)+1))</f>
        <v>22</v>
      </c>
      <c r="C47" s="55">
        <v>1246</v>
      </c>
      <c r="D47" s="7">
        <v>4</v>
      </c>
      <c r="E47" s="25">
        <f t="shared" si="3"/>
        <v>4</v>
      </c>
      <c r="F47" s="25">
        <f t="shared" si="4"/>
        <v>0</v>
      </c>
      <c r="G47" s="47">
        <f t="shared" si="5"/>
        <v>1</v>
      </c>
      <c r="H47" s="52"/>
      <c r="I47" s="19"/>
      <c r="J47" s="15"/>
      <c r="K47"/>
      <c r="L47"/>
      <c r="M47"/>
      <c r="N47"/>
      <c r="O47"/>
      <c r="P47" s="15"/>
    </row>
    <row r="48" spans="1:16" x14ac:dyDescent="0.25">
      <c r="A48" s="17">
        <v>31</v>
      </c>
      <c r="B48" s="34">
        <f>IF(N(C48)=0,"",IF(ISNUMBER(MATCH(C48,C$26:C47,)),INDEX(B$26:B47,MATCH(C48,C$26:C47,)),MAX(B$26:B47)+1))</f>
        <v>23</v>
      </c>
      <c r="C48" s="55">
        <v>1196</v>
      </c>
      <c r="D48" s="7">
        <v>6</v>
      </c>
      <c r="E48" s="25">
        <f t="shared" si="3"/>
        <v>6</v>
      </c>
      <c r="F48" s="25">
        <f t="shared" si="4"/>
        <v>0</v>
      </c>
      <c r="G48" s="47">
        <f t="shared" si="5"/>
        <v>1</v>
      </c>
      <c r="H48" s="52"/>
      <c r="I48" s="19"/>
      <c r="J48" s="15"/>
      <c r="K48"/>
      <c r="L48"/>
      <c r="M48"/>
      <c r="N48"/>
      <c r="O48"/>
      <c r="P48" s="15"/>
    </row>
    <row r="49" spans="1:16" x14ac:dyDescent="0.25">
      <c r="A49" s="17">
        <v>32</v>
      </c>
      <c r="B49" s="34">
        <f>IF(N(C49)=0,"",IF(ISNUMBER(MATCH(C49,C$26:C48,)),INDEX(B$26:B48,MATCH(C49,C$26:C48,)),MAX(B$26:B48)+1))</f>
        <v>24</v>
      </c>
      <c r="C49" s="55">
        <v>1226</v>
      </c>
      <c r="D49" s="7">
        <v>2</v>
      </c>
      <c r="E49" s="25">
        <f t="shared" si="3"/>
        <v>2</v>
      </c>
      <c r="F49" s="25">
        <f t="shared" si="4"/>
        <v>0</v>
      </c>
      <c r="G49" s="47">
        <f t="shared" si="5"/>
        <v>1</v>
      </c>
      <c r="H49" s="52"/>
      <c r="I49" s="19"/>
      <c r="J49" s="15"/>
      <c r="K49"/>
      <c r="L49"/>
      <c r="M49"/>
      <c r="N49"/>
      <c r="O49"/>
      <c r="P49" s="15"/>
    </row>
    <row r="50" spans="1:16" x14ac:dyDescent="0.25">
      <c r="A50" s="17">
        <v>33</v>
      </c>
      <c r="B50" s="34">
        <f>IF(N(C50)=0,"",IF(ISNUMBER(MATCH(C50,C$26:C49,)),INDEX(B$26:B49,MATCH(C50,C$26:C49,)),MAX(B$26:B49)+1))</f>
        <v>25</v>
      </c>
      <c r="C50" s="55">
        <v>1156</v>
      </c>
      <c r="D50" s="7">
        <v>2</v>
      </c>
      <c r="E50" s="25">
        <f t="shared" si="3"/>
        <v>2</v>
      </c>
      <c r="F50" s="25">
        <f t="shared" si="4"/>
        <v>0</v>
      </c>
      <c r="G50" s="47">
        <f t="shared" si="5"/>
        <v>1</v>
      </c>
      <c r="H50" s="52"/>
      <c r="I50" s="19"/>
      <c r="J50" s="15"/>
      <c r="K50"/>
      <c r="L50"/>
      <c r="M50"/>
      <c r="N50"/>
      <c r="O50"/>
      <c r="P50" s="15"/>
    </row>
    <row r="51" spans="1:16" x14ac:dyDescent="0.25">
      <c r="A51" s="17">
        <v>34</v>
      </c>
      <c r="B51" s="34">
        <f>IF(N(C51)=0,"",IF(ISNUMBER(MATCH(C51,C$26:C50,)),INDEX(B$26:B50,MATCH(C51,C$26:C50,)),MAX(B$26:B50)+1))</f>
        <v>26</v>
      </c>
      <c r="C51" s="55">
        <v>1176</v>
      </c>
      <c r="D51" s="7">
        <v>4</v>
      </c>
      <c r="E51" s="25">
        <f t="shared" si="3"/>
        <v>4</v>
      </c>
      <c r="F51" s="25">
        <f t="shared" si="4"/>
        <v>0</v>
      </c>
      <c r="G51" s="47">
        <f t="shared" si="5"/>
        <v>1</v>
      </c>
      <c r="H51" s="52"/>
      <c r="I51" s="19"/>
      <c r="J51" s="15"/>
      <c r="K51"/>
      <c r="L51"/>
      <c r="M51"/>
      <c r="N51"/>
      <c r="O51"/>
      <c r="P51" s="15"/>
    </row>
    <row r="52" spans="1:16" x14ac:dyDescent="0.25">
      <c r="A52" s="17">
        <v>35</v>
      </c>
      <c r="B52" s="34">
        <f>IF(N(C52)=0,"",IF(ISNUMBER(MATCH(C52,C$26:C51,)),INDEX(B$26:B51,MATCH(C52,C$26:C51,)),MAX(B$26:B51)+1))</f>
        <v>27</v>
      </c>
      <c r="C52" s="55">
        <v>1186</v>
      </c>
      <c r="D52" s="7">
        <v>2</v>
      </c>
      <c r="E52" s="25">
        <f t="shared" si="3"/>
        <v>2</v>
      </c>
      <c r="F52" s="25">
        <f t="shared" si="4"/>
        <v>0</v>
      </c>
      <c r="G52" s="47">
        <f t="shared" si="5"/>
        <v>1</v>
      </c>
      <c r="H52" s="52"/>
      <c r="I52" s="19"/>
      <c r="J52" s="15"/>
      <c r="K52"/>
      <c r="L52"/>
      <c r="M52"/>
      <c r="N52"/>
      <c r="O52"/>
      <c r="P52" s="15"/>
    </row>
    <row r="53" spans="1:16" x14ac:dyDescent="0.25">
      <c r="A53" s="17">
        <v>36</v>
      </c>
      <c r="B53" s="34">
        <f>IF(N(C53)=0,"",IF(ISNUMBER(MATCH(C53,C$26:C52,)),INDEX(B$26:B52,MATCH(C53,C$26:C52,)),MAX(B$26:B52)+1))</f>
        <v>28</v>
      </c>
      <c r="C53" s="55">
        <v>1116</v>
      </c>
      <c r="D53" s="7">
        <v>2</v>
      </c>
      <c r="E53" s="25">
        <f t="shared" si="3"/>
        <v>2</v>
      </c>
      <c r="F53" s="25">
        <f t="shared" si="4"/>
        <v>0</v>
      </c>
      <c r="G53" s="47">
        <f t="shared" si="5"/>
        <v>1</v>
      </c>
      <c r="H53" s="52"/>
      <c r="I53" s="19"/>
      <c r="J53" s="15"/>
      <c r="K53"/>
      <c r="L53"/>
      <c r="M53"/>
      <c r="N53"/>
      <c r="O53"/>
      <c r="P53" s="15"/>
    </row>
    <row r="54" spans="1:16" x14ac:dyDescent="0.25">
      <c r="A54" s="17">
        <v>37</v>
      </c>
      <c r="B54" s="34">
        <f>IF(N(C54)=0,"",IF(ISNUMBER(MATCH(C54,C$26:C53,)),INDEX(B$26:B53,MATCH(C54,C$26:C53,)),MAX(B$26:B53)+1))</f>
        <v>29</v>
      </c>
      <c r="C54" s="55">
        <v>1006</v>
      </c>
      <c r="D54" s="7">
        <v>2</v>
      </c>
      <c r="E54" s="25">
        <f t="shared" si="3"/>
        <v>2</v>
      </c>
      <c r="F54" s="25">
        <f t="shared" si="4"/>
        <v>0</v>
      </c>
      <c r="G54" s="47">
        <f t="shared" si="5"/>
        <v>1</v>
      </c>
      <c r="H54" s="52"/>
      <c r="I54" s="19"/>
      <c r="J54" s="15"/>
      <c r="K54"/>
      <c r="L54"/>
      <c r="M54"/>
      <c r="N54"/>
      <c r="O54"/>
      <c r="P54" s="15"/>
    </row>
    <row r="55" spans="1:16" x14ac:dyDescent="0.25">
      <c r="A55" s="17">
        <v>38</v>
      </c>
      <c r="B55" s="34">
        <f>IF(N(C55)=0,"",IF(ISNUMBER(MATCH(C55,C$26:C54,)),INDEX(B$26:B54,MATCH(C55,C$26:C54,)),MAX(B$26:B54)+1))</f>
        <v>30</v>
      </c>
      <c r="C55" s="55">
        <v>1016</v>
      </c>
      <c r="D55" s="7">
        <v>2</v>
      </c>
      <c r="E55" s="25">
        <f t="shared" si="3"/>
        <v>2</v>
      </c>
      <c r="F55" s="25">
        <f t="shared" si="4"/>
        <v>0</v>
      </c>
      <c r="G55" s="47">
        <f t="shared" si="5"/>
        <v>1</v>
      </c>
      <c r="H55" s="52"/>
      <c r="I55" s="19"/>
      <c r="J55" s="15"/>
      <c r="K55"/>
      <c r="L55"/>
      <c r="M55"/>
      <c r="N55"/>
      <c r="O55"/>
      <c r="P55" s="15"/>
    </row>
    <row r="56" spans="1:16" x14ac:dyDescent="0.25">
      <c r="A56" s="17">
        <v>39</v>
      </c>
      <c r="B56" s="34">
        <f>IF(N(C56)=0,"",IF(ISNUMBER(MATCH(C56,C$26:C55,)),INDEX(B$26:B55,MATCH(C56,C$26:C55,)),MAX(B$26:B55)+1))</f>
        <v>31</v>
      </c>
      <c r="C56" s="55">
        <v>976</v>
      </c>
      <c r="D56" s="7">
        <v>8</v>
      </c>
      <c r="E56" s="25">
        <f t="shared" si="3"/>
        <v>8</v>
      </c>
      <c r="F56" s="25">
        <f t="shared" si="4"/>
        <v>0</v>
      </c>
      <c r="G56" s="47">
        <f t="shared" si="5"/>
        <v>1</v>
      </c>
      <c r="H56" s="52"/>
      <c r="I56" s="19"/>
      <c r="J56" s="15"/>
      <c r="K56"/>
      <c r="L56"/>
      <c r="M56"/>
      <c r="N56"/>
      <c r="O56"/>
      <c r="P56" s="15"/>
    </row>
    <row r="57" spans="1:16" x14ac:dyDescent="0.25">
      <c r="A57" s="17">
        <v>40</v>
      </c>
      <c r="B57" s="34">
        <f>IF(N(C57)=0,"",IF(ISNUMBER(MATCH(C57,C$26:C56,)),INDEX(B$26:B56,MATCH(C57,C$26:C56,)),MAX(B$26:B56)+1))</f>
        <v>32</v>
      </c>
      <c r="C57" s="55">
        <v>836</v>
      </c>
      <c r="D57" s="7">
        <v>6</v>
      </c>
      <c r="E57" s="25">
        <f t="shared" si="3"/>
        <v>6</v>
      </c>
      <c r="F57" s="25">
        <f t="shared" si="4"/>
        <v>0</v>
      </c>
      <c r="G57" s="47">
        <f t="shared" si="5"/>
        <v>1</v>
      </c>
      <c r="H57" s="52"/>
      <c r="I57" s="19"/>
      <c r="J57" s="15"/>
      <c r="K57"/>
      <c r="L57"/>
      <c r="M57"/>
      <c r="N57"/>
      <c r="O57"/>
      <c r="P57" s="15"/>
    </row>
    <row r="58" spans="1:16" x14ac:dyDescent="0.25">
      <c r="A58" s="17">
        <v>41</v>
      </c>
      <c r="B58" s="34">
        <f>IF(N(C58)=0,"",IF(ISNUMBER(MATCH(C58,C$26:C57,)),INDEX(B$26:B57,MATCH(C58,C$26:C57,)),MAX(B$26:B57)+1))</f>
        <v>33</v>
      </c>
      <c r="C58" s="55">
        <v>846</v>
      </c>
      <c r="D58" s="7">
        <v>2</v>
      </c>
      <c r="E58" s="25">
        <f t="shared" si="3"/>
        <v>2</v>
      </c>
      <c r="F58" s="25">
        <f t="shared" si="4"/>
        <v>0</v>
      </c>
      <c r="G58" s="47">
        <f t="shared" si="5"/>
        <v>1</v>
      </c>
      <c r="H58" s="52"/>
      <c r="I58" s="19"/>
      <c r="J58" s="15"/>
      <c r="K58"/>
      <c r="L58"/>
      <c r="M58"/>
      <c r="N58"/>
      <c r="O58"/>
      <c r="P58" s="15"/>
    </row>
    <row r="59" spans="1:16" x14ac:dyDescent="0.25">
      <c r="A59" s="17">
        <v>42</v>
      </c>
      <c r="B59" s="34">
        <f>IF(N(C59)=0,"",IF(ISNUMBER(MATCH(C59,C$26:C58,)),INDEX(B$26:B58,MATCH(C59,C$26:C58,)),MAX(B$26:B58)+1))</f>
        <v>34</v>
      </c>
      <c r="C59" s="55">
        <v>776</v>
      </c>
      <c r="D59" s="7">
        <v>2</v>
      </c>
      <c r="E59" s="25">
        <f t="shared" si="3"/>
        <v>2</v>
      </c>
      <c r="F59" s="25">
        <f t="shared" si="4"/>
        <v>0</v>
      </c>
      <c r="G59" s="47">
        <f t="shared" si="5"/>
        <v>1</v>
      </c>
      <c r="H59" s="52"/>
      <c r="I59" s="19"/>
      <c r="J59" s="15"/>
      <c r="K59"/>
      <c r="L59"/>
      <c r="M59"/>
      <c r="N59"/>
      <c r="O59"/>
      <c r="P59" s="15"/>
    </row>
    <row r="60" spans="1:16" x14ac:dyDescent="0.25">
      <c r="A60" s="17">
        <v>43</v>
      </c>
      <c r="B60" s="34">
        <f>IF(N(C60)=0,"",IF(ISNUMBER(MATCH(C60,C$26:C59,)),INDEX(B$26:B59,MATCH(C60,C$26:C59,)),MAX(B$26:B59)+1))</f>
        <v>35</v>
      </c>
      <c r="C60" s="55">
        <v>796</v>
      </c>
      <c r="D60" s="7">
        <v>2</v>
      </c>
      <c r="E60" s="25">
        <f t="shared" si="3"/>
        <v>2</v>
      </c>
      <c r="F60" s="25">
        <f t="shared" si="4"/>
        <v>0</v>
      </c>
      <c r="G60" s="47">
        <f t="shared" si="5"/>
        <v>1</v>
      </c>
      <c r="H60" s="52"/>
      <c r="I60" s="19"/>
      <c r="J60" s="15"/>
      <c r="K60"/>
      <c r="L60"/>
      <c r="M60"/>
      <c r="N60"/>
      <c r="O60"/>
      <c r="P60" s="15"/>
    </row>
    <row r="61" spans="1:16" x14ac:dyDescent="0.25">
      <c r="A61" s="17">
        <v>44</v>
      </c>
      <c r="B61" s="34">
        <f>IF(N(C61)=0,"",IF(ISNUMBER(MATCH(C61,C$26:C60,)),INDEX(B$26:B60,MATCH(C61,C$26:C60,)),MAX(B$26:B60)+1))</f>
        <v>36</v>
      </c>
      <c r="C61" s="55">
        <v>806</v>
      </c>
      <c r="D61" s="7">
        <v>2</v>
      </c>
      <c r="E61" s="25">
        <f t="shared" si="3"/>
        <v>2</v>
      </c>
      <c r="F61" s="25">
        <f t="shared" si="4"/>
        <v>0</v>
      </c>
      <c r="G61" s="47">
        <f t="shared" si="5"/>
        <v>1</v>
      </c>
      <c r="H61" s="52"/>
      <c r="I61" s="19"/>
      <c r="J61" s="15"/>
      <c r="K61"/>
      <c r="L61"/>
      <c r="M61"/>
      <c r="N61"/>
      <c r="O61"/>
      <c r="P61" s="15"/>
    </row>
    <row r="62" spans="1:16" x14ac:dyDescent="0.25">
      <c r="A62" s="17">
        <v>45</v>
      </c>
      <c r="B62" s="34">
        <f>IF(N(C62)=0,"",IF(ISNUMBER(MATCH(C62,C$26:C61,)),INDEX(B$26:B61,MATCH(C62,C$26:C61,)),MAX(B$26:B61)+1))</f>
        <v>37</v>
      </c>
      <c r="C62" s="55">
        <v>746</v>
      </c>
      <c r="D62" s="7">
        <v>2</v>
      </c>
      <c r="E62" s="25">
        <f t="shared" si="3"/>
        <v>2</v>
      </c>
      <c r="F62" s="25">
        <f t="shared" si="4"/>
        <v>0</v>
      </c>
      <c r="G62" s="47">
        <f t="shared" si="5"/>
        <v>1</v>
      </c>
      <c r="H62" s="52"/>
      <c r="I62" s="19"/>
      <c r="J62" s="15"/>
      <c r="K62"/>
      <c r="L62"/>
      <c r="M62"/>
      <c r="N62"/>
      <c r="O62"/>
      <c r="P62" s="15"/>
    </row>
    <row r="63" spans="1:16" x14ac:dyDescent="0.25">
      <c r="A63" s="17">
        <v>46</v>
      </c>
      <c r="B63" s="34">
        <f>IF(N(C63)=0,"",IF(ISNUMBER(MATCH(C63,C$26:C62,)),INDEX(B$26:B62,MATCH(C63,C$26:C62,)),MAX(B$26:B62)+1))</f>
        <v>38</v>
      </c>
      <c r="C63" s="55">
        <v>756</v>
      </c>
      <c r="D63" s="7">
        <v>4</v>
      </c>
      <c r="E63" s="25">
        <f t="shared" si="3"/>
        <v>4</v>
      </c>
      <c r="F63" s="25">
        <f t="shared" si="4"/>
        <v>0</v>
      </c>
      <c r="G63" s="47">
        <f t="shared" si="5"/>
        <v>1</v>
      </c>
      <c r="H63" s="52"/>
      <c r="I63" s="19"/>
      <c r="J63" s="15"/>
      <c r="K63"/>
      <c r="L63"/>
      <c r="M63"/>
      <c r="N63"/>
      <c r="O63"/>
      <c r="P63" s="15"/>
    </row>
    <row r="64" spans="1:16" x14ac:dyDescent="0.25">
      <c r="A64" s="17">
        <v>47</v>
      </c>
      <c r="B64" s="34">
        <f>IF(N(C64)=0,"",IF(ISNUMBER(MATCH(C64,C$26:C63,)),INDEX(B$26:B63,MATCH(C64,C$26:C63,)),MAX(B$26:B63)+1))</f>
        <v>39</v>
      </c>
      <c r="C64" s="55">
        <v>456</v>
      </c>
      <c r="D64" s="7">
        <v>2</v>
      </c>
      <c r="E64" s="25">
        <f t="shared" si="3"/>
        <v>2</v>
      </c>
      <c r="F64" s="25">
        <f t="shared" si="4"/>
        <v>0</v>
      </c>
      <c r="G64" s="47">
        <f t="shared" si="5"/>
        <v>1</v>
      </c>
      <c r="H64" s="52"/>
      <c r="I64" s="19"/>
      <c r="J64" s="15"/>
      <c r="K64"/>
      <c r="L64"/>
      <c r="M64"/>
      <c r="N64"/>
      <c r="O64"/>
      <c r="P64" s="15"/>
    </row>
    <row r="65" spans="1:16" x14ac:dyDescent="0.25">
      <c r="A65" s="17">
        <v>48</v>
      </c>
      <c r="B65" s="34">
        <f>IF(N(C65)=0,"",IF(ISNUMBER(MATCH(C65,C$26:C64,)),INDEX(B$26:B64,MATCH(C65,C$26:C64,)),MAX(B$26:B64)+1))</f>
        <v>40</v>
      </c>
      <c r="C65" s="55">
        <v>556</v>
      </c>
      <c r="D65" s="7">
        <v>2</v>
      </c>
      <c r="E65" s="25">
        <f t="shared" si="3"/>
        <v>2</v>
      </c>
      <c r="F65" s="25">
        <f t="shared" si="4"/>
        <v>0</v>
      </c>
      <c r="G65" s="47">
        <f t="shared" si="5"/>
        <v>1</v>
      </c>
      <c r="H65" s="52"/>
      <c r="I65" s="19"/>
      <c r="J65" s="15"/>
      <c r="K65"/>
      <c r="L65"/>
      <c r="M65"/>
      <c r="N65"/>
      <c r="O65"/>
      <c r="P65" s="15"/>
    </row>
    <row r="66" spans="1:16" x14ac:dyDescent="0.25">
      <c r="A66" s="17">
        <v>49</v>
      </c>
      <c r="B66" s="34">
        <f>IF(N(C66)=0,"",IF(ISNUMBER(MATCH(C66,C$26:C65,)),INDEX(B$26:B65,MATCH(C66,C$26:C65,)),MAX(B$26:B65)+1))</f>
        <v>41</v>
      </c>
      <c r="C66" s="55">
        <v>606</v>
      </c>
      <c r="D66" s="7">
        <v>2</v>
      </c>
      <c r="E66" s="25">
        <f t="shared" si="3"/>
        <v>2</v>
      </c>
      <c r="F66" s="25">
        <f t="shared" si="4"/>
        <v>0</v>
      </c>
      <c r="G66" s="47">
        <f t="shared" si="5"/>
        <v>1</v>
      </c>
      <c r="H66" s="52"/>
      <c r="I66" s="19"/>
      <c r="J66" s="15"/>
      <c r="K66"/>
      <c r="L66"/>
      <c r="M66"/>
      <c r="N66"/>
      <c r="O66"/>
      <c r="P66" s="15"/>
    </row>
    <row r="67" spans="1:16" x14ac:dyDescent="0.25">
      <c r="A67" s="17">
        <v>50</v>
      </c>
      <c r="B67" s="34" t="str">
        <f>IF(N(C67)=0,"",IF(ISNUMBER(MATCH(C67,C$26:C66,)),INDEX(B$26:B66,MATCH(C67,C$26:C66,)),MAX(B$26:B66)+1))</f>
        <v/>
      </c>
      <c r="C67" s="55"/>
      <c r="D67" s="7"/>
      <c r="E67" s="25" t="str">
        <f t="shared" si="3"/>
        <v/>
      </c>
      <c r="F67" s="25" t="str">
        <f t="shared" si="4"/>
        <v/>
      </c>
      <c r="G67" s="47">
        <f t="shared" si="5"/>
        <v>0</v>
      </c>
      <c r="H67" s="52"/>
      <c r="I67" s="19"/>
      <c r="J67" s="15"/>
      <c r="K67"/>
      <c r="L67"/>
      <c r="M67"/>
      <c r="N67"/>
      <c r="O67"/>
      <c r="P67" s="15"/>
    </row>
    <row r="68" spans="1:16" x14ac:dyDescent="0.25">
      <c r="A68" s="17">
        <v>51</v>
      </c>
      <c r="B68" s="34" t="str">
        <f>IF(N(C68)=0,"",IF(ISNUMBER(MATCH(C68,C$26:C67,)),INDEX(B$26:B67,MATCH(C68,C$26:C67,)),MAX(B$26:B67)+1))</f>
        <v/>
      </c>
      <c r="C68" s="55"/>
      <c r="D68" s="7"/>
      <c r="E68" s="25" t="str">
        <f t="shared" si="3"/>
        <v/>
      </c>
      <c r="F68" s="25" t="str">
        <f t="shared" si="4"/>
        <v/>
      </c>
      <c r="G68" s="47">
        <f t="shared" si="5"/>
        <v>0</v>
      </c>
      <c r="H68" s="52"/>
      <c r="I68" s="19"/>
      <c r="J68" s="15"/>
      <c r="K68"/>
      <c r="L68"/>
      <c r="M68"/>
      <c r="N68"/>
      <c r="O68"/>
      <c r="P68" s="15"/>
    </row>
    <row r="69" spans="1:16" x14ac:dyDescent="0.25">
      <c r="A69" s="17">
        <v>52</v>
      </c>
      <c r="B69" s="34" t="str">
        <f>IF(N(C69)=0,"",IF(ISNUMBER(MATCH(C69,C$26:C68,)),INDEX(B$26:B68,MATCH(C69,C$26:C68,)),MAX(B$26:B68)+1))</f>
        <v/>
      </c>
      <c r="C69" s="55"/>
      <c r="D69" s="7"/>
      <c r="E69" s="25" t="str">
        <f t="shared" si="3"/>
        <v/>
      </c>
      <c r="F69" s="25" t="str">
        <f t="shared" si="4"/>
        <v/>
      </c>
      <c r="G69" s="47">
        <f t="shared" si="5"/>
        <v>0</v>
      </c>
      <c r="H69" s="52"/>
      <c r="I69" s="19"/>
      <c r="J69" s="15"/>
      <c r="K69"/>
      <c r="L69"/>
      <c r="M69"/>
      <c r="N69"/>
      <c r="O69"/>
      <c r="P69" s="15"/>
    </row>
    <row r="70" spans="1:16" x14ac:dyDescent="0.25">
      <c r="A70" s="17">
        <v>53</v>
      </c>
      <c r="B70" s="34" t="str">
        <f>IF(N(C70)=0,"",IF(ISNUMBER(MATCH(C70,C$26:C69,)),INDEX(B$26:B69,MATCH(C70,C$26:C69,)),MAX(B$26:B69)+1))</f>
        <v/>
      </c>
      <c r="C70" s="55"/>
      <c r="D70" s="7"/>
      <c r="E70" s="25" t="str">
        <f t="shared" si="3"/>
        <v/>
      </c>
      <c r="F70" s="25" t="str">
        <f t="shared" si="4"/>
        <v/>
      </c>
      <c r="G70" s="47">
        <f t="shared" si="5"/>
        <v>0</v>
      </c>
      <c r="H70" s="52"/>
      <c r="I70" s="19"/>
      <c r="J70" s="15"/>
      <c r="K70"/>
      <c r="L70"/>
      <c r="M70"/>
      <c r="N70"/>
      <c r="O70"/>
      <c r="P70" s="15"/>
    </row>
    <row r="71" spans="1:16" x14ac:dyDescent="0.25">
      <c r="A71" s="17">
        <v>54</v>
      </c>
      <c r="B71" s="34" t="str">
        <f>IF(N(C71)=0,"",IF(ISNUMBER(MATCH(C71,C$26:C70,)),INDEX(B$26:B70,MATCH(C71,C$26:C70,)),MAX(B$26:B70)+1))</f>
        <v/>
      </c>
      <c r="C71" s="55"/>
      <c r="D71" s="7"/>
      <c r="E71" s="25" t="str">
        <f t="shared" si="3"/>
        <v/>
      </c>
      <c r="F71" s="25" t="str">
        <f t="shared" si="4"/>
        <v/>
      </c>
      <c r="G71" s="47">
        <f t="shared" si="5"/>
        <v>0</v>
      </c>
      <c r="H71" s="52"/>
      <c r="I71" s="19"/>
      <c r="J71" s="15"/>
      <c r="K71"/>
      <c r="L71"/>
      <c r="M71"/>
      <c r="N71"/>
      <c r="O71"/>
      <c r="P71" s="15"/>
    </row>
    <row r="72" spans="1:16" x14ac:dyDescent="0.25">
      <c r="A72" s="17">
        <v>55</v>
      </c>
      <c r="B72" s="34" t="str">
        <f>IF(N(C72)=0,"",IF(ISNUMBER(MATCH(C72,C$26:C71,)),INDEX(B$26:B71,MATCH(C72,C$26:C71,)),MAX(B$26:B71)+1))</f>
        <v/>
      </c>
      <c r="C72" s="55"/>
      <c r="D72" s="7"/>
      <c r="E72" s="25" t="str">
        <f t="shared" si="3"/>
        <v/>
      </c>
      <c r="F72" s="25" t="str">
        <f t="shared" si="4"/>
        <v/>
      </c>
      <c r="G72" s="47">
        <f t="shared" si="5"/>
        <v>0</v>
      </c>
      <c r="H72" s="52"/>
      <c r="I72" s="19"/>
      <c r="J72" s="15"/>
      <c r="K72"/>
      <c r="L72"/>
      <c r="M72"/>
      <c r="N72"/>
      <c r="O72"/>
      <c r="P72" s="15"/>
    </row>
    <row r="73" spans="1:16" x14ac:dyDescent="0.25">
      <c r="A73" s="17">
        <v>56</v>
      </c>
      <c r="B73" s="34" t="str">
        <f>IF(N(C73)=0,"",IF(ISNUMBER(MATCH(C73,C$26:C72,)),INDEX(B$26:B72,MATCH(C73,C$26:C72,)),MAX(B$26:B72)+1))</f>
        <v/>
      </c>
      <c r="C73" s="55"/>
      <c r="D73" s="7"/>
      <c r="E73" s="25" t="str">
        <f t="shared" si="3"/>
        <v/>
      </c>
      <c r="F73" s="25" t="str">
        <f t="shared" si="4"/>
        <v/>
      </c>
      <c r="G73" s="47">
        <f t="shared" si="5"/>
        <v>0</v>
      </c>
      <c r="H73" s="52"/>
      <c r="I73" s="19"/>
      <c r="J73" s="15"/>
      <c r="K73"/>
      <c r="L73"/>
      <c r="M73"/>
      <c r="N73"/>
      <c r="O73"/>
      <c r="P73" s="15"/>
    </row>
    <row r="74" spans="1:16" x14ac:dyDescent="0.25">
      <c r="A74" s="17">
        <v>57</v>
      </c>
      <c r="B74" s="34" t="str">
        <f>IF(N(C74)=0,"",IF(ISNUMBER(MATCH(C74,C$26:C73,)),INDEX(B$26:B73,MATCH(C74,C$26:C73,)),MAX(B$26:B73)+1))</f>
        <v/>
      </c>
      <c r="C74" s="55"/>
      <c r="D74" s="7"/>
      <c r="E74" s="25" t="str">
        <f t="shared" si="3"/>
        <v/>
      </c>
      <c r="F74" s="25" t="str">
        <f t="shared" si="4"/>
        <v/>
      </c>
      <c r="G74" s="47">
        <f t="shared" si="5"/>
        <v>0</v>
      </c>
      <c r="H74" s="52"/>
      <c r="I74" s="19"/>
      <c r="J74" s="15"/>
      <c r="K74"/>
      <c r="L74"/>
      <c r="M74"/>
      <c r="N74"/>
      <c r="O74"/>
      <c r="P74" s="15"/>
    </row>
    <row r="75" spans="1:16" x14ac:dyDescent="0.25">
      <c r="A75" s="17">
        <v>58</v>
      </c>
      <c r="B75" s="34" t="str">
        <f>IF(N(C75)=0,"",IF(ISNUMBER(MATCH(C75,C$26:C74,)),INDEX(B$26:B74,MATCH(C75,C$26:C74,)),MAX(B$26:B74)+1))</f>
        <v/>
      </c>
      <c r="C75" s="55"/>
      <c r="D75" s="7"/>
      <c r="E75" s="25" t="str">
        <f t="shared" si="3"/>
        <v/>
      </c>
      <c r="F75" s="25" t="str">
        <f t="shared" si="4"/>
        <v/>
      </c>
      <c r="G75" s="47">
        <f t="shared" si="5"/>
        <v>0</v>
      </c>
      <c r="H75" s="52"/>
      <c r="I75" s="19"/>
      <c r="J75" s="15"/>
      <c r="K75"/>
      <c r="L75"/>
      <c r="M75"/>
      <c r="N75"/>
      <c r="O75"/>
      <c r="P75" s="15"/>
    </row>
    <row r="76" spans="1:16" x14ac:dyDescent="0.25">
      <c r="A76" s="17">
        <v>59</v>
      </c>
      <c r="B76" s="34" t="str">
        <f>IF(N(C76)=0,"",IF(ISNUMBER(MATCH(C76,C$26:C75,)),INDEX(B$26:B75,MATCH(C76,C$26:C75,)),MAX(B$26:B75)+1))</f>
        <v/>
      </c>
      <c r="C76" s="55"/>
      <c r="D76" s="7"/>
      <c r="E76" s="25" t="str">
        <f t="shared" si="3"/>
        <v/>
      </c>
      <c r="F76" s="25" t="str">
        <f t="shared" si="4"/>
        <v/>
      </c>
      <c r="G76" s="47">
        <f t="shared" si="5"/>
        <v>0</v>
      </c>
      <c r="H76" s="52"/>
      <c r="I76" s="19"/>
      <c r="J76" s="15"/>
      <c r="K76"/>
      <c r="L76"/>
      <c r="M76"/>
      <c r="N76"/>
      <c r="O76"/>
      <c r="P76" s="15"/>
    </row>
    <row r="77" spans="1:16" x14ac:dyDescent="0.25">
      <c r="A77" s="17">
        <v>60</v>
      </c>
      <c r="B77" s="34" t="str">
        <f>IF(N(C77)=0,"",IF(ISNUMBER(MATCH(C77,C$26:C76,)),INDEX(B$26:B76,MATCH(C77,C$26:C76,)),MAX(B$26:B76)+1))</f>
        <v/>
      </c>
      <c r="C77" s="55"/>
      <c r="D77" s="7"/>
      <c r="E77" s="25" t="str">
        <f t="shared" si="3"/>
        <v/>
      </c>
      <c r="F77" s="25" t="str">
        <f t="shared" si="4"/>
        <v/>
      </c>
      <c r="G77" s="47">
        <f t="shared" si="5"/>
        <v>0</v>
      </c>
      <c r="H77" s="52"/>
      <c r="I77" s="19"/>
      <c r="J77" s="15"/>
      <c r="K77"/>
      <c r="L77"/>
      <c r="M77"/>
      <c r="N77"/>
      <c r="O77"/>
      <c r="P77" s="15"/>
    </row>
    <row r="78" spans="1:16" x14ac:dyDescent="0.25">
      <c r="A78" s="17">
        <v>61</v>
      </c>
      <c r="B78" s="34" t="str">
        <f>IF(N(C78)=0,"",IF(ISNUMBER(MATCH(C78,C$26:C77,)),INDEX(B$26:B77,MATCH(C78,C$26:C77,)),MAX(B$26:B77)+1))</f>
        <v/>
      </c>
      <c r="C78" s="55"/>
      <c r="D78" s="7"/>
      <c r="E78" s="25" t="str">
        <f t="shared" si="3"/>
        <v/>
      </c>
      <c r="F78" s="25" t="str">
        <f t="shared" si="4"/>
        <v/>
      </c>
      <c r="G78" s="47">
        <f t="shared" si="5"/>
        <v>0</v>
      </c>
      <c r="H78" s="52"/>
      <c r="I78" s="19"/>
      <c r="J78" s="15"/>
      <c r="K78"/>
      <c r="L78"/>
      <c r="M78"/>
      <c r="N78"/>
      <c r="O78"/>
      <c r="P78" s="15"/>
    </row>
    <row r="79" spans="1:16" x14ac:dyDescent="0.25">
      <c r="A79" s="17">
        <v>62</v>
      </c>
      <c r="B79" s="34" t="str">
        <f>IF(N(C79)=0,"",IF(ISNUMBER(MATCH(C79,C$26:C78,)),INDEX(B$26:B78,MATCH(C79,C$26:C78,)),MAX(B$26:B78)+1))</f>
        <v/>
      </c>
      <c r="C79" s="55"/>
      <c r="D79" s="7"/>
      <c r="E79" s="25" t="str">
        <f t="shared" si="3"/>
        <v/>
      </c>
      <c r="F79" s="25" t="str">
        <f t="shared" si="4"/>
        <v/>
      </c>
      <c r="G79" s="47">
        <f t="shared" si="5"/>
        <v>0</v>
      </c>
      <c r="H79" s="52"/>
      <c r="I79" s="19"/>
      <c r="J79" s="15"/>
      <c r="K79"/>
      <c r="L79"/>
      <c r="M79"/>
      <c r="N79"/>
      <c r="O79"/>
      <c r="P79" s="15"/>
    </row>
    <row r="80" spans="1:16" x14ac:dyDescent="0.25">
      <c r="A80" s="17">
        <v>63</v>
      </c>
      <c r="B80" s="34" t="str">
        <f>IF(N(C80)=0,"",IF(ISNUMBER(MATCH(C80,C$26:C79,)),INDEX(B$26:B79,MATCH(C80,C$26:C79,)),MAX(B$26:B79)+1))</f>
        <v/>
      </c>
      <c r="C80" s="55"/>
      <c r="D80" s="7"/>
      <c r="E80" s="25" t="str">
        <f t="shared" si="3"/>
        <v/>
      </c>
      <c r="F80" s="25" t="str">
        <f t="shared" si="4"/>
        <v/>
      </c>
      <c r="G80" s="47">
        <f t="shared" si="5"/>
        <v>0</v>
      </c>
      <c r="H80" s="52"/>
      <c r="I80" s="19"/>
      <c r="J80" s="15"/>
      <c r="K80"/>
      <c r="L80"/>
      <c r="M80"/>
      <c r="N80"/>
      <c r="O80"/>
      <c r="P80" s="15"/>
    </row>
    <row r="81" spans="1:16" x14ac:dyDescent="0.25">
      <c r="A81" s="17">
        <v>64</v>
      </c>
      <c r="B81" s="34" t="str">
        <f>IF(N(C81)=0,"",IF(ISNUMBER(MATCH(C81,C$26:C80,)),INDEX(B$26:B80,MATCH(C81,C$26:C80,)),MAX(B$26:B80)+1))</f>
        <v/>
      </c>
      <c r="C81" s="55"/>
      <c r="D81" s="7"/>
      <c r="E81" s="25" t="str">
        <f t="shared" si="3"/>
        <v/>
      </c>
      <c r="F81" s="25" t="str">
        <f t="shared" si="4"/>
        <v/>
      </c>
      <c r="G81" s="47">
        <f t="shared" si="5"/>
        <v>0</v>
      </c>
      <c r="H81" s="52"/>
      <c r="I81" s="19"/>
      <c r="J81" s="15"/>
      <c r="K81"/>
      <c r="L81"/>
      <c r="M81"/>
      <c r="N81"/>
      <c r="O81"/>
      <c r="P81" s="15"/>
    </row>
    <row r="82" spans="1:16" x14ac:dyDescent="0.25">
      <c r="A82" s="17">
        <v>65</v>
      </c>
      <c r="B82" s="34" t="str">
        <f>IF(N(C82)=0,"",IF(ISNUMBER(MATCH(C82,C$26:C81,)),INDEX(B$26:B81,MATCH(C82,C$26:C81,)),MAX(B$26:B81)+1))</f>
        <v/>
      </c>
      <c r="C82" s="55"/>
      <c r="D82" s="7"/>
      <c r="E82" s="25" t="str">
        <f t="shared" si="3"/>
        <v/>
      </c>
      <c r="F82" s="25" t="str">
        <f t="shared" si="4"/>
        <v/>
      </c>
      <c r="G82" s="47">
        <f t="shared" si="5"/>
        <v>0</v>
      </c>
      <c r="H82" s="52"/>
      <c r="I82" s="19"/>
      <c r="J82" s="15"/>
      <c r="K82"/>
      <c r="L82"/>
      <c r="M82"/>
      <c r="N82"/>
      <c r="O82"/>
      <c r="P82" s="15"/>
    </row>
    <row r="83" spans="1:16" x14ac:dyDescent="0.25">
      <c r="A83" s="17">
        <v>66</v>
      </c>
      <c r="B83" s="34" t="str">
        <f>IF(N(C83)=0,"",IF(ISNUMBER(MATCH(C83,C$26:C82,)),INDEX(B$26:B82,MATCH(C83,C$26:C82,)),MAX(B$26:B82)+1))</f>
        <v/>
      </c>
      <c r="C83" s="55"/>
      <c r="D83" s="7"/>
      <c r="E83" s="25" t="str">
        <f t="shared" si="3"/>
        <v/>
      </c>
      <c r="F83" s="25" t="str">
        <f t="shared" si="4"/>
        <v/>
      </c>
      <c r="G83" s="47">
        <f t="shared" si="5"/>
        <v>0</v>
      </c>
      <c r="H83" s="52"/>
      <c r="I83" s="19"/>
      <c r="J83" s="15"/>
      <c r="K83"/>
      <c r="L83"/>
      <c r="M83"/>
      <c r="N83"/>
      <c r="O83"/>
      <c r="P83" s="15"/>
    </row>
    <row r="84" spans="1:16" x14ac:dyDescent="0.25">
      <c r="A84" s="17">
        <v>67</v>
      </c>
      <c r="B84" s="34" t="str">
        <f>IF(N(C84)=0,"",IF(ISNUMBER(MATCH(C84,C$26:C83,)),INDEX(B$26:B83,MATCH(C84,C$26:C83,)),MAX(B$26:B83)+1))</f>
        <v/>
      </c>
      <c r="C84" s="55"/>
      <c r="D84" s="7"/>
      <c r="E84" s="25" t="str">
        <f t="shared" si="3"/>
        <v/>
      </c>
      <c r="F84" s="25" t="str">
        <f t="shared" si="4"/>
        <v/>
      </c>
      <c r="G84" s="47">
        <f t="shared" si="5"/>
        <v>0</v>
      </c>
      <c r="H84" s="52"/>
      <c r="I84" s="19"/>
      <c r="J84" s="15"/>
      <c r="K84"/>
      <c r="L84"/>
      <c r="M84"/>
      <c r="N84"/>
      <c r="O84"/>
      <c r="P84" s="15"/>
    </row>
    <row r="85" spans="1:16" x14ac:dyDescent="0.25">
      <c r="A85" s="17">
        <v>68</v>
      </c>
      <c r="B85" s="34" t="str">
        <f>IF(N(C85)=0,"",IF(ISNUMBER(MATCH(C85,C$26:C84,)),INDEX(B$26:B84,MATCH(C85,C$26:C84,)),MAX(B$26:B84)+1))</f>
        <v/>
      </c>
      <c r="C85" s="55"/>
      <c r="D85" s="7"/>
      <c r="E85" s="25" t="str">
        <f t="shared" si="3"/>
        <v/>
      </c>
      <c r="F85" s="25" t="str">
        <f t="shared" si="4"/>
        <v/>
      </c>
      <c r="G85" s="47">
        <f t="shared" si="5"/>
        <v>0</v>
      </c>
      <c r="H85" s="52"/>
      <c r="I85" s="19"/>
      <c r="J85" s="15"/>
      <c r="K85"/>
      <c r="L85"/>
      <c r="M85"/>
      <c r="N85"/>
      <c r="O85"/>
    </row>
    <row r="86" spans="1:16" x14ac:dyDescent="0.25">
      <c r="A86" s="17">
        <v>69</v>
      </c>
      <c r="B86" s="34" t="str">
        <f>IF(N(C86)=0,"",IF(ISNUMBER(MATCH(C86,C$26:C85,)),INDEX(B$26:B85,MATCH(C86,C$26:C85,)),MAX(B$26:B85)+1))</f>
        <v/>
      </c>
      <c r="C86" s="55"/>
      <c r="D86" s="7"/>
      <c r="E86" s="25" t="str">
        <f t="shared" si="3"/>
        <v/>
      </c>
      <c r="F86" s="25" t="str">
        <f t="shared" si="4"/>
        <v/>
      </c>
      <c r="G86" s="47">
        <f t="shared" si="5"/>
        <v>0</v>
      </c>
      <c r="H86" s="52"/>
      <c r="I86" s="19"/>
      <c r="J86" s="15"/>
      <c r="K86"/>
      <c r="L86"/>
      <c r="M86"/>
      <c r="N86"/>
      <c r="O86"/>
    </row>
    <row r="87" spans="1:16" x14ac:dyDescent="0.25">
      <c r="A87" s="17">
        <v>70</v>
      </c>
      <c r="B87" s="34" t="str">
        <f>IF(N(C87)=0,"",IF(ISNUMBER(MATCH(C87,C$26:C86,)),INDEX(B$26:B86,MATCH(C87,C$26:C86,)),MAX(B$26:B86)+1))</f>
        <v/>
      </c>
      <c r="C87" s="55"/>
      <c r="D87" s="7"/>
      <c r="E87" s="25" t="str">
        <f t="shared" si="3"/>
        <v/>
      </c>
      <c r="F87" s="25" t="str">
        <f t="shared" si="4"/>
        <v/>
      </c>
      <c r="G87" s="47">
        <f t="shared" si="5"/>
        <v>0</v>
      </c>
      <c r="H87" s="52"/>
      <c r="I87" s="19"/>
      <c r="J87" s="15"/>
      <c r="K87"/>
      <c r="L87"/>
      <c r="M87"/>
      <c r="N87"/>
      <c r="O87"/>
    </row>
    <row r="88" spans="1:16" x14ac:dyDescent="0.25">
      <c r="A88" s="17">
        <v>71</v>
      </c>
      <c r="B88" s="34" t="str">
        <f>IF(N(C88)=0,"",IF(ISNUMBER(MATCH(C88,C$26:C87,)),INDEX(B$26:B87,MATCH(C88,C$26:C87,)),MAX(B$26:B87)+1))</f>
        <v/>
      </c>
      <c r="C88" s="55"/>
      <c r="D88" s="7"/>
      <c r="E88" s="25" t="str">
        <f t="shared" si="3"/>
        <v/>
      </c>
      <c r="F88" s="25" t="str">
        <f t="shared" si="4"/>
        <v/>
      </c>
      <c r="G88" s="47">
        <f t="shared" si="5"/>
        <v>0</v>
      </c>
      <c r="H88" s="52"/>
      <c r="I88" s="19"/>
      <c r="J88" s="15"/>
      <c r="K88"/>
      <c r="L88"/>
      <c r="M88"/>
      <c r="N88"/>
      <c r="O88"/>
    </row>
    <row r="89" spans="1:16" x14ac:dyDescent="0.25">
      <c r="A89" s="17">
        <v>72</v>
      </c>
      <c r="B89" s="34" t="str">
        <f>IF(N(C89)=0,"",IF(ISNUMBER(MATCH(C89,C$26:C88,)),INDEX(B$26:B88,MATCH(C89,C$26:C88,)),MAX(B$26:B88)+1))</f>
        <v/>
      </c>
      <c r="C89" s="55"/>
      <c r="D89" s="7"/>
      <c r="E89" s="25" t="str">
        <f t="shared" si="3"/>
        <v/>
      </c>
      <c r="F89" s="25" t="str">
        <f t="shared" si="4"/>
        <v/>
      </c>
      <c r="G89" s="47">
        <f t="shared" si="5"/>
        <v>0</v>
      </c>
      <c r="H89" s="52"/>
      <c r="I89" s="19"/>
      <c r="J89" s="15"/>
      <c r="K89"/>
      <c r="L89"/>
      <c r="M89"/>
      <c r="N89"/>
      <c r="O89"/>
    </row>
    <row r="90" spans="1:16" x14ac:dyDescent="0.25">
      <c r="A90" s="17">
        <v>73</v>
      </c>
      <c r="B90" s="34" t="str">
        <f>IF(N(C90)=0,"",IF(ISNUMBER(MATCH(C90,C$26:C89,)),INDEX(B$26:B89,MATCH(C90,C$26:C89,)),MAX(B$26:B89)+1))</f>
        <v/>
      </c>
      <c r="C90" s="55"/>
      <c r="D90" s="7"/>
      <c r="E90" s="25" t="str">
        <f t="shared" ref="E90:E115" si="6">IF($K$3=0,0,IF(ISNA(VLOOKUP(C90,H$26:I$115,2,))*C90,D90,IF(C90="","",IF(D90="",TRUNC($C$3/C90)-VLOOKUP(C90,H$26:I$115,2,),D90-VLOOKUP(C90,H$26:I$115,2,)))))</f>
        <v/>
      </c>
      <c r="F90" s="25" t="str">
        <f t="shared" ref="F90:F115" si="7">IF($K$3=0,"",IF(AND(C90&lt;&gt;"",D90&lt;&gt;""),D90-E90,IF(D90="","",TRUNC($C$3/C90)-VLOOKUP(C90,H$26:I$115,2,))))</f>
        <v/>
      </c>
      <c r="G90" s="47">
        <f t="shared" si="5"/>
        <v>0</v>
      </c>
      <c r="H90" s="52"/>
      <c r="I90" s="19"/>
      <c r="J90" s="15"/>
      <c r="K90"/>
      <c r="L90"/>
      <c r="M90"/>
      <c r="N90"/>
      <c r="O90"/>
    </row>
    <row r="91" spans="1:16" x14ac:dyDescent="0.25">
      <c r="A91" s="17">
        <v>74</v>
      </c>
      <c r="B91" s="34" t="str">
        <f>IF(N(C91)=0,"",IF(ISNUMBER(MATCH(C91,C$26:C90,)),INDEX(B$26:B90,MATCH(C91,C$26:C90,)),MAX(B$26:B90)+1))</f>
        <v/>
      </c>
      <c r="C91" s="55"/>
      <c r="D91" s="7"/>
      <c r="E91" s="25" t="str">
        <f t="shared" si="6"/>
        <v/>
      </c>
      <c r="F91" s="25" t="str">
        <f t="shared" si="7"/>
        <v/>
      </c>
      <c r="G91" s="47">
        <f t="shared" ref="G91:G114" si="8">--(C91+H91+K91&gt;0)</f>
        <v>0</v>
      </c>
      <c r="H91" s="52"/>
      <c r="I91" s="19"/>
      <c r="J91" s="15"/>
      <c r="K91"/>
      <c r="L91"/>
      <c r="M91"/>
      <c r="N91"/>
      <c r="O91"/>
    </row>
    <row r="92" spans="1:16" x14ac:dyDescent="0.25">
      <c r="A92" s="17">
        <v>75</v>
      </c>
      <c r="B92" s="34" t="str">
        <f>IF(N(C92)=0,"",IF(ISNUMBER(MATCH(C92,C$26:C91,)),INDEX(B$26:B91,MATCH(C92,C$26:C91,)),MAX(B$26:B91)+1))</f>
        <v/>
      </c>
      <c r="C92" s="55"/>
      <c r="D92" s="7"/>
      <c r="E92" s="25" t="str">
        <f t="shared" si="6"/>
        <v/>
      </c>
      <c r="F92" s="25" t="str">
        <f t="shared" si="7"/>
        <v/>
      </c>
      <c r="G92" s="47">
        <f t="shared" si="8"/>
        <v>0</v>
      </c>
      <c r="H92" s="52"/>
      <c r="I92" s="19"/>
      <c r="J92" s="15"/>
      <c r="K92"/>
      <c r="L92"/>
      <c r="M92"/>
      <c r="N92"/>
      <c r="O92"/>
    </row>
    <row r="93" spans="1:16" x14ac:dyDescent="0.25">
      <c r="A93" s="17">
        <v>76</v>
      </c>
      <c r="B93" s="34" t="str">
        <f>IF(N(C93)=0,"",IF(ISNUMBER(MATCH(C93,C$26:C92,)),INDEX(B$26:B92,MATCH(C93,C$26:C92,)),MAX(B$26:B92)+1))</f>
        <v/>
      </c>
      <c r="C93" s="55"/>
      <c r="D93" s="7"/>
      <c r="E93" s="25" t="str">
        <f t="shared" si="6"/>
        <v/>
      </c>
      <c r="F93" s="25" t="str">
        <f t="shared" si="7"/>
        <v/>
      </c>
      <c r="G93" s="47">
        <f t="shared" si="8"/>
        <v>0</v>
      </c>
      <c r="H93" s="52"/>
      <c r="I93" s="19"/>
      <c r="J93" s="15"/>
      <c r="K93"/>
      <c r="L93"/>
      <c r="M93"/>
      <c r="N93"/>
      <c r="O93"/>
    </row>
    <row r="94" spans="1:16" x14ac:dyDescent="0.25">
      <c r="A94" s="17">
        <v>77</v>
      </c>
      <c r="B94" s="34" t="str">
        <f>IF(N(C94)=0,"",IF(ISNUMBER(MATCH(C94,C$26:C93,)),INDEX(B$26:B93,MATCH(C94,C$26:C93,)),MAX(B$26:B93)+1))</f>
        <v/>
      </c>
      <c r="C94" s="55"/>
      <c r="D94" s="7"/>
      <c r="E94" s="25" t="str">
        <f t="shared" si="6"/>
        <v/>
      </c>
      <c r="F94" s="25" t="str">
        <f t="shared" si="7"/>
        <v/>
      </c>
      <c r="G94" s="47">
        <f t="shared" si="8"/>
        <v>0</v>
      </c>
      <c r="H94" s="52"/>
      <c r="I94" s="19"/>
      <c r="J94" s="15"/>
      <c r="K94"/>
      <c r="L94"/>
      <c r="M94"/>
      <c r="N94"/>
      <c r="O94"/>
    </row>
    <row r="95" spans="1:16" x14ac:dyDescent="0.25">
      <c r="A95" s="17">
        <v>78</v>
      </c>
      <c r="B95" s="34" t="str">
        <f>IF(N(C95)=0,"",IF(ISNUMBER(MATCH(C95,C$26:C94,)),INDEX(B$26:B94,MATCH(C95,C$26:C94,)),MAX(B$26:B94)+1))</f>
        <v/>
      </c>
      <c r="C95" s="55"/>
      <c r="D95" s="7"/>
      <c r="E95" s="25" t="str">
        <f t="shared" si="6"/>
        <v/>
      </c>
      <c r="F95" s="25" t="str">
        <f t="shared" si="7"/>
        <v/>
      </c>
      <c r="G95" s="47">
        <f t="shared" si="8"/>
        <v>0</v>
      </c>
      <c r="H95" s="52"/>
      <c r="I95" s="19"/>
      <c r="J95" s="15"/>
      <c r="K95"/>
      <c r="L95"/>
      <c r="M95"/>
      <c r="N95"/>
      <c r="O95"/>
    </row>
    <row r="96" spans="1:16" x14ac:dyDescent="0.25">
      <c r="A96" s="17">
        <v>79</v>
      </c>
      <c r="B96" s="34" t="str">
        <f>IF(N(C96)=0,"",IF(ISNUMBER(MATCH(C96,C$26:C95,)),INDEX(B$26:B95,MATCH(C96,C$26:C95,)),MAX(B$26:B95)+1))</f>
        <v/>
      </c>
      <c r="C96" s="55"/>
      <c r="D96" s="7"/>
      <c r="E96" s="25" t="str">
        <f t="shared" si="6"/>
        <v/>
      </c>
      <c r="F96" s="25" t="str">
        <f t="shared" si="7"/>
        <v/>
      </c>
      <c r="G96" s="47">
        <f t="shared" si="8"/>
        <v>0</v>
      </c>
      <c r="H96" s="52"/>
      <c r="I96" s="19"/>
      <c r="J96" s="15"/>
      <c r="K96"/>
      <c r="L96"/>
      <c r="M96"/>
      <c r="N96"/>
      <c r="O96"/>
    </row>
    <row r="97" spans="1:15" x14ac:dyDescent="0.25">
      <c r="A97" s="17">
        <v>80</v>
      </c>
      <c r="B97" s="34" t="str">
        <f>IF(N(C97)=0,"",IF(ISNUMBER(MATCH(C97,C$26:C96,)),INDEX(B$26:B96,MATCH(C97,C$26:C96,)),MAX(B$26:B96)+1))</f>
        <v/>
      </c>
      <c r="C97" s="55"/>
      <c r="D97" s="7"/>
      <c r="E97" s="25" t="str">
        <f t="shared" si="6"/>
        <v/>
      </c>
      <c r="F97" s="25" t="str">
        <f t="shared" si="7"/>
        <v/>
      </c>
      <c r="G97" s="47">
        <f t="shared" si="8"/>
        <v>0</v>
      </c>
      <c r="H97" s="52"/>
      <c r="I97" s="19"/>
      <c r="J97" s="17" t="s">
        <v>15</v>
      </c>
      <c r="K97"/>
      <c r="L97"/>
      <c r="M97"/>
      <c r="N97"/>
      <c r="O97"/>
    </row>
    <row r="98" spans="1:15" x14ac:dyDescent="0.25">
      <c r="A98" s="17">
        <v>81</v>
      </c>
      <c r="B98" s="34" t="str">
        <f>IF(N(C98)=0,"",IF(ISNUMBER(MATCH(C98,C$26:C97,)),INDEX(B$26:B97,MATCH(C98,C$26:C97,)),MAX(B$26:B97)+1))</f>
        <v/>
      </c>
      <c r="C98" s="55"/>
      <c r="D98" s="7"/>
      <c r="E98" s="25" t="str">
        <f t="shared" si="6"/>
        <v/>
      </c>
      <c r="F98" s="25" t="str">
        <f t="shared" si="7"/>
        <v/>
      </c>
      <c r="G98" s="47">
        <f t="shared" si="8"/>
        <v>0</v>
      </c>
      <c r="H98" s="52"/>
      <c r="I98" s="19"/>
      <c r="J98" s="17" t="s">
        <v>16</v>
      </c>
      <c r="K98"/>
      <c r="L98"/>
      <c r="M98"/>
      <c r="N98"/>
      <c r="O98"/>
    </row>
    <row r="99" spans="1:15" x14ac:dyDescent="0.25">
      <c r="A99" s="17">
        <v>82</v>
      </c>
      <c r="B99" s="34" t="str">
        <f>IF(N(C99)=0,"",IF(ISNUMBER(MATCH(C99,C$26:C98,)),INDEX(B$26:B98,MATCH(C99,C$26:C98,)),MAX(B$26:B98)+1))</f>
        <v/>
      </c>
      <c r="C99" s="55"/>
      <c r="D99" s="7"/>
      <c r="E99" s="25" t="str">
        <f t="shared" si="6"/>
        <v/>
      </c>
      <c r="F99" s="25" t="str">
        <f t="shared" si="7"/>
        <v/>
      </c>
      <c r="G99" s="47">
        <f t="shared" si="8"/>
        <v>0</v>
      </c>
      <c r="H99" s="52"/>
      <c r="I99" s="19"/>
      <c r="J99" s="15"/>
      <c r="K99"/>
      <c r="L99"/>
      <c r="M99"/>
      <c r="N99"/>
      <c r="O99"/>
    </row>
    <row r="100" spans="1:15" x14ac:dyDescent="0.25">
      <c r="A100" s="17">
        <v>83</v>
      </c>
      <c r="B100" s="34" t="str">
        <f>IF(N(C100)=0,"",IF(ISNUMBER(MATCH(C100,C$26:C99,)),INDEX(B$26:B99,MATCH(C100,C$26:C99,)),MAX(B$26:B99)+1))</f>
        <v/>
      </c>
      <c r="C100" s="55"/>
      <c r="D100" s="7"/>
      <c r="E100" s="25" t="str">
        <f t="shared" si="6"/>
        <v/>
      </c>
      <c r="F100" s="25" t="str">
        <f t="shared" si="7"/>
        <v/>
      </c>
      <c r="G100" s="47">
        <f t="shared" si="8"/>
        <v>0</v>
      </c>
      <c r="H100" s="52"/>
      <c r="I100" s="19"/>
      <c r="J100" s="15"/>
      <c r="K100"/>
      <c r="L100"/>
      <c r="M100"/>
      <c r="N100"/>
      <c r="O100"/>
    </row>
    <row r="101" spans="1:15" x14ac:dyDescent="0.25">
      <c r="A101" s="17">
        <v>84</v>
      </c>
      <c r="B101" s="34" t="str">
        <f>IF(N(C101)=0,"",IF(ISNUMBER(MATCH(C101,C$26:C100,)),INDEX(B$26:B100,MATCH(C101,C$26:C100,)),MAX(B$26:B100)+1))</f>
        <v/>
      </c>
      <c r="C101" s="55"/>
      <c r="D101" s="7"/>
      <c r="E101" s="25" t="str">
        <f t="shared" si="6"/>
        <v/>
      </c>
      <c r="F101" s="25" t="str">
        <f t="shared" si="7"/>
        <v/>
      </c>
      <c r="G101" s="47">
        <f t="shared" si="8"/>
        <v>0</v>
      </c>
      <c r="H101" s="52"/>
      <c r="I101" s="19"/>
      <c r="J101" s="15"/>
      <c r="K101"/>
      <c r="L101"/>
      <c r="M101"/>
      <c r="N101"/>
      <c r="O101"/>
    </row>
    <row r="102" spans="1:15" x14ac:dyDescent="0.25">
      <c r="A102" s="17">
        <v>85</v>
      </c>
      <c r="B102" s="34" t="str">
        <f>IF(N(C102)=0,"",IF(ISNUMBER(MATCH(C102,C$26:C101,)),INDEX(B$26:B101,MATCH(C102,C$26:C101,)),MAX(B$26:B101)+1))</f>
        <v/>
      </c>
      <c r="C102" s="55"/>
      <c r="D102" s="7"/>
      <c r="E102" s="25" t="str">
        <f t="shared" si="6"/>
        <v/>
      </c>
      <c r="F102" s="25" t="str">
        <f t="shared" si="7"/>
        <v/>
      </c>
      <c r="G102" s="47">
        <f t="shared" si="8"/>
        <v>0</v>
      </c>
      <c r="H102" s="52"/>
      <c r="I102" s="19"/>
      <c r="J102" s="15"/>
      <c r="K102"/>
      <c r="L102"/>
      <c r="M102"/>
      <c r="N102"/>
      <c r="O102"/>
    </row>
    <row r="103" spans="1:15" x14ac:dyDescent="0.25">
      <c r="A103" s="17">
        <v>86</v>
      </c>
      <c r="B103" s="34" t="str">
        <f>IF(N(C103)=0,"",IF(ISNUMBER(MATCH(C103,C$26:C102,)),INDEX(B$26:B102,MATCH(C103,C$26:C102,)),MAX(B$26:B102)+1))</f>
        <v/>
      </c>
      <c r="C103" s="55"/>
      <c r="D103" s="7"/>
      <c r="E103" s="25" t="str">
        <f t="shared" si="6"/>
        <v/>
      </c>
      <c r="F103" s="25" t="str">
        <f t="shared" si="7"/>
        <v/>
      </c>
      <c r="G103" s="47">
        <f t="shared" si="8"/>
        <v>0</v>
      </c>
      <c r="H103" s="52"/>
      <c r="I103" s="19"/>
      <c r="J103" s="15"/>
      <c r="K103"/>
      <c r="L103"/>
      <c r="M103"/>
      <c r="N103"/>
      <c r="O103"/>
    </row>
    <row r="104" spans="1:15" x14ac:dyDescent="0.25">
      <c r="A104" s="17">
        <v>87</v>
      </c>
      <c r="B104" s="34" t="str">
        <f>IF(N(C104)=0,"",IF(ISNUMBER(MATCH(C104,C$26:C103,)),INDEX(B$26:B103,MATCH(C104,C$26:C103,)),MAX(B$26:B103)+1))</f>
        <v/>
      </c>
      <c r="C104" s="55"/>
      <c r="D104" s="7"/>
      <c r="E104" s="25" t="str">
        <f t="shared" si="6"/>
        <v/>
      </c>
      <c r="F104" s="25" t="str">
        <f t="shared" si="7"/>
        <v/>
      </c>
      <c r="G104" s="47">
        <f t="shared" si="8"/>
        <v>0</v>
      </c>
      <c r="H104" s="52"/>
      <c r="I104" s="19"/>
      <c r="K104"/>
      <c r="L104"/>
      <c r="M104"/>
      <c r="N104"/>
      <c r="O104"/>
    </row>
    <row r="105" spans="1:15" x14ac:dyDescent="0.25">
      <c r="A105" s="17">
        <v>88</v>
      </c>
      <c r="B105" s="34" t="str">
        <f>IF(N(C105)=0,"",IF(ISNUMBER(MATCH(C105,C$26:C104,)),INDEX(B$26:B104,MATCH(C105,C$26:C104,)),MAX(B$26:B104)+1))</f>
        <v/>
      </c>
      <c r="C105" s="55"/>
      <c r="D105" s="7"/>
      <c r="E105" s="25" t="str">
        <f t="shared" si="6"/>
        <v/>
      </c>
      <c r="F105" s="25" t="str">
        <f t="shared" si="7"/>
        <v/>
      </c>
      <c r="G105" s="47">
        <f t="shared" si="8"/>
        <v>0</v>
      </c>
      <c r="H105" s="52"/>
      <c r="I105" s="19"/>
      <c r="K105"/>
      <c r="L105"/>
      <c r="M105"/>
      <c r="N105"/>
      <c r="O105"/>
    </row>
    <row r="106" spans="1:15" x14ac:dyDescent="0.25">
      <c r="A106" s="17">
        <v>89</v>
      </c>
      <c r="B106" s="34" t="str">
        <f>IF(N(C106)=0,"",IF(ISNUMBER(MATCH(C106,C$26:C105,)),INDEX(B$26:B105,MATCH(C106,C$26:C105,)),MAX(B$26:B105)+1))</f>
        <v/>
      </c>
      <c r="C106" s="55"/>
      <c r="D106" s="7"/>
      <c r="E106" s="25" t="str">
        <f t="shared" si="6"/>
        <v/>
      </c>
      <c r="F106" s="25" t="str">
        <f t="shared" si="7"/>
        <v/>
      </c>
      <c r="G106" s="47">
        <f t="shared" si="8"/>
        <v>0</v>
      </c>
      <c r="H106" s="52"/>
      <c r="I106" s="19"/>
      <c r="K106"/>
      <c r="L106"/>
      <c r="M106"/>
      <c r="N106"/>
      <c r="O106"/>
    </row>
    <row r="107" spans="1:15" x14ac:dyDescent="0.25">
      <c r="A107" s="17">
        <v>90</v>
      </c>
      <c r="B107" s="34" t="str">
        <f>IF(N(C107)=0,"",IF(ISNUMBER(MATCH(C107,C$26:C106,)),INDEX(B$26:B106,MATCH(C107,C$26:C106,)),MAX(B$26:B106)+1))</f>
        <v/>
      </c>
      <c r="C107" s="55"/>
      <c r="D107" s="7"/>
      <c r="E107" s="25" t="str">
        <f t="shared" si="6"/>
        <v/>
      </c>
      <c r="F107" s="25" t="str">
        <f t="shared" si="7"/>
        <v/>
      </c>
      <c r="G107" s="47">
        <f t="shared" si="8"/>
        <v>0</v>
      </c>
      <c r="H107" s="52"/>
      <c r="I107" s="19"/>
      <c r="K107"/>
      <c r="L107"/>
      <c r="M107"/>
      <c r="N107"/>
      <c r="O107"/>
    </row>
    <row r="108" spans="1:15" x14ac:dyDescent="0.25">
      <c r="A108" s="17">
        <v>91</v>
      </c>
      <c r="B108" s="34" t="str">
        <f>IF(N(C108)=0,"",IF(ISNUMBER(MATCH(C108,C$26:C107,)),INDEX(B$26:B107,MATCH(C108,C$26:C107,)),MAX(B$26:B107)+1))</f>
        <v/>
      </c>
      <c r="C108" s="55"/>
      <c r="D108" s="7"/>
      <c r="E108" s="25" t="str">
        <f t="shared" si="6"/>
        <v/>
      </c>
      <c r="F108" s="25" t="str">
        <f t="shared" si="7"/>
        <v/>
      </c>
      <c r="G108" s="47">
        <f t="shared" si="8"/>
        <v>0</v>
      </c>
      <c r="H108" s="52"/>
      <c r="I108" s="19"/>
      <c r="K108"/>
      <c r="L108"/>
      <c r="M108"/>
      <c r="N108"/>
      <c r="O108"/>
    </row>
    <row r="109" spans="1:15" x14ac:dyDescent="0.25">
      <c r="A109" s="17">
        <v>92</v>
      </c>
      <c r="B109" s="34" t="str">
        <f>IF(N(C109)=0,"",IF(ISNUMBER(MATCH(C109,C$26:C108,)),INDEX(B$26:B108,MATCH(C109,C$26:C108,)),MAX(B$26:B108)+1))</f>
        <v/>
      </c>
      <c r="C109" s="55"/>
      <c r="D109" s="7"/>
      <c r="E109" s="25" t="str">
        <f t="shared" si="6"/>
        <v/>
      </c>
      <c r="F109" s="25" t="str">
        <f t="shared" si="7"/>
        <v/>
      </c>
      <c r="G109" s="47">
        <f t="shared" si="8"/>
        <v>0</v>
      </c>
      <c r="H109" s="52"/>
      <c r="I109" s="19"/>
      <c r="K109"/>
      <c r="L109"/>
      <c r="M109"/>
      <c r="N109"/>
      <c r="O109"/>
    </row>
    <row r="110" spans="1:15" x14ac:dyDescent="0.25">
      <c r="A110" s="17">
        <v>93</v>
      </c>
      <c r="B110" s="34" t="str">
        <f>IF(N(C110)=0,"",IF(ISNUMBER(MATCH(C110,C$26:C109,)),INDEX(B$26:B109,MATCH(C110,C$26:C109,)),MAX(B$26:B109)+1))</f>
        <v/>
      </c>
      <c r="C110" s="55"/>
      <c r="D110" s="7"/>
      <c r="E110" s="25" t="str">
        <f t="shared" si="6"/>
        <v/>
      </c>
      <c r="F110" s="25" t="str">
        <f t="shared" si="7"/>
        <v/>
      </c>
      <c r="G110" s="47">
        <f t="shared" si="8"/>
        <v>0</v>
      </c>
      <c r="H110" s="52"/>
      <c r="I110" s="19"/>
      <c r="K110"/>
      <c r="L110"/>
      <c r="M110"/>
      <c r="N110"/>
      <c r="O110"/>
    </row>
    <row r="111" spans="1:15" x14ac:dyDescent="0.25">
      <c r="A111" s="17">
        <v>94</v>
      </c>
      <c r="B111" s="34" t="str">
        <f>IF(N(C111)=0,"",IF(ISNUMBER(MATCH(C111,C$26:C110,)),INDEX(B$26:B110,MATCH(C111,C$26:C110,)),MAX(B$26:B110)+1))</f>
        <v/>
      </c>
      <c r="C111" s="55"/>
      <c r="D111" s="7"/>
      <c r="E111" s="25" t="str">
        <f t="shared" si="6"/>
        <v/>
      </c>
      <c r="F111" s="25" t="str">
        <f t="shared" si="7"/>
        <v/>
      </c>
      <c r="G111" s="47">
        <f t="shared" si="8"/>
        <v>0</v>
      </c>
      <c r="H111" s="52"/>
      <c r="I111" s="19"/>
      <c r="K111"/>
      <c r="L111"/>
      <c r="M111"/>
      <c r="N111"/>
      <c r="O111"/>
    </row>
    <row r="112" spans="1:15" x14ac:dyDescent="0.25">
      <c r="A112" s="17">
        <v>95</v>
      </c>
      <c r="B112" s="34" t="str">
        <f>IF(N(C112)=0,"",IF(ISNUMBER(MATCH(C112,C$26:C111,)),INDEX(B$26:B111,MATCH(C112,C$26:C111,)),MAX(B$26:B111)+1))</f>
        <v/>
      </c>
      <c r="C112" s="55"/>
      <c r="D112" s="7"/>
      <c r="E112" s="25" t="str">
        <f t="shared" si="6"/>
        <v/>
      </c>
      <c r="F112" s="25" t="str">
        <f t="shared" si="7"/>
        <v/>
      </c>
      <c r="G112" s="47">
        <f t="shared" si="8"/>
        <v>0</v>
      </c>
      <c r="H112" s="52"/>
      <c r="I112" s="19"/>
      <c r="K112"/>
      <c r="L112"/>
      <c r="M112"/>
      <c r="N112"/>
      <c r="O112"/>
    </row>
    <row r="113" spans="1:15" x14ac:dyDescent="0.25">
      <c r="A113" s="17">
        <v>96</v>
      </c>
      <c r="B113" s="34" t="str">
        <f>IF(N(C113)=0,"",IF(ISNUMBER(MATCH(C113,C$26:C112,)),INDEX(B$26:B112,MATCH(C113,C$26:C112,)),MAX(B$26:B112)+1))</f>
        <v/>
      </c>
      <c r="C113" s="55"/>
      <c r="D113" s="7"/>
      <c r="E113" s="25" t="str">
        <f t="shared" si="6"/>
        <v/>
      </c>
      <c r="F113" s="25" t="str">
        <f t="shared" si="7"/>
        <v/>
      </c>
      <c r="G113" s="47">
        <f t="shared" si="8"/>
        <v>0</v>
      </c>
      <c r="H113" s="52"/>
      <c r="I113" s="19"/>
      <c r="K113"/>
      <c r="L113"/>
      <c r="M113"/>
      <c r="N113"/>
      <c r="O113"/>
    </row>
    <row r="114" spans="1:15" x14ac:dyDescent="0.25">
      <c r="A114" s="17">
        <v>97</v>
      </c>
      <c r="B114" s="34" t="str">
        <f>IF(N(C114)=0,"",IF(ISNUMBER(MATCH(C114,C$26:C113,)),INDEX(B$26:B113,MATCH(C114,C$26:C113,)),MAX(B$26:B113)+1))</f>
        <v/>
      </c>
      <c r="C114" s="55"/>
      <c r="D114" s="7"/>
      <c r="E114" s="25" t="str">
        <f t="shared" si="6"/>
        <v/>
      </c>
      <c r="F114" s="25" t="str">
        <f t="shared" si="7"/>
        <v/>
      </c>
      <c r="G114" s="47">
        <f t="shared" si="8"/>
        <v>0</v>
      </c>
      <c r="H114" s="52"/>
      <c r="I114" s="19"/>
      <c r="K114"/>
      <c r="L114"/>
      <c r="M114"/>
      <c r="N114"/>
      <c r="O114"/>
    </row>
    <row r="115" spans="1:15" x14ac:dyDescent="0.25">
      <c r="A115" s="17">
        <v>98</v>
      </c>
      <c r="B115" s="35" t="str">
        <f>IF(N(C115)=0,"",IF(ISNUMBER(MATCH(C115,C$26:C114,)),INDEX(B$26:B114,MATCH(C115,C$26:C114,)),MAX(B$26:B114)+1))</f>
        <v/>
      </c>
      <c r="C115" s="56"/>
      <c r="D115" s="8"/>
      <c r="E115" s="26" t="str">
        <f t="shared" si="6"/>
        <v/>
      </c>
      <c r="F115" s="26" t="str">
        <f t="shared" si="7"/>
        <v/>
      </c>
      <c r="G115" s="47">
        <v>1</v>
      </c>
      <c r="H115" s="53"/>
      <c r="I115" s="20"/>
      <c r="K115"/>
      <c r="L115"/>
      <c r="M115"/>
      <c r="N115"/>
      <c r="O115"/>
    </row>
    <row r="116" spans="1:15" x14ac:dyDescent="0.25">
      <c r="K116"/>
      <c r="L116"/>
      <c r="M116"/>
      <c r="N116"/>
      <c r="O116"/>
    </row>
    <row r="117" spans="1:15" x14ac:dyDescent="0.25">
      <c r="K117"/>
      <c r="L117"/>
      <c r="M117"/>
      <c r="N117"/>
      <c r="O117"/>
    </row>
    <row r="118" spans="1:15" x14ac:dyDescent="0.25">
      <c r="K118"/>
      <c r="L118"/>
      <c r="M118"/>
      <c r="N118"/>
      <c r="O118"/>
    </row>
    <row r="119" spans="1:15" x14ac:dyDescent="0.25">
      <c r="K119"/>
      <c r="L119"/>
      <c r="M119"/>
      <c r="N119"/>
      <c r="O119"/>
    </row>
    <row r="120" spans="1:15" x14ac:dyDescent="0.25">
      <c r="K120"/>
      <c r="L120"/>
      <c r="M120"/>
      <c r="N120"/>
      <c r="O120"/>
    </row>
    <row r="121" spans="1:15" x14ac:dyDescent="0.25">
      <c r="K121"/>
      <c r="L121"/>
      <c r="M121"/>
      <c r="N121"/>
      <c r="O121"/>
    </row>
    <row r="122" spans="1:15" x14ac:dyDescent="0.25">
      <c r="K122"/>
      <c r="L122"/>
      <c r="M122"/>
      <c r="N122"/>
      <c r="O122"/>
    </row>
    <row r="123" spans="1:15" x14ac:dyDescent="0.25">
      <c r="K123"/>
      <c r="L123"/>
      <c r="M123"/>
      <c r="N123"/>
      <c r="O123"/>
    </row>
    <row r="124" spans="1:15" x14ac:dyDescent="0.25">
      <c r="K124"/>
      <c r="L124"/>
      <c r="M124"/>
      <c r="N124"/>
      <c r="O124"/>
    </row>
    <row r="125" spans="1:15" x14ac:dyDescent="0.25">
      <c r="K125"/>
      <c r="L125"/>
      <c r="M125"/>
      <c r="N125"/>
      <c r="O125"/>
    </row>
    <row r="126" spans="1:15" x14ac:dyDescent="0.25">
      <c r="K126"/>
      <c r="L126"/>
      <c r="M126"/>
      <c r="N126"/>
      <c r="O126"/>
    </row>
    <row r="127" spans="1:15" x14ac:dyDescent="0.25">
      <c r="K127"/>
      <c r="L127"/>
      <c r="M127"/>
      <c r="N127"/>
      <c r="O127"/>
    </row>
    <row r="128" spans="1:15" x14ac:dyDescent="0.25">
      <c r="K128"/>
      <c r="L128"/>
      <c r="M128"/>
      <c r="N128"/>
      <c r="O128"/>
    </row>
    <row r="129" spans="11:15" x14ac:dyDescent="0.25">
      <c r="K129"/>
      <c r="L129"/>
      <c r="M129"/>
      <c r="N129"/>
      <c r="O129"/>
    </row>
    <row r="130" spans="11:15" x14ac:dyDescent="0.25">
      <c r="K130"/>
      <c r="L130"/>
      <c r="M130"/>
      <c r="N130"/>
      <c r="O130"/>
    </row>
    <row r="131" spans="11:15" x14ac:dyDescent="0.25">
      <c r="K131"/>
      <c r="L131"/>
      <c r="M131"/>
      <c r="N131"/>
      <c r="O131"/>
    </row>
    <row r="132" spans="11:15" x14ac:dyDescent="0.25">
      <c r="K132"/>
      <c r="L132"/>
      <c r="M132"/>
      <c r="N132"/>
      <c r="O132"/>
    </row>
    <row r="133" spans="11:15" x14ac:dyDescent="0.25">
      <c r="K133"/>
      <c r="L133"/>
      <c r="M133"/>
      <c r="N133"/>
      <c r="O133"/>
    </row>
    <row r="134" spans="11:15" x14ac:dyDescent="0.25">
      <c r="K134"/>
      <c r="L134"/>
      <c r="M134"/>
      <c r="N134"/>
      <c r="O134"/>
    </row>
    <row r="135" spans="11:15" x14ac:dyDescent="0.25">
      <c r="K135"/>
      <c r="L135"/>
      <c r="M135"/>
      <c r="N135"/>
      <c r="O135"/>
    </row>
    <row r="136" spans="11:15" x14ac:dyDescent="0.25">
      <c r="K136"/>
      <c r="L136"/>
      <c r="M136"/>
      <c r="N136"/>
      <c r="O136"/>
    </row>
    <row r="137" spans="11:15" x14ac:dyDescent="0.25">
      <c r="K137"/>
      <c r="L137"/>
      <c r="M137"/>
      <c r="N137"/>
      <c r="O137"/>
    </row>
    <row r="138" spans="11:15" x14ac:dyDescent="0.25">
      <c r="K138"/>
      <c r="L138"/>
      <c r="M138"/>
      <c r="N138"/>
      <c r="O138"/>
    </row>
    <row r="139" spans="11:15" x14ac:dyDescent="0.25">
      <c r="K139"/>
      <c r="L139"/>
      <c r="M139"/>
      <c r="N139"/>
      <c r="O139"/>
    </row>
    <row r="140" spans="11:15" x14ac:dyDescent="0.25">
      <c r="K140"/>
      <c r="L140"/>
      <c r="M140"/>
      <c r="N140"/>
      <c r="O140"/>
    </row>
    <row r="141" spans="11:15" x14ac:dyDescent="0.25">
      <c r="K141"/>
      <c r="L141"/>
      <c r="M141"/>
      <c r="N141"/>
      <c r="O141"/>
    </row>
    <row r="142" spans="11:15" x14ac:dyDescent="0.25">
      <c r="K142"/>
      <c r="L142"/>
      <c r="M142"/>
      <c r="N142"/>
      <c r="O142"/>
    </row>
    <row r="143" spans="11:15" x14ac:dyDescent="0.25">
      <c r="K143"/>
      <c r="L143"/>
      <c r="M143"/>
      <c r="N143"/>
      <c r="O143"/>
    </row>
    <row r="144" spans="11:15" x14ac:dyDescent="0.25">
      <c r="K144"/>
      <c r="L144"/>
      <c r="M144"/>
      <c r="N144"/>
      <c r="O144"/>
    </row>
    <row r="145" spans="11:15" x14ac:dyDescent="0.25">
      <c r="K145"/>
      <c r="L145"/>
      <c r="M145"/>
      <c r="N145"/>
      <c r="O145"/>
    </row>
    <row r="146" spans="11:15" x14ac:dyDescent="0.25">
      <c r="K146"/>
      <c r="L146"/>
      <c r="M146"/>
      <c r="N146"/>
      <c r="O146"/>
    </row>
    <row r="147" spans="11:15" x14ac:dyDescent="0.25">
      <c r="K147"/>
      <c r="L147"/>
      <c r="M147"/>
      <c r="N147"/>
      <c r="O147"/>
    </row>
    <row r="148" spans="11:15" x14ac:dyDescent="0.25">
      <c r="K148"/>
      <c r="L148"/>
      <c r="M148"/>
      <c r="N148"/>
      <c r="O148"/>
    </row>
    <row r="149" spans="11:15" x14ac:dyDescent="0.25">
      <c r="K149"/>
      <c r="L149"/>
      <c r="M149"/>
      <c r="N149"/>
      <c r="O149"/>
    </row>
    <row r="150" spans="11:15" x14ac:dyDescent="0.25">
      <c r="K150"/>
      <c r="L150"/>
      <c r="M150"/>
      <c r="N150"/>
      <c r="O150"/>
    </row>
    <row r="151" spans="11:15" x14ac:dyDescent="0.25">
      <c r="K151"/>
      <c r="L151"/>
      <c r="M151"/>
      <c r="N151"/>
      <c r="O151"/>
    </row>
    <row r="152" spans="11:15" x14ac:dyDescent="0.25">
      <c r="K152"/>
      <c r="L152"/>
      <c r="M152"/>
      <c r="N152"/>
      <c r="O152"/>
    </row>
    <row r="153" spans="11:15" x14ac:dyDescent="0.25">
      <c r="K153"/>
      <c r="L153"/>
      <c r="M153"/>
      <c r="N153"/>
      <c r="O153"/>
    </row>
    <row r="154" spans="11:15" x14ac:dyDescent="0.25">
      <c r="K154"/>
      <c r="L154"/>
      <c r="M154"/>
      <c r="N154"/>
      <c r="O154"/>
    </row>
    <row r="155" spans="11:15" x14ac:dyDescent="0.25">
      <c r="K155"/>
      <c r="L155"/>
      <c r="M155"/>
      <c r="N155"/>
      <c r="O155"/>
    </row>
    <row r="156" spans="11:15" x14ac:dyDescent="0.25">
      <c r="K156"/>
      <c r="L156"/>
      <c r="M156"/>
      <c r="N156"/>
      <c r="O156"/>
    </row>
    <row r="157" spans="11:15" x14ac:dyDescent="0.25">
      <c r="K157"/>
      <c r="L157"/>
      <c r="M157"/>
      <c r="N157"/>
      <c r="O157"/>
    </row>
    <row r="158" spans="11:15" x14ac:dyDescent="0.25">
      <c r="K158"/>
      <c r="L158"/>
      <c r="M158"/>
      <c r="N158"/>
      <c r="O158"/>
    </row>
    <row r="159" spans="11:15" x14ac:dyDescent="0.25">
      <c r="K159"/>
      <c r="L159"/>
      <c r="M159"/>
      <c r="N159"/>
      <c r="O159"/>
    </row>
    <row r="160" spans="11:15" x14ac:dyDescent="0.25">
      <c r="K160"/>
      <c r="L160"/>
      <c r="M160"/>
      <c r="N160"/>
      <c r="O160"/>
    </row>
    <row r="161" spans="11:15" x14ac:dyDescent="0.25">
      <c r="K161"/>
      <c r="L161"/>
      <c r="M161"/>
      <c r="N161"/>
      <c r="O161"/>
    </row>
    <row r="162" spans="11:15" x14ac:dyDescent="0.25">
      <c r="K162"/>
      <c r="L162"/>
      <c r="M162"/>
      <c r="N162"/>
      <c r="O162"/>
    </row>
    <row r="163" spans="11:15" x14ac:dyDescent="0.25">
      <c r="K163"/>
      <c r="L163"/>
      <c r="M163"/>
      <c r="N163"/>
      <c r="O163"/>
    </row>
    <row r="164" spans="11:15" x14ac:dyDescent="0.25">
      <c r="K164"/>
      <c r="L164"/>
      <c r="M164"/>
      <c r="N164"/>
      <c r="O164"/>
    </row>
    <row r="165" spans="11:15" x14ac:dyDescent="0.25">
      <c r="K165"/>
      <c r="L165"/>
      <c r="M165"/>
      <c r="N165"/>
      <c r="O165"/>
    </row>
    <row r="166" spans="11:15" x14ac:dyDescent="0.25">
      <c r="K166"/>
      <c r="L166"/>
      <c r="M166"/>
      <c r="N166"/>
      <c r="O166"/>
    </row>
    <row r="167" spans="11:15" x14ac:dyDescent="0.25">
      <c r="K167"/>
      <c r="L167"/>
      <c r="M167"/>
      <c r="N167"/>
      <c r="O167"/>
    </row>
    <row r="168" spans="11:15" x14ac:dyDescent="0.25">
      <c r="K168"/>
      <c r="L168"/>
      <c r="M168"/>
      <c r="N168"/>
      <c r="O168"/>
    </row>
    <row r="169" spans="11:15" x14ac:dyDescent="0.25">
      <c r="K169"/>
      <c r="L169"/>
      <c r="M169"/>
      <c r="N169"/>
      <c r="O169"/>
    </row>
    <row r="170" spans="11:15" x14ac:dyDescent="0.25">
      <c r="K170"/>
      <c r="L170"/>
      <c r="M170"/>
      <c r="N170"/>
      <c r="O170"/>
    </row>
    <row r="171" spans="11:15" x14ac:dyDescent="0.25">
      <c r="K171"/>
      <c r="L171"/>
      <c r="M171"/>
      <c r="N171"/>
      <c r="O171"/>
    </row>
    <row r="172" spans="11:15" x14ac:dyDescent="0.25">
      <c r="K172"/>
      <c r="L172"/>
      <c r="M172"/>
      <c r="N172"/>
      <c r="O172"/>
    </row>
    <row r="173" spans="11:15" x14ac:dyDescent="0.25">
      <c r="K173"/>
      <c r="L173"/>
      <c r="M173"/>
      <c r="N173"/>
      <c r="O173"/>
    </row>
    <row r="174" spans="11:15" x14ac:dyDescent="0.25">
      <c r="K174"/>
      <c r="L174"/>
      <c r="M174"/>
      <c r="N174"/>
      <c r="O174"/>
    </row>
    <row r="175" spans="11:15" x14ac:dyDescent="0.25">
      <c r="K175"/>
      <c r="L175"/>
      <c r="M175"/>
      <c r="N175"/>
      <c r="O175"/>
    </row>
    <row r="176" spans="11:15" x14ac:dyDescent="0.25">
      <c r="K176"/>
      <c r="L176"/>
      <c r="M176"/>
      <c r="N176"/>
      <c r="O176"/>
    </row>
    <row r="177" spans="11:15" x14ac:dyDescent="0.25">
      <c r="K177"/>
      <c r="L177"/>
      <c r="M177"/>
      <c r="N177"/>
      <c r="O177"/>
    </row>
    <row r="178" spans="11:15" x14ac:dyDescent="0.25">
      <c r="K178"/>
      <c r="L178"/>
      <c r="M178"/>
      <c r="N178"/>
      <c r="O178"/>
    </row>
    <row r="179" spans="11:15" x14ac:dyDescent="0.25">
      <c r="K179"/>
      <c r="L179"/>
      <c r="M179"/>
      <c r="N179"/>
      <c r="O179"/>
    </row>
    <row r="180" spans="11:15" x14ac:dyDescent="0.25">
      <c r="K180"/>
      <c r="L180"/>
      <c r="M180"/>
      <c r="N180"/>
      <c r="O180"/>
    </row>
    <row r="181" spans="11:15" x14ac:dyDescent="0.25">
      <c r="K181"/>
      <c r="L181"/>
      <c r="M181"/>
      <c r="N181"/>
      <c r="O181"/>
    </row>
    <row r="182" spans="11:15" x14ac:dyDescent="0.25">
      <c r="K182"/>
      <c r="L182"/>
      <c r="M182"/>
      <c r="N182"/>
      <c r="O182"/>
    </row>
    <row r="183" spans="11:15" x14ac:dyDescent="0.25">
      <c r="K183"/>
      <c r="L183"/>
      <c r="M183"/>
      <c r="N183"/>
      <c r="O183"/>
    </row>
    <row r="184" spans="11:15" x14ac:dyDescent="0.25">
      <c r="K184"/>
      <c r="L184"/>
      <c r="M184"/>
      <c r="N184"/>
      <c r="O184"/>
    </row>
    <row r="185" spans="11:15" x14ac:dyDescent="0.25">
      <c r="K185"/>
      <c r="L185"/>
      <c r="M185"/>
      <c r="N185"/>
      <c r="O185"/>
    </row>
    <row r="186" spans="11:15" x14ac:dyDescent="0.25">
      <c r="K186"/>
      <c r="L186"/>
      <c r="M186"/>
      <c r="N186"/>
      <c r="O186"/>
    </row>
    <row r="187" spans="11:15" x14ac:dyDescent="0.25">
      <c r="K187"/>
      <c r="L187"/>
      <c r="M187"/>
      <c r="N187"/>
      <c r="O187"/>
    </row>
    <row r="188" spans="11:15" x14ac:dyDescent="0.25">
      <c r="K188"/>
      <c r="L188"/>
      <c r="M188"/>
      <c r="N188"/>
      <c r="O188"/>
    </row>
    <row r="189" spans="11:15" x14ac:dyDescent="0.25">
      <c r="K189"/>
      <c r="L189"/>
      <c r="M189"/>
      <c r="N189"/>
      <c r="O189"/>
    </row>
    <row r="190" spans="11:15" x14ac:dyDescent="0.25">
      <c r="K190"/>
      <c r="L190"/>
      <c r="M190"/>
      <c r="N190"/>
      <c r="O190"/>
    </row>
    <row r="191" spans="11:15" x14ac:dyDescent="0.25">
      <c r="K191"/>
      <c r="L191"/>
      <c r="M191"/>
      <c r="N191"/>
      <c r="O191"/>
    </row>
    <row r="192" spans="11:15" x14ac:dyDescent="0.25">
      <c r="K192"/>
      <c r="L192"/>
      <c r="M192"/>
      <c r="N192"/>
      <c r="O192"/>
    </row>
    <row r="193" spans="11:15" x14ac:dyDescent="0.25">
      <c r="K193"/>
      <c r="L193"/>
      <c r="M193"/>
      <c r="N193"/>
      <c r="O193"/>
    </row>
    <row r="194" spans="11:15" x14ac:dyDescent="0.25">
      <c r="K194"/>
      <c r="L194"/>
      <c r="M194"/>
      <c r="N194"/>
      <c r="O194"/>
    </row>
    <row r="195" spans="11:15" x14ac:dyDescent="0.25">
      <c r="K195"/>
      <c r="L195"/>
      <c r="M195"/>
      <c r="N195"/>
      <c r="O195"/>
    </row>
    <row r="196" spans="11:15" x14ac:dyDescent="0.25">
      <c r="K196"/>
      <c r="L196"/>
      <c r="M196"/>
      <c r="N196"/>
      <c r="O196"/>
    </row>
    <row r="197" spans="11:15" x14ac:dyDescent="0.25">
      <c r="K197"/>
      <c r="L197"/>
      <c r="M197"/>
      <c r="N197"/>
      <c r="O197"/>
    </row>
    <row r="198" spans="11:15" x14ac:dyDescent="0.25">
      <c r="K198"/>
      <c r="L198"/>
      <c r="M198"/>
      <c r="N198"/>
      <c r="O198"/>
    </row>
    <row r="199" spans="11:15" x14ac:dyDescent="0.25">
      <c r="K199"/>
      <c r="L199"/>
      <c r="M199"/>
      <c r="N199"/>
      <c r="O199"/>
    </row>
    <row r="200" spans="11:15" x14ac:dyDescent="0.25">
      <c r="K200"/>
      <c r="L200"/>
      <c r="M200"/>
      <c r="N200"/>
      <c r="O200"/>
    </row>
    <row r="201" spans="11:15" x14ac:dyDescent="0.25">
      <c r="K201"/>
      <c r="L201"/>
      <c r="M201"/>
      <c r="N201"/>
      <c r="O201"/>
    </row>
    <row r="202" spans="11:15" x14ac:dyDescent="0.25">
      <c r="K202"/>
      <c r="L202"/>
      <c r="M202"/>
      <c r="N202"/>
      <c r="O202"/>
    </row>
    <row r="203" spans="11:15" x14ac:dyDescent="0.25">
      <c r="K203"/>
      <c r="L203"/>
      <c r="M203"/>
      <c r="N203"/>
      <c r="O203"/>
    </row>
    <row r="204" spans="11:15" x14ac:dyDescent="0.25">
      <c r="K204"/>
      <c r="L204"/>
      <c r="M204"/>
      <c r="N204"/>
      <c r="O204"/>
    </row>
    <row r="205" spans="11:15" x14ac:dyDescent="0.25">
      <c r="K205"/>
      <c r="L205"/>
      <c r="M205"/>
      <c r="N205"/>
      <c r="O205"/>
    </row>
    <row r="206" spans="11:15" x14ac:dyDescent="0.25">
      <c r="K206"/>
      <c r="L206"/>
      <c r="M206"/>
      <c r="N206"/>
      <c r="O206"/>
    </row>
    <row r="207" spans="11:15" x14ac:dyDescent="0.25">
      <c r="K207"/>
      <c r="L207"/>
      <c r="M207"/>
      <c r="N207"/>
      <c r="O207"/>
    </row>
    <row r="208" spans="11:15" x14ac:dyDescent="0.25">
      <c r="K208"/>
      <c r="L208"/>
      <c r="M208"/>
      <c r="N208"/>
      <c r="O208"/>
    </row>
    <row r="209" spans="11:15" x14ac:dyDescent="0.25">
      <c r="K209"/>
      <c r="L209"/>
      <c r="M209"/>
      <c r="N209"/>
      <c r="O209"/>
    </row>
    <row r="210" spans="11:15" x14ac:dyDescent="0.25">
      <c r="K210"/>
      <c r="L210"/>
      <c r="M210"/>
      <c r="N210"/>
      <c r="O210"/>
    </row>
    <row r="211" spans="11:15" x14ac:dyDescent="0.25">
      <c r="K211"/>
      <c r="L211"/>
      <c r="M211"/>
      <c r="N211"/>
      <c r="O211"/>
    </row>
    <row r="212" spans="11:15" x14ac:dyDescent="0.25">
      <c r="K212"/>
      <c r="L212"/>
      <c r="M212"/>
      <c r="N212"/>
      <c r="O212"/>
    </row>
    <row r="213" spans="11:15" x14ac:dyDescent="0.25">
      <c r="K213"/>
      <c r="L213"/>
      <c r="M213"/>
      <c r="N213"/>
      <c r="O213"/>
    </row>
    <row r="214" spans="11:15" x14ac:dyDescent="0.25">
      <c r="K214"/>
      <c r="L214"/>
      <c r="M214"/>
      <c r="N214"/>
      <c r="O214"/>
    </row>
    <row r="215" spans="11:15" x14ac:dyDescent="0.25">
      <c r="K215"/>
      <c r="L215"/>
      <c r="M215"/>
      <c r="N215"/>
      <c r="O215"/>
    </row>
    <row r="216" spans="11:15" x14ac:dyDescent="0.25">
      <c r="K216"/>
      <c r="L216"/>
      <c r="M216"/>
      <c r="N216"/>
      <c r="O216"/>
    </row>
    <row r="217" spans="11:15" x14ac:dyDescent="0.25">
      <c r="K217"/>
      <c r="L217"/>
      <c r="M217"/>
      <c r="N217"/>
      <c r="O217"/>
    </row>
    <row r="218" spans="11:15" x14ac:dyDescent="0.25">
      <c r="K218"/>
      <c r="L218"/>
      <c r="M218"/>
      <c r="N218"/>
      <c r="O218"/>
    </row>
    <row r="219" spans="11:15" x14ac:dyDescent="0.25">
      <c r="K219"/>
      <c r="L219"/>
      <c r="M219"/>
      <c r="N219"/>
      <c r="O219"/>
    </row>
    <row r="220" spans="11:15" x14ac:dyDescent="0.25">
      <c r="K220"/>
      <c r="L220"/>
      <c r="M220"/>
      <c r="N220"/>
      <c r="O220"/>
    </row>
    <row r="221" spans="11:15" x14ac:dyDescent="0.25">
      <c r="K221"/>
      <c r="L221"/>
      <c r="M221"/>
      <c r="N221"/>
      <c r="O221"/>
    </row>
    <row r="222" spans="11:15" x14ac:dyDescent="0.25">
      <c r="K222"/>
      <c r="L222"/>
      <c r="M222"/>
      <c r="N222"/>
      <c r="O222"/>
    </row>
    <row r="223" spans="11:15" x14ac:dyDescent="0.25">
      <c r="K223"/>
      <c r="L223"/>
      <c r="M223"/>
      <c r="N223"/>
      <c r="O223"/>
    </row>
    <row r="224" spans="11:15" x14ac:dyDescent="0.25">
      <c r="K224"/>
      <c r="L224"/>
      <c r="M224"/>
      <c r="N224"/>
      <c r="O224"/>
    </row>
    <row r="225" spans="11:15" x14ac:dyDescent="0.25">
      <c r="K225"/>
      <c r="L225"/>
      <c r="M225"/>
      <c r="N225"/>
      <c r="O225"/>
    </row>
    <row r="226" spans="11:15" x14ac:dyDescent="0.25">
      <c r="K226"/>
      <c r="L226"/>
      <c r="M226"/>
      <c r="N226"/>
      <c r="O226"/>
    </row>
    <row r="227" spans="11:15" x14ac:dyDescent="0.25">
      <c r="K227"/>
      <c r="L227"/>
      <c r="M227"/>
      <c r="N227"/>
      <c r="O227"/>
    </row>
    <row r="228" spans="11:15" x14ac:dyDescent="0.25">
      <c r="K228"/>
      <c r="L228"/>
      <c r="M228"/>
      <c r="N228"/>
      <c r="O228"/>
    </row>
    <row r="229" spans="11:15" x14ac:dyDescent="0.25">
      <c r="K229"/>
      <c r="L229"/>
      <c r="M229"/>
      <c r="N229"/>
      <c r="O229"/>
    </row>
    <row r="230" spans="11:15" x14ac:dyDescent="0.25">
      <c r="K230"/>
      <c r="L230"/>
      <c r="M230"/>
      <c r="N230"/>
      <c r="O230"/>
    </row>
    <row r="231" spans="11:15" x14ac:dyDescent="0.25">
      <c r="K231"/>
      <c r="L231"/>
      <c r="M231"/>
      <c r="N231"/>
      <c r="O231"/>
    </row>
    <row r="232" spans="11:15" x14ac:dyDescent="0.25">
      <c r="K232"/>
      <c r="L232"/>
      <c r="M232"/>
      <c r="N232"/>
      <c r="O232"/>
    </row>
    <row r="233" spans="11:15" x14ac:dyDescent="0.25">
      <c r="K233"/>
      <c r="L233"/>
      <c r="M233"/>
      <c r="N233"/>
      <c r="O233"/>
    </row>
    <row r="234" spans="11:15" x14ac:dyDescent="0.25">
      <c r="K234"/>
      <c r="L234"/>
      <c r="M234"/>
      <c r="N234"/>
      <c r="O234"/>
    </row>
    <row r="235" spans="11:15" x14ac:dyDescent="0.25">
      <c r="K235"/>
      <c r="L235"/>
      <c r="M235"/>
      <c r="N235"/>
      <c r="O235"/>
    </row>
    <row r="236" spans="11:15" x14ac:dyDescent="0.25">
      <c r="K236"/>
      <c r="L236"/>
      <c r="M236"/>
      <c r="N236"/>
      <c r="O236"/>
    </row>
    <row r="237" spans="11:15" x14ac:dyDescent="0.25">
      <c r="K237"/>
      <c r="L237"/>
      <c r="M237"/>
      <c r="N237"/>
      <c r="O237"/>
    </row>
    <row r="238" spans="11:15" x14ac:dyDescent="0.25">
      <c r="K238"/>
      <c r="L238"/>
      <c r="M238"/>
      <c r="N238"/>
      <c r="O238"/>
    </row>
    <row r="239" spans="11:15" x14ac:dyDescent="0.25">
      <c r="K239"/>
      <c r="L239"/>
      <c r="M239"/>
      <c r="N239"/>
      <c r="O239"/>
    </row>
    <row r="240" spans="11:15" x14ac:dyDescent="0.25">
      <c r="K240"/>
      <c r="L240"/>
      <c r="M240"/>
      <c r="N240"/>
      <c r="O240"/>
    </row>
    <row r="241" spans="11:15" x14ac:dyDescent="0.25">
      <c r="K241"/>
      <c r="L241"/>
      <c r="M241"/>
      <c r="N241"/>
      <c r="O241"/>
    </row>
    <row r="242" spans="11:15" x14ac:dyDescent="0.25">
      <c r="K242"/>
      <c r="L242"/>
      <c r="M242"/>
      <c r="N242"/>
      <c r="O242"/>
    </row>
    <row r="243" spans="11:15" x14ac:dyDescent="0.25">
      <c r="K243"/>
      <c r="L243"/>
      <c r="M243"/>
      <c r="N243"/>
      <c r="O243"/>
    </row>
    <row r="244" spans="11:15" x14ac:dyDescent="0.25">
      <c r="K244"/>
      <c r="L244"/>
      <c r="M244"/>
      <c r="N244"/>
      <c r="O244"/>
    </row>
    <row r="245" spans="11:15" x14ac:dyDescent="0.25">
      <c r="K245"/>
      <c r="L245"/>
      <c r="M245"/>
      <c r="N245"/>
      <c r="O245"/>
    </row>
    <row r="246" spans="11:15" x14ac:dyDescent="0.25">
      <c r="K246"/>
      <c r="L246"/>
      <c r="M246"/>
      <c r="N246"/>
      <c r="O246"/>
    </row>
    <row r="247" spans="11:15" x14ac:dyDescent="0.25">
      <c r="K247"/>
      <c r="L247"/>
      <c r="M247"/>
      <c r="N247"/>
      <c r="O247"/>
    </row>
    <row r="248" spans="11:15" x14ac:dyDescent="0.25">
      <c r="K248"/>
      <c r="L248"/>
      <c r="M248"/>
      <c r="N248"/>
      <c r="O248"/>
    </row>
    <row r="249" spans="11:15" x14ac:dyDescent="0.25">
      <c r="K249"/>
      <c r="L249"/>
      <c r="M249"/>
      <c r="N249"/>
      <c r="O249"/>
    </row>
    <row r="250" spans="11:15" x14ac:dyDescent="0.25">
      <c r="K250"/>
      <c r="L250"/>
      <c r="M250"/>
      <c r="N250"/>
      <c r="O250"/>
    </row>
    <row r="251" spans="11:15" x14ac:dyDescent="0.25">
      <c r="K251"/>
      <c r="L251"/>
      <c r="M251"/>
      <c r="N251"/>
      <c r="O251"/>
    </row>
    <row r="252" spans="11:15" x14ac:dyDescent="0.25">
      <c r="K252"/>
      <c r="L252"/>
      <c r="M252"/>
      <c r="N252"/>
      <c r="O252"/>
    </row>
    <row r="253" spans="11:15" x14ac:dyDescent="0.25">
      <c r="K253"/>
      <c r="L253"/>
      <c r="M253"/>
      <c r="N253"/>
      <c r="O253"/>
    </row>
    <row r="254" spans="11:15" x14ac:dyDescent="0.25">
      <c r="K254"/>
      <c r="L254"/>
      <c r="M254"/>
      <c r="N254"/>
      <c r="O254"/>
    </row>
    <row r="255" spans="11:15" x14ac:dyDescent="0.25">
      <c r="K255"/>
      <c r="L255"/>
      <c r="M255"/>
      <c r="N255"/>
      <c r="O255"/>
    </row>
    <row r="256" spans="11:15" x14ac:dyDescent="0.25">
      <c r="K256"/>
      <c r="L256"/>
      <c r="M256"/>
      <c r="N256"/>
      <c r="O256"/>
    </row>
    <row r="257" spans="11:15" x14ac:dyDescent="0.25">
      <c r="K257"/>
      <c r="L257"/>
      <c r="M257"/>
      <c r="N257"/>
      <c r="O257"/>
    </row>
    <row r="258" spans="11:15" x14ac:dyDescent="0.25">
      <c r="K258"/>
      <c r="L258"/>
      <c r="M258"/>
      <c r="N258"/>
      <c r="O258"/>
    </row>
    <row r="259" spans="11:15" x14ac:dyDescent="0.25">
      <c r="K259"/>
      <c r="L259"/>
      <c r="M259"/>
      <c r="N259"/>
      <c r="O259"/>
    </row>
    <row r="260" spans="11:15" x14ac:dyDescent="0.25">
      <c r="K260"/>
      <c r="L260"/>
      <c r="M260"/>
      <c r="N260"/>
      <c r="O260"/>
    </row>
    <row r="261" spans="11:15" x14ac:dyDescent="0.25">
      <c r="K261"/>
      <c r="L261"/>
      <c r="M261"/>
      <c r="N261"/>
      <c r="O261"/>
    </row>
    <row r="262" spans="11:15" x14ac:dyDescent="0.25">
      <c r="K262"/>
      <c r="L262"/>
      <c r="M262"/>
      <c r="N262"/>
      <c r="O262"/>
    </row>
    <row r="263" spans="11:15" x14ac:dyDescent="0.25">
      <c r="K263"/>
      <c r="L263"/>
      <c r="M263"/>
      <c r="N263"/>
      <c r="O263"/>
    </row>
    <row r="264" spans="11:15" x14ac:dyDescent="0.25">
      <c r="K264"/>
      <c r="L264"/>
      <c r="M264"/>
      <c r="N264"/>
      <c r="O264"/>
    </row>
    <row r="265" spans="11:15" x14ac:dyDescent="0.25">
      <c r="K265"/>
      <c r="L265"/>
      <c r="M265"/>
      <c r="N265"/>
      <c r="O265"/>
    </row>
    <row r="266" spans="11:15" x14ac:dyDescent="0.25">
      <c r="K266"/>
      <c r="L266"/>
      <c r="M266"/>
      <c r="N266"/>
      <c r="O266"/>
    </row>
    <row r="267" spans="11:15" x14ac:dyDescent="0.25">
      <c r="K267"/>
      <c r="L267"/>
      <c r="M267"/>
      <c r="N267"/>
      <c r="O267"/>
    </row>
    <row r="268" spans="11:15" x14ac:dyDescent="0.25">
      <c r="K268"/>
      <c r="L268"/>
      <c r="M268"/>
      <c r="N268"/>
      <c r="O268"/>
    </row>
    <row r="269" spans="11:15" x14ac:dyDescent="0.25">
      <c r="K269"/>
      <c r="L269"/>
      <c r="M269"/>
      <c r="N269"/>
      <c r="O269"/>
    </row>
    <row r="270" spans="11:15" x14ac:dyDescent="0.25">
      <c r="K270"/>
      <c r="L270"/>
      <c r="M270"/>
      <c r="N270"/>
      <c r="O270"/>
    </row>
    <row r="271" spans="11:15" x14ac:dyDescent="0.25">
      <c r="K271"/>
      <c r="L271"/>
      <c r="M271"/>
      <c r="N271"/>
      <c r="O271"/>
    </row>
    <row r="272" spans="11:15" x14ac:dyDescent="0.25">
      <c r="K272"/>
      <c r="L272"/>
      <c r="M272"/>
      <c r="N272"/>
      <c r="O272"/>
    </row>
    <row r="273" spans="11:15" x14ac:dyDescent="0.25">
      <c r="K273"/>
      <c r="L273"/>
      <c r="M273"/>
      <c r="N273"/>
      <c r="O273"/>
    </row>
    <row r="274" spans="11:15" x14ac:dyDescent="0.25">
      <c r="K274"/>
      <c r="L274"/>
      <c r="M274"/>
      <c r="N274"/>
      <c r="O274"/>
    </row>
    <row r="275" spans="11:15" x14ac:dyDescent="0.25">
      <c r="K275"/>
      <c r="L275"/>
      <c r="M275"/>
      <c r="N275"/>
      <c r="O275"/>
    </row>
    <row r="276" spans="11:15" x14ac:dyDescent="0.25">
      <c r="K276"/>
      <c r="L276"/>
      <c r="M276"/>
      <c r="N276"/>
      <c r="O276"/>
    </row>
    <row r="277" spans="11:15" x14ac:dyDescent="0.25">
      <c r="K277"/>
      <c r="L277"/>
      <c r="M277"/>
      <c r="N277"/>
      <c r="O277"/>
    </row>
    <row r="278" spans="11:15" x14ac:dyDescent="0.25">
      <c r="K278"/>
      <c r="L278"/>
      <c r="M278"/>
      <c r="N278"/>
      <c r="O278"/>
    </row>
    <row r="279" spans="11:15" x14ac:dyDescent="0.25">
      <c r="K279"/>
      <c r="L279"/>
      <c r="M279"/>
      <c r="N279"/>
      <c r="O279"/>
    </row>
    <row r="280" spans="11:15" x14ac:dyDescent="0.25">
      <c r="K280"/>
      <c r="L280"/>
      <c r="M280"/>
      <c r="N280"/>
      <c r="O280"/>
    </row>
    <row r="281" spans="11:15" x14ac:dyDescent="0.25">
      <c r="K281"/>
      <c r="L281"/>
      <c r="M281"/>
      <c r="N281"/>
      <c r="O281"/>
    </row>
    <row r="282" spans="11:15" x14ac:dyDescent="0.25">
      <c r="K282"/>
      <c r="L282"/>
      <c r="M282"/>
      <c r="N282"/>
      <c r="O282"/>
    </row>
    <row r="283" spans="11:15" x14ac:dyDescent="0.25">
      <c r="K283"/>
      <c r="L283"/>
      <c r="M283"/>
      <c r="N283"/>
      <c r="O283"/>
    </row>
    <row r="284" spans="11:15" x14ac:dyDescent="0.25">
      <c r="K284"/>
      <c r="L284"/>
      <c r="M284"/>
      <c r="N284"/>
      <c r="O284"/>
    </row>
    <row r="285" spans="11:15" x14ac:dyDescent="0.25">
      <c r="K285"/>
      <c r="L285"/>
      <c r="M285"/>
      <c r="N285"/>
      <c r="O285"/>
    </row>
    <row r="286" spans="11:15" x14ac:dyDescent="0.25">
      <c r="K286"/>
      <c r="L286"/>
      <c r="M286"/>
      <c r="N286"/>
      <c r="O286"/>
    </row>
    <row r="287" spans="11:15" x14ac:dyDescent="0.25">
      <c r="K287"/>
      <c r="L287"/>
      <c r="M287"/>
      <c r="N287"/>
      <c r="O287"/>
    </row>
    <row r="288" spans="11:15" x14ac:dyDescent="0.25">
      <c r="K288"/>
      <c r="L288"/>
      <c r="M288"/>
      <c r="N288"/>
      <c r="O288"/>
    </row>
    <row r="289" spans="11:15" x14ac:dyDescent="0.25">
      <c r="K289"/>
      <c r="L289"/>
      <c r="M289"/>
      <c r="N289"/>
      <c r="O289"/>
    </row>
    <row r="290" spans="11:15" x14ac:dyDescent="0.25">
      <c r="K290"/>
      <c r="L290"/>
      <c r="M290"/>
      <c r="N290"/>
      <c r="O290"/>
    </row>
    <row r="291" spans="11:15" x14ac:dyDescent="0.25">
      <c r="K291"/>
      <c r="L291"/>
      <c r="M291"/>
      <c r="N291"/>
      <c r="O291"/>
    </row>
    <row r="292" spans="11:15" x14ac:dyDescent="0.25">
      <c r="K292"/>
      <c r="L292"/>
      <c r="M292"/>
      <c r="N292"/>
      <c r="O292"/>
    </row>
    <row r="293" spans="11:15" x14ac:dyDescent="0.25">
      <c r="K293"/>
      <c r="L293"/>
      <c r="M293"/>
      <c r="N293"/>
      <c r="O293"/>
    </row>
    <row r="294" spans="11:15" x14ac:dyDescent="0.25">
      <c r="K294"/>
      <c r="L294"/>
      <c r="M294"/>
      <c r="N294"/>
      <c r="O294"/>
    </row>
    <row r="295" spans="11:15" x14ac:dyDescent="0.25">
      <c r="K295"/>
      <c r="L295"/>
      <c r="M295"/>
      <c r="N295"/>
      <c r="O295"/>
    </row>
    <row r="296" spans="11:15" x14ac:dyDescent="0.25">
      <c r="K296"/>
      <c r="L296"/>
      <c r="M296"/>
      <c r="N296"/>
      <c r="O296"/>
    </row>
    <row r="297" spans="11:15" x14ac:dyDescent="0.25">
      <c r="K297"/>
      <c r="L297"/>
      <c r="M297"/>
      <c r="N297"/>
      <c r="O297"/>
    </row>
    <row r="298" spans="11:15" x14ac:dyDescent="0.25">
      <c r="K298"/>
      <c r="L298"/>
      <c r="M298"/>
      <c r="N298"/>
      <c r="O298"/>
    </row>
    <row r="299" spans="11:15" x14ac:dyDescent="0.25">
      <c r="K299"/>
      <c r="L299"/>
      <c r="M299"/>
      <c r="N299"/>
      <c r="O299"/>
    </row>
    <row r="300" spans="11:15" x14ac:dyDescent="0.25">
      <c r="K300"/>
      <c r="L300"/>
      <c r="M300"/>
      <c r="N300"/>
      <c r="O300"/>
    </row>
    <row r="301" spans="11:15" x14ac:dyDescent="0.25">
      <c r="K301"/>
      <c r="L301"/>
      <c r="M301"/>
      <c r="N301"/>
      <c r="O301"/>
    </row>
    <row r="302" spans="11:15" x14ac:dyDescent="0.25">
      <c r="K302"/>
      <c r="L302"/>
      <c r="M302"/>
      <c r="N302"/>
      <c r="O302"/>
    </row>
    <row r="303" spans="11:15" x14ac:dyDescent="0.25">
      <c r="K303"/>
      <c r="L303"/>
      <c r="M303"/>
      <c r="N303"/>
      <c r="O303"/>
    </row>
    <row r="304" spans="11:15" x14ac:dyDescent="0.25">
      <c r="K304"/>
      <c r="L304"/>
      <c r="M304"/>
      <c r="N304"/>
      <c r="O304"/>
    </row>
    <row r="305" spans="11:15" x14ac:dyDescent="0.25">
      <c r="K305"/>
      <c r="L305"/>
      <c r="M305"/>
      <c r="N305"/>
      <c r="O305"/>
    </row>
    <row r="306" spans="11:15" x14ac:dyDescent="0.25">
      <c r="K306"/>
      <c r="L306"/>
      <c r="M306"/>
      <c r="N306"/>
      <c r="O306"/>
    </row>
    <row r="307" spans="11:15" x14ac:dyDescent="0.25">
      <c r="K307"/>
      <c r="L307"/>
      <c r="M307"/>
      <c r="N307"/>
      <c r="O307"/>
    </row>
    <row r="308" spans="11:15" x14ac:dyDescent="0.25">
      <c r="K308"/>
      <c r="L308"/>
      <c r="M308"/>
      <c r="N308"/>
      <c r="O308"/>
    </row>
    <row r="309" spans="11:15" x14ac:dyDescent="0.25">
      <c r="K309"/>
      <c r="L309"/>
      <c r="M309"/>
      <c r="N309"/>
      <c r="O309"/>
    </row>
    <row r="310" spans="11:15" x14ac:dyDescent="0.25">
      <c r="K310"/>
      <c r="L310"/>
      <c r="M310"/>
      <c r="N310"/>
      <c r="O310"/>
    </row>
    <row r="311" spans="11:15" x14ac:dyDescent="0.25">
      <c r="K311"/>
      <c r="L311"/>
      <c r="M311"/>
      <c r="N311"/>
      <c r="O311"/>
    </row>
    <row r="312" spans="11:15" x14ac:dyDescent="0.25">
      <c r="K312"/>
      <c r="L312"/>
      <c r="M312"/>
      <c r="N312"/>
      <c r="O312"/>
    </row>
    <row r="313" spans="11:15" x14ac:dyDescent="0.25">
      <c r="K313"/>
      <c r="L313"/>
      <c r="M313"/>
      <c r="N313"/>
      <c r="O313"/>
    </row>
    <row r="314" spans="11:15" x14ac:dyDescent="0.25">
      <c r="K314"/>
      <c r="L314"/>
      <c r="M314"/>
      <c r="N314"/>
      <c r="O314"/>
    </row>
    <row r="315" spans="11:15" x14ac:dyDescent="0.25">
      <c r="K315"/>
      <c r="L315"/>
      <c r="M315"/>
      <c r="N315"/>
      <c r="O315"/>
    </row>
    <row r="316" spans="11:15" x14ac:dyDescent="0.25">
      <c r="K316"/>
      <c r="L316"/>
      <c r="M316"/>
      <c r="N316"/>
      <c r="O316"/>
    </row>
    <row r="317" spans="11:15" x14ac:dyDescent="0.25">
      <c r="K317"/>
      <c r="L317"/>
      <c r="M317"/>
      <c r="N317"/>
      <c r="O317"/>
    </row>
    <row r="318" spans="11:15" x14ac:dyDescent="0.25">
      <c r="K318"/>
      <c r="L318"/>
      <c r="M318"/>
      <c r="N318"/>
      <c r="O318"/>
    </row>
    <row r="319" spans="11:15" x14ac:dyDescent="0.25">
      <c r="K319"/>
      <c r="L319"/>
      <c r="M319"/>
      <c r="N319"/>
      <c r="O319"/>
    </row>
    <row r="320" spans="11:15" x14ac:dyDescent="0.25">
      <c r="K320"/>
      <c r="L320"/>
      <c r="M320"/>
      <c r="N320"/>
      <c r="O320"/>
    </row>
    <row r="321" spans="11:15" x14ac:dyDescent="0.25">
      <c r="K321"/>
      <c r="L321"/>
      <c r="M321"/>
      <c r="N321"/>
      <c r="O321"/>
    </row>
    <row r="322" spans="11:15" x14ac:dyDescent="0.25">
      <c r="K322"/>
      <c r="L322"/>
      <c r="M322"/>
      <c r="N322"/>
      <c r="O322"/>
    </row>
    <row r="323" spans="11:15" x14ac:dyDescent="0.25">
      <c r="K323"/>
      <c r="L323"/>
      <c r="M323"/>
      <c r="N323"/>
      <c r="O323"/>
    </row>
    <row r="324" spans="11:15" x14ac:dyDescent="0.25">
      <c r="K324"/>
      <c r="L324"/>
      <c r="M324"/>
      <c r="N324"/>
      <c r="O324"/>
    </row>
    <row r="325" spans="11:15" x14ac:dyDescent="0.25">
      <c r="K325"/>
      <c r="L325"/>
      <c r="M325"/>
      <c r="N325"/>
      <c r="O325"/>
    </row>
    <row r="326" spans="11:15" x14ac:dyDescent="0.25">
      <c r="K326"/>
      <c r="L326"/>
      <c r="M326"/>
      <c r="N326"/>
      <c r="O326"/>
    </row>
    <row r="327" spans="11:15" x14ac:dyDescent="0.25">
      <c r="K327"/>
      <c r="L327"/>
      <c r="M327"/>
      <c r="N327"/>
      <c r="O327"/>
    </row>
    <row r="328" spans="11:15" x14ac:dyDescent="0.25">
      <c r="K328"/>
      <c r="L328"/>
      <c r="M328"/>
      <c r="N328"/>
      <c r="O328"/>
    </row>
    <row r="329" spans="11:15" x14ac:dyDescent="0.25">
      <c r="K329"/>
      <c r="L329"/>
      <c r="M329"/>
      <c r="N329"/>
      <c r="O329"/>
    </row>
    <row r="330" spans="11:15" x14ac:dyDescent="0.25">
      <c r="K330"/>
      <c r="L330"/>
      <c r="M330"/>
      <c r="N330"/>
      <c r="O330"/>
    </row>
    <row r="331" spans="11:15" x14ac:dyDescent="0.25">
      <c r="K331"/>
      <c r="L331"/>
      <c r="M331"/>
      <c r="N331"/>
      <c r="O331"/>
    </row>
    <row r="332" spans="11:15" x14ac:dyDescent="0.25">
      <c r="K332"/>
      <c r="L332"/>
      <c r="M332"/>
      <c r="N332"/>
      <c r="O332"/>
    </row>
    <row r="333" spans="11:15" x14ac:dyDescent="0.25">
      <c r="K333"/>
      <c r="L333"/>
      <c r="M333"/>
      <c r="N333"/>
      <c r="O333"/>
    </row>
    <row r="334" spans="11:15" x14ac:dyDescent="0.25">
      <c r="K334"/>
      <c r="L334"/>
      <c r="M334"/>
      <c r="N334"/>
      <c r="O334"/>
    </row>
    <row r="335" spans="11:15" x14ac:dyDescent="0.25">
      <c r="K335"/>
      <c r="L335"/>
      <c r="M335"/>
      <c r="N335"/>
      <c r="O335"/>
    </row>
    <row r="336" spans="11:15" x14ac:dyDescent="0.25">
      <c r="K336"/>
      <c r="L336"/>
      <c r="M336"/>
      <c r="N336"/>
      <c r="O336"/>
    </row>
    <row r="337" spans="11:15" x14ac:dyDescent="0.25">
      <c r="K337"/>
      <c r="L337"/>
      <c r="M337"/>
      <c r="N337"/>
      <c r="O337"/>
    </row>
    <row r="338" spans="11:15" x14ac:dyDescent="0.25">
      <c r="K338"/>
      <c r="L338"/>
      <c r="M338"/>
      <c r="N338"/>
      <c r="O338"/>
    </row>
    <row r="339" spans="11:15" x14ac:dyDescent="0.25">
      <c r="K339"/>
      <c r="L339"/>
      <c r="M339"/>
      <c r="N339"/>
      <c r="O339"/>
    </row>
    <row r="340" spans="11:15" x14ac:dyDescent="0.25">
      <c r="K340"/>
      <c r="L340"/>
      <c r="M340"/>
      <c r="N340"/>
      <c r="O340"/>
    </row>
    <row r="341" spans="11:15" x14ac:dyDescent="0.25">
      <c r="K341"/>
      <c r="L341"/>
      <c r="M341"/>
      <c r="N341"/>
      <c r="O341"/>
    </row>
    <row r="342" spans="11:15" x14ac:dyDescent="0.25">
      <c r="K342"/>
      <c r="L342"/>
      <c r="M342"/>
      <c r="N342"/>
      <c r="O342"/>
    </row>
    <row r="343" spans="11:15" x14ac:dyDescent="0.25">
      <c r="K343"/>
      <c r="L343"/>
      <c r="M343"/>
      <c r="N343"/>
      <c r="O343"/>
    </row>
    <row r="344" spans="11:15" x14ac:dyDescent="0.25">
      <c r="K344"/>
      <c r="L344"/>
      <c r="M344"/>
      <c r="N344"/>
      <c r="O344"/>
    </row>
    <row r="345" spans="11:15" x14ac:dyDescent="0.25">
      <c r="K345"/>
      <c r="L345"/>
      <c r="M345"/>
      <c r="N345"/>
      <c r="O345"/>
    </row>
    <row r="346" spans="11:15" x14ac:dyDescent="0.25">
      <c r="K346"/>
      <c r="L346"/>
      <c r="M346"/>
      <c r="N346"/>
      <c r="O346"/>
    </row>
    <row r="347" spans="11:15" x14ac:dyDescent="0.25">
      <c r="K347"/>
      <c r="L347"/>
      <c r="M347"/>
      <c r="N347"/>
      <c r="O347"/>
    </row>
    <row r="348" spans="11:15" x14ac:dyDescent="0.25">
      <c r="K348"/>
      <c r="L348"/>
      <c r="M348"/>
      <c r="N348"/>
      <c r="O348"/>
    </row>
    <row r="349" spans="11:15" x14ac:dyDescent="0.25">
      <c r="K349"/>
      <c r="L349"/>
      <c r="M349"/>
      <c r="N349"/>
      <c r="O349"/>
    </row>
    <row r="350" spans="11:15" x14ac:dyDescent="0.25">
      <c r="K350"/>
      <c r="L350"/>
      <c r="M350"/>
      <c r="N350"/>
      <c r="O350"/>
    </row>
    <row r="351" spans="11:15" x14ac:dyDescent="0.25">
      <c r="K351"/>
      <c r="L351"/>
      <c r="M351"/>
      <c r="N351"/>
      <c r="O351"/>
    </row>
    <row r="352" spans="11:15" x14ac:dyDescent="0.25">
      <c r="K352"/>
      <c r="L352"/>
      <c r="M352"/>
      <c r="N352"/>
      <c r="O352"/>
    </row>
    <row r="353" spans="11:15" x14ac:dyDescent="0.25">
      <c r="K353"/>
      <c r="L353"/>
      <c r="M353"/>
      <c r="N353"/>
      <c r="O353"/>
    </row>
    <row r="354" spans="11:15" x14ac:dyDescent="0.25">
      <c r="K354"/>
      <c r="L354"/>
      <c r="M354"/>
      <c r="N354"/>
      <c r="O354"/>
    </row>
    <row r="355" spans="11:15" x14ac:dyDescent="0.25">
      <c r="K355"/>
      <c r="L355"/>
      <c r="M355"/>
      <c r="N355"/>
      <c r="O355"/>
    </row>
    <row r="356" spans="11:15" x14ac:dyDescent="0.25">
      <c r="K356"/>
      <c r="L356"/>
      <c r="M356"/>
      <c r="N356"/>
      <c r="O356"/>
    </row>
    <row r="357" spans="11:15" x14ac:dyDescent="0.25">
      <c r="K357"/>
      <c r="L357"/>
      <c r="M357"/>
      <c r="N357"/>
      <c r="O357"/>
    </row>
    <row r="358" spans="11:15" x14ac:dyDescent="0.25">
      <c r="K358"/>
      <c r="L358"/>
      <c r="M358"/>
      <c r="N358"/>
      <c r="O358"/>
    </row>
    <row r="359" spans="11:15" x14ac:dyDescent="0.25">
      <c r="K359"/>
      <c r="L359"/>
      <c r="M359"/>
      <c r="N359"/>
      <c r="O359"/>
    </row>
    <row r="360" spans="11:15" x14ac:dyDescent="0.25">
      <c r="K360"/>
      <c r="L360"/>
      <c r="M360"/>
      <c r="N360"/>
      <c r="O360"/>
    </row>
    <row r="361" spans="11:15" x14ac:dyDescent="0.25">
      <c r="K361"/>
      <c r="L361"/>
      <c r="M361"/>
      <c r="N361"/>
      <c r="O361"/>
    </row>
    <row r="362" spans="11:15" x14ac:dyDescent="0.25">
      <c r="K362"/>
      <c r="L362"/>
      <c r="M362"/>
      <c r="N362"/>
      <c r="O362"/>
    </row>
    <row r="363" spans="11:15" x14ac:dyDescent="0.25">
      <c r="K363"/>
      <c r="L363"/>
      <c r="M363"/>
      <c r="N363"/>
      <c r="O363"/>
    </row>
    <row r="364" spans="11:15" x14ac:dyDescent="0.25">
      <c r="K364"/>
      <c r="L364"/>
      <c r="M364"/>
      <c r="N364"/>
      <c r="O364"/>
    </row>
    <row r="365" spans="11:15" x14ac:dyDescent="0.25">
      <c r="K365"/>
      <c r="L365"/>
      <c r="M365"/>
      <c r="N365"/>
      <c r="O365"/>
    </row>
    <row r="366" spans="11:15" x14ac:dyDescent="0.25">
      <c r="K366"/>
      <c r="L366"/>
      <c r="M366"/>
      <c r="N366"/>
      <c r="O366"/>
    </row>
    <row r="367" spans="11:15" x14ac:dyDescent="0.25">
      <c r="K367"/>
      <c r="L367"/>
      <c r="M367"/>
      <c r="N367"/>
      <c r="O367"/>
    </row>
    <row r="368" spans="11:15" x14ac:dyDescent="0.25">
      <c r="K368"/>
      <c r="L368"/>
      <c r="M368"/>
      <c r="N368"/>
      <c r="O368"/>
    </row>
    <row r="369" spans="11:15" x14ac:dyDescent="0.25">
      <c r="K369"/>
      <c r="L369"/>
      <c r="M369"/>
      <c r="N369"/>
      <c r="O369"/>
    </row>
    <row r="370" spans="11:15" x14ac:dyDescent="0.25">
      <c r="K370"/>
      <c r="L370"/>
      <c r="M370"/>
      <c r="N370"/>
      <c r="O370"/>
    </row>
    <row r="371" spans="11:15" x14ac:dyDescent="0.25">
      <c r="K371"/>
      <c r="L371"/>
      <c r="M371"/>
      <c r="N371"/>
      <c r="O371"/>
    </row>
    <row r="372" spans="11:15" x14ac:dyDescent="0.25">
      <c r="K372"/>
      <c r="L372"/>
      <c r="M372"/>
      <c r="N372"/>
      <c r="O372"/>
    </row>
    <row r="373" spans="11:15" x14ac:dyDescent="0.25">
      <c r="K373"/>
      <c r="L373"/>
      <c r="M373"/>
      <c r="N373"/>
      <c r="O373"/>
    </row>
    <row r="374" spans="11:15" x14ac:dyDescent="0.25">
      <c r="K374"/>
      <c r="L374"/>
      <c r="M374"/>
      <c r="N374"/>
      <c r="O374"/>
    </row>
    <row r="375" spans="11:15" x14ac:dyDescent="0.25">
      <c r="K375"/>
      <c r="L375"/>
      <c r="M375"/>
      <c r="N375"/>
      <c r="O375"/>
    </row>
    <row r="376" spans="11:15" x14ac:dyDescent="0.25">
      <c r="K376"/>
      <c r="L376"/>
      <c r="M376"/>
      <c r="N376"/>
      <c r="O376"/>
    </row>
    <row r="377" spans="11:15" x14ac:dyDescent="0.25">
      <c r="K377"/>
      <c r="L377"/>
      <c r="M377"/>
      <c r="N377"/>
      <c r="O377"/>
    </row>
    <row r="378" spans="11:15" x14ac:dyDescent="0.25">
      <c r="K378"/>
      <c r="L378"/>
      <c r="M378"/>
      <c r="N378"/>
      <c r="O378"/>
    </row>
    <row r="379" spans="11:15" x14ac:dyDescent="0.25">
      <c r="K379"/>
      <c r="L379"/>
      <c r="M379"/>
      <c r="N379"/>
      <c r="O379"/>
    </row>
    <row r="380" spans="11:15" x14ac:dyDescent="0.25">
      <c r="K380"/>
      <c r="L380"/>
      <c r="M380"/>
      <c r="N380"/>
      <c r="O380"/>
    </row>
    <row r="381" spans="11:15" x14ac:dyDescent="0.25">
      <c r="K381"/>
      <c r="L381"/>
      <c r="M381"/>
      <c r="N381"/>
      <c r="O381"/>
    </row>
    <row r="382" spans="11:15" x14ac:dyDescent="0.25">
      <c r="K382"/>
      <c r="L382"/>
      <c r="M382"/>
      <c r="N382"/>
      <c r="O382"/>
    </row>
    <row r="383" spans="11:15" x14ac:dyDescent="0.25">
      <c r="K383"/>
      <c r="L383"/>
      <c r="M383"/>
      <c r="N383"/>
      <c r="O383"/>
    </row>
    <row r="384" spans="11:15" x14ac:dyDescent="0.25">
      <c r="K384"/>
      <c r="L384"/>
      <c r="M384"/>
      <c r="N384"/>
      <c r="O384"/>
    </row>
    <row r="385" spans="11:15" x14ac:dyDescent="0.25">
      <c r="K385"/>
      <c r="L385"/>
      <c r="M385"/>
      <c r="N385"/>
      <c r="O385"/>
    </row>
    <row r="386" spans="11:15" x14ac:dyDescent="0.25">
      <c r="K386"/>
      <c r="L386"/>
      <c r="M386"/>
      <c r="N386"/>
      <c r="O386"/>
    </row>
    <row r="387" spans="11:15" x14ac:dyDescent="0.25">
      <c r="K387"/>
      <c r="L387"/>
      <c r="M387"/>
      <c r="N387"/>
      <c r="O387"/>
    </row>
    <row r="388" spans="11:15" x14ac:dyDescent="0.25">
      <c r="K388"/>
      <c r="L388"/>
      <c r="M388"/>
      <c r="N388"/>
      <c r="O388"/>
    </row>
    <row r="389" spans="11:15" x14ac:dyDescent="0.25">
      <c r="K389"/>
      <c r="L389"/>
      <c r="M389"/>
      <c r="N389"/>
      <c r="O389"/>
    </row>
    <row r="390" spans="11:15" x14ac:dyDescent="0.25">
      <c r="K390"/>
      <c r="L390"/>
      <c r="M390"/>
      <c r="N390"/>
      <c r="O390"/>
    </row>
    <row r="391" spans="11:15" x14ac:dyDescent="0.25">
      <c r="K391"/>
      <c r="L391"/>
      <c r="M391"/>
      <c r="N391"/>
      <c r="O391"/>
    </row>
    <row r="392" spans="11:15" x14ac:dyDescent="0.25">
      <c r="K392"/>
      <c r="L392"/>
      <c r="M392"/>
      <c r="N392"/>
      <c r="O392"/>
    </row>
    <row r="393" spans="11:15" x14ac:dyDescent="0.25">
      <c r="K393"/>
      <c r="L393"/>
      <c r="M393"/>
      <c r="N393"/>
      <c r="O393"/>
    </row>
    <row r="394" spans="11:15" x14ac:dyDescent="0.25">
      <c r="K394"/>
      <c r="L394"/>
      <c r="M394"/>
      <c r="N394"/>
      <c r="O394"/>
    </row>
    <row r="395" spans="11:15" x14ac:dyDescent="0.25">
      <c r="K395"/>
      <c r="L395"/>
      <c r="M395"/>
      <c r="N395"/>
      <c r="O395"/>
    </row>
    <row r="396" spans="11:15" x14ac:dyDescent="0.25">
      <c r="K396"/>
      <c r="L396"/>
      <c r="M396"/>
      <c r="N396"/>
      <c r="O396"/>
    </row>
    <row r="397" spans="11:15" x14ac:dyDescent="0.25">
      <c r="K397"/>
      <c r="L397"/>
      <c r="M397"/>
      <c r="N397"/>
      <c r="O397"/>
    </row>
    <row r="398" spans="11:15" x14ac:dyDescent="0.25">
      <c r="K398"/>
      <c r="L398"/>
      <c r="M398"/>
      <c r="N398"/>
      <c r="O398"/>
    </row>
    <row r="399" spans="11:15" x14ac:dyDescent="0.25">
      <c r="K399"/>
      <c r="L399"/>
      <c r="M399"/>
      <c r="N399"/>
      <c r="O399"/>
    </row>
    <row r="400" spans="11:15" x14ac:dyDescent="0.25">
      <c r="K400"/>
      <c r="L400"/>
      <c r="M400"/>
      <c r="N400"/>
      <c r="O400"/>
    </row>
    <row r="401" spans="11:15" x14ac:dyDescent="0.25">
      <c r="K401"/>
      <c r="L401"/>
      <c r="M401"/>
      <c r="N401"/>
      <c r="O401"/>
    </row>
    <row r="402" spans="11:15" x14ac:dyDescent="0.25">
      <c r="K402"/>
      <c r="L402"/>
      <c r="M402"/>
      <c r="N402"/>
      <c r="O402"/>
    </row>
    <row r="403" spans="11:15" x14ac:dyDescent="0.25">
      <c r="K403"/>
      <c r="L403"/>
      <c r="M403"/>
      <c r="N403"/>
      <c r="O403"/>
    </row>
    <row r="404" spans="11:15" x14ac:dyDescent="0.25">
      <c r="K404"/>
      <c r="L404"/>
      <c r="M404"/>
      <c r="N404"/>
      <c r="O404"/>
    </row>
    <row r="405" spans="11:15" x14ac:dyDescent="0.25">
      <c r="K405"/>
      <c r="L405"/>
      <c r="M405"/>
      <c r="N405"/>
      <c r="O405"/>
    </row>
    <row r="406" spans="11:15" x14ac:dyDescent="0.25">
      <c r="K406"/>
      <c r="L406"/>
      <c r="M406"/>
      <c r="N406"/>
      <c r="O406"/>
    </row>
    <row r="407" spans="11:15" x14ac:dyDescent="0.25">
      <c r="K407"/>
      <c r="L407"/>
      <c r="M407"/>
      <c r="N407"/>
      <c r="O407"/>
    </row>
    <row r="408" spans="11:15" x14ac:dyDescent="0.25">
      <c r="K408"/>
      <c r="L408"/>
      <c r="M408"/>
      <c r="N408"/>
      <c r="O408"/>
    </row>
    <row r="409" spans="11:15" x14ac:dyDescent="0.25">
      <c r="K409"/>
      <c r="L409"/>
      <c r="M409"/>
      <c r="N409"/>
      <c r="O409"/>
    </row>
    <row r="410" spans="11:15" x14ac:dyDescent="0.25">
      <c r="K410"/>
      <c r="L410"/>
      <c r="M410"/>
      <c r="N410"/>
      <c r="O410"/>
    </row>
    <row r="411" spans="11:15" x14ac:dyDescent="0.25">
      <c r="K411"/>
      <c r="L411"/>
      <c r="M411"/>
      <c r="N411"/>
      <c r="O411"/>
    </row>
    <row r="412" spans="11:15" x14ac:dyDescent="0.25">
      <c r="K412"/>
      <c r="L412"/>
      <c r="M412"/>
      <c r="N412"/>
      <c r="O412"/>
    </row>
    <row r="413" spans="11:15" x14ac:dyDescent="0.25">
      <c r="K413"/>
      <c r="L413"/>
      <c r="M413"/>
      <c r="N413"/>
      <c r="O413"/>
    </row>
    <row r="414" spans="11:15" x14ac:dyDescent="0.25">
      <c r="K414"/>
      <c r="L414"/>
      <c r="M414"/>
      <c r="N414"/>
      <c r="O414"/>
    </row>
    <row r="415" spans="11:15" x14ac:dyDescent="0.25">
      <c r="K415"/>
      <c r="L415"/>
      <c r="M415"/>
      <c r="N415"/>
      <c r="O415"/>
    </row>
    <row r="416" spans="11:15" x14ac:dyDescent="0.25">
      <c r="K416"/>
      <c r="L416"/>
      <c r="M416"/>
      <c r="N416"/>
      <c r="O416"/>
    </row>
    <row r="417" spans="11:15" x14ac:dyDescent="0.25">
      <c r="K417"/>
      <c r="L417"/>
      <c r="M417"/>
      <c r="N417"/>
      <c r="O417"/>
    </row>
    <row r="418" spans="11:15" x14ac:dyDescent="0.25">
      <c r="K418"/>
      <c r="L418"/>
      <c r="M418"/>
      <c r="N418"/>
      <c r="O418"/>
    </row>
    <row r="419" spans="11:15" x14ac:dyDescent="0.25">
      <c r="K419"/>
      <c r="L419"/>
      <c r="M419"/>
      <c r="N419"/>
      <c r="O419"/>
    </row>
    <row r="420" spans="11:15" x14ac:dyDescent="0.25">
      <c r="K420"/>
      <c r="L420"/>
      <c r="M420"/>
      <c r="N420"/>
      <c r="O420"/>
    </row>
    <row r="421" spans="11:15" x14ac:dyDescent="0.25">
      <c r="K421"/>
      <c r="L421"/>
      <c r="M421"/>
      <c r="N421"/>
      <c r="O421"/>
    </row>
    <row r="422" spans="11:15" x14ac:dyDescent="0.25">
      <c r="K422"/>
      <c r="L422"/>
      <c r="M422"/>
      <c r="N422"/>
      <c r="O422"/>
    </row>
    <row r="423" spans="11:15" x14ac:dyDescent="0.25">
      <c r="K423"/>
      <c r="L423"/>
      <c r="M423"/>
      <c r="N423"/>
      <c r="O423"/>
    </row>
    <row r="424" spans="11:15" x14ac:dyDescent="0.25">
      <c r="K424"/>
      <c r="L424"/>
      <c r="M424"/>
      <c r="N424"/>
      <c r="O424"/>
    </row>
    <row r="425" spans="11:15" x14ac:dyDescent="0.25">
      <c r="K425"/>
      <c r="L425"/>
      <c r="M425"/>
      <c r="N425"/>
      <c r="O425"/>
    </row>
    <row r="426" spans="11:15" x14ac:dyDescent="0.25">
      <c r="K426"/>
      <c r="L426"/>
      <c r="M426"/>
      <c r="N426"/>
      <c r="O426"/>
    </row>
    <row r="427" spans="11:15" x14ac:dyDescent="0.25">
      <c r="K427"/>
      <c r="L427"/>
      <c r="M427"/>
      <c r="N427"/>
      <c r="O427"/>
    </row>
    <row r="428" spans="11:15" x14ac:dyDescent="0.25">
      <c r="K428"/>
      <c r="L428"/>
      <c r="M428"/>
      <c r="N428"/>
      <c r="O428"/>
    </row>
    <row r="429" spans="11:15" x14ac:dyDescent="0.25">
      <c r="K429"/>
      <c r="L429"/>
      <c r="M429"/>
      <c r="N429"/>
      <c r="O429"/>
    </row>
    <row r="430" spans="11:15" x14ac:dyDescent="0.25">
      <c r="K430"/>
      <c r="L430"/>
      <c r="M430"/>
      <c r="N430"/>
      <c r="O430"/>
    </row>
    <row r="431" spans="11:15" x14ac:dyDescent="0.25">
      <c r="K431"/>
      <c r="L431"/>
      <c r="M431"/>
      <c r="N431"/>
      <c r="O431"/>
    </row>
    <row r="432" spans="11:15" x14ac:dyDescent="0.25">
      <c r="K432"/>
      <c r="L432"/>
      <c r="M432"/>
      <c r="N432"/>
      <c r="O432"/>
    </row>
    <row r="433" spans="11:15" x14ac:dyDescent="0.25">
      <c r="K433"/>
      <c r="L433"/>
      <c r="M433"/>
      <c r="N433"/>
      <c r="O433"/>
    </row>
    <row r="434" spans="11:15" x14ac:dyDescent="0.25">
      <c r="K434"/>
      <c r="L434"/>
      <c r="M434"/>
      <c r="N434"/>
      <c r="O434"/>
    </row>
    <row r="435" spans="11:15" x14ac:dyDescent="0.25">
      <c r="K435"/>
      <c r="L435"/>
      <c r="M435"/>
      <c r="N435"/>
      <c r="O435"/>
    </row>
    <row r="436" spans="11:15" x14ac:dyDescent="0.25">
      <c r="K436"/>
      <c r="L436"/>
      <c r="M436"/>
      <c r="N436"/>
      <c r="O436"/>
    </row>
    <row r="437" spans="11:15" x14ac:dyDescent="0.25">
      <c r="K437"/>
      <c r="L437"/>
      <c r="M437"/>
      <c r="N437"/>
      <c r="O437"/>
    </row>
    <row r="438" spans="11:15" x14ac:dyDescent="0.25">
      <c r="K438"/>
      <c r="L438"/>
      <c r="M438"/>
      <c r="N438"/>
      <c r="O438"/>
    </row>
    <row r="439" spans="11:15" x14ac:dyDescent="0.25">
      <c r="K439"/>
      <c r="L439"/>
      <c r="M439"/>
      <c r="N439"/>
      <c r="O439"/>
    </row>
    <row r="440" spans="11:15" x14ac:dyDescent="0.25">
      <c r="K440"/>
      <c r="L440"/>
      <c r="M440"/>
      <c r="N440"/>
      <c r="O440"/>
    </row>
    <row r="441" spans="11:15" x14ac:dyDescent="0.25">
      <c r="K441"/>
      <c r="L441"/>
      <c r="M441"/>
      <c r="N441"/>
      <c r="O441"/>
    </row>
    <row r="442" spans="11:15" x14ac:dyDescent="0.25">
      <c r="K442"/>
      <c r="L442"/>
      <c r="M442"/>
      <c r="N442"/>
      <c r="O442"/>
    </row>
    <row r="443" spans="11:15" x14ac:dyDescent="0.25">
      <c r="K443"/>
      <c r="L443"/>
      <c r="M443"/>
      <c r="N443"/>
      <c r="O443"/>
    </row>
    <row r="444" spans="11:15" x14ac:dyDescent="0.25">
      <c r="K444"/>
      <c r="L444"/>
      <c r="M444"/>
      <c r="N444"/>
      <c r="O444"/>
    </row>
    <row r="445" spans="11:15" x14ac:dyDescent="0.25">
      <c r="K445"/>
      <c r="L445"/>
      <c r="M445"/>
      <c r="N445"/>
      <c r="O445"/>
    </row>
    <row r="446" spans="11:15" x14ac:dyDescent="0.25">
      <c r="K446"/>
      <c r="L446"/>
      <c r="M446"/>
      <c r="N446"/>
      <c r="O446"/>
    </row>
    <row r="447" spans="11:15" x14ac:dyDescent="0.25">
      <c r="K447"/>
      <c r="L447"/>
      <c r="M447"/>
      <c r="N447"/>
      <c r="O447"/>
    </row>
    <row r="448" spans="11:15" x14ac:dyDescent="0.25">
      <c r="K448"/>
      <c r="L448"/>
      <c r="M448"/>
      <c r="N448"/>
      <c r="O448"/>
    </row>
    <row r="449" spans="11:15" x14ac:dyDescent="0.25">
      <c r="K449"/>
      <c r="L449"/>
      <c r="M449"/>
      <c r="N449"/>
      <c r="O449"/>
    </row>
    <row r="450" spans="11:15" x14ac:dyDescent="0.25">
      <c r="K450"/>
      <c r="L450"/>
      <c r="M450"/>
      <c r="N450"/>
      <c r="O450"/>
    </row>
    <row r="451" spans="11:15" x14ac:dyDescent="0.25">
      <c r="K451"/>
      <c r="L451"/>
      <c r="M451"/>
      <c r="N451"/>
      <c r="O451"/>
    </row>
    <row r="452" spans="11:15" x14ac:dyDescent="0.25">
      <c r="K452"/>
      <c r="L452"/>
      <c r="M452"/>
      <c r="N452"/>
      <c r="O452"/>
    </row>
    <row r="453" spans="11:15" x14ac:dyDescent="0.25">
      <c r="K453"/>
      <c r="L453"/>
      <c r="M453"/>
      <c r="N453"/>
      <c r="O453"/>
    </row>
    <row r="454" spans="11:15" x14ac:dyDescent="0.25">
      <c r="K454"/>
      <c r="L454"/>
      <c r="M454"/>
      <c r="N454"/>
      <c r="O454"/>
    </row>
    <row r="455" spans="11:15" x14ac:dyDescent="0.25">
      <c r="K455"/>
      <c r="L455"/>
      <c r="M455"/>
      <c r="N455"/>
      <c r="O455"/>
    </row>
    <row r="456" spans="11:15" x14ac:dyDescent="0.25">
      <c r="K456"/>
      <c r="L456"/>
      <c r="M456"/>
      <c r="N456"/>
      <c r="O456"/>
    </row>
    <row r="457" spans="11:15" x14ac:dyDescent="0.25">
      <c r="K457"/>
      <c r="L457"/>
      <c r="M457"/>
      <c r="N457"/>
      <c r="O457"/>
    </row>
    <row r="458" spans="11:15" x14ac:dyDescent="0.25">
      <c r="K458"/>
      <c r="L458"/>
      <c r="M458"/>
      <c r="N458"/>
      <c r="O458"/>
    </row>
    <row r="459" spans="11:15" x14ac:dyDescent="0.25">
      <c r="K459"/>
      <c r="L459"/>
      <c r="M459"/>
      <c r="N459"/>
      <c r="O459"/>
    </row>
    <row r="460" spans="11:15" x14ac:dyDescent="0.25">
      <c r="K460"/>
      <c r="L460"/>
      <c r="M460"/>
      <c r="N460"/>
      <c r="O460"/>
    </row>
    <row r="461" spans="11:15" x14ac:dyDescent="0.25">
      <c r="K461"/>
      <c r="L461"/>
      <c r="M461"/>
      <c r="N461"/>
      <c r="O461"/>
    </row>
    <row r="462" spans="11:15" x14ac:dyDescent="0.25">
      <c r="K462"/>
      <c r="L462"/>
      <c r="M462"/>
      <c r="N462"/>
      <c r="O462"/>
    </row>
    <row r="463" spans="11:15" x14ac:dyDescent="0.25">
      <c r="K463"/>
      <c r="L463"/>
      <c r="M463"/>
      <c r="N463"/>
      <c r="O463"/>
    </row>
    <row r="464" spans="11:15" x14ac:dyDescent="0.25">
      <c r="K464"/>
      <c r="L464"/>
      <c r="M464"/>
      <c r="N464"/>
      <c r="O464"/>
    </row>
    <row r="465" spans="11:15" x14ac:dyDescent="0.25">
      <c r="K465"/>
      <c r="L465"/>
      <c r="M465"/>
      <c r="N465"/>
      <c r="O465"/>
    </row>
    <row r="466" spans="11:15" x14ac:dyDescent="0.25">
      <c r="K466"/>
      <c r="L466"/>
      <c r="M466"/>
      <c r="N466"/>
      <c r="O466"/>
    </row>
    <row r="467" spans="11:15" x14ac:dyDescent="0.25">
      <c r="K467"/>
      <c r="L467"/>
      <c r="M467"/>
      <c r="N467"/>
      <c r="O467"/>
    </row>
    <row r="468" spans="11:15" x14ac:dyDescent="0.25">
      <c r="K468"/>
      <c r="L468"/>
      <c r="M468"/>
      <c r="N468"/>
      <c r="O468"/>
    </row>
    <row r="469" spans="11:15" x14ac:dyDescent="0.25">
      <c r="K469"/>
      <c r="L469"/>
      <c r="M469"/>
      <c r="N469"/>
      <c r="O469"/>
    </row>
    <row r="470" spans="11:15" x14ac:dyDescent="0.25">
      <c r="K470"/>
      <c r="L470"/>
      <c r="M470"/>
      <c r="N470"/>
      <c r="O470"/>
    </row>
    <row r="471" spans="11:15" x14ac:dyDescent="0.25">
      <c r="K471"/>
      <c r="L471"/>
      <c r="M471"/>
      <c r="N471"/>
      <c r="O471"/>
    </row>
    <row r="472" spans="11:15" x14ac:dyDescent="0.25">
      <c r="K472"/>
      <c r="L472"/>
      <c r="M472"/>
      <c r="N472"/>
      <c r="O472"/>
    </row>
    <row r="473" spans="11:15" x14ac:dyDescent="0.25">
      <c r="K473"/>
      <c r="L473"/>
      <c r="M473"/>
      <c r="N473"/>
      <c r="O473"/>
    </row>
    <row r="474" spans="11:15" x14ac:dyDescent="0.25">
      <c r="K474"/>
      <c r="L474"/>
      <c r="M474"/>
      <c r="N474"/>
      <c r="O474"/>
    </row>
    <row r="475" spans="11:15" x14ac:dyDescent="0.25">
      <c r="K475"/>
      <c r="L475"/>
      <c r="M475"/>
      <c r="N475"/>
      <c r="O475"/>
    </row>
    <row r="476" spans="11:15" x14ac:dyDescent="0.25">
      <c r="K476"/>
      <c r="L476"/>
      <c r="M476"/>
      <c r="N476"/>
      <c r="O476"/>
    </row>
    <row r="477" spans="11:15" x14ac:dyDescent="0.25">
      <c r="K477"/>
      <c r="L477"/>
      <c r="M477"/>
      <c r="N477"/>
      <c r="O477"/>
    </row>
    <row r="478" spans="11:15" x14ac:dyDescent="0.25">
      <c r="K478"/>
      <c r="L478"/>
      <c r="M478"/>
      <c r="N478"/>
      <c r="O478"/>
    </row>
    <row r="479" spans="11:15" x14ac:dyDescent="0.25">
      <c r="K479"/>
      <c r="L479"/>
      <c r="M479"/>
      <c r="N479"/>
      <c r="O479"/>
    </row>
    <row r="480" spans="11:15" x14ac:dyDescent="0.25">
      <c r="K480"/>
      <c r="L480"/>
      <c r="M480"/>
      <c r="N480"/>
      <c r="O480"/>
    </row>
    <row r="481" spans="11:15" x14ac:dyDescent="0.25">
      <c r="K481"/>
      <c r="L481"/>
      <c r="M481"/>
      <c r="N481"/>
      <c r="O481"/>
    </row>
    <row r="482" spans="11:15" x14ac:dyDescent="0.25">
      <c r="K482"/>
      <c r="L482"/>
      <c r="M482"/>
      <c r="N482"/>
      <c r="O482"/>
    </row>
    <row r="483" spans="11:15" x14ac:dyDescent="0.25">
      <c r="K483"/>
      <c r="L483"/>
      <c r="M483"/>
      <c r="N483"/>
      <c r="O483"/>
    </row>
    <row r="484" spans="11:15" x14ac:dyDescent="0.25">
      <c r="K484"/>
      <c r="L484"/>
      <c r="M484"/>
      <c r="N484"/>
      <c r="O484"/>
    </row>
    <row r="485" spans="11:15" x14ac:dyDescent="0.25">
      <c r="K485"/>
      <c r="L485"/>
      <c r="M485"/>
      <c r="N485"/>
      <c r="O485"/>
    </row>
    <row r="486" spans="11:15" x14ac:dyDescent="0.25">
      <c r="K486"/>
      <c r="L486"/>
      <c r="M486"/>
      <c r="N486"/>
      <c r="O486"/>
    </row>
    <row r="487" spans="11:15" x14ac:dyDescent="0.25">
      <c r="K487"/>
      <c r="L487"/>
      <c r="M487"/>
      <c r="N487"/>
      <c r="O487"/>
    </row>
    <row r="488" spans="11:15" x14ac:dyDescent="0.25">
      <c r="K488"/>
      <c r="L488"/>
      <c r="M488"/>
      <c r="N488"/>
      <c r="O488"/>
    </row>
    <row r="489" spans="11:15" x14ac:dyDescent="0.25">
      <c r="K489"/>
      <c r="L489"/>
      <c r="M489"/>
      <c r="N489"/>
      <c r="O489"/>
    </row>
    <row r="490" spans="11:15" x14ac:dyDescent="0.25">
      <c r="K490"/>
      <c r="L490"/>
      <c r="M490"/>
      <c r="N490"/>
      <c r="O490"/>
    </row>
    <row r="491" spans="11:15" x14ac:dyDescent="0.25">
      <c r="K491"/>
      <c r="L491"/>
      <c r="M491"/>
      <c r="N491"/>
      <c r="O491"/>
    </row>
    <row r="492" spans="11:15" x14ac:dyDescent="0.25">
      <c r="K492"/>
      <c r="L492"/>
      <c r="M492"/>
      <c r="N492"/>
      <c r="O492"/>
    </row>
    <row r="493" spans="11:15" x14ac:dyDescent="0.25">
      <c r="K493"/>
      <c r="L493"/>
      <c r="M493"/>
      <c r="N493"/>
      <c r="O493"/>
    </row>
    <row r="494" spans="11:15" x14ac:dyDescent="0.25">
      <c r="K494"/>
      <c r="L494"/>
      <c r="M494"/>
      <c r="N494"/>
      <c r="O494"/>
    </row>
    <row r="495" spans="11:15" x14ac:dyDescent="0.25">
      <c r="K495"/>
      <c r="L495"/>
      <c r="M495"/>
      <c r="N495"/>
      <c r="O495"/>
    </row>
    <row r="496" spans="11:15" x14ac:dyDescent="0.25">
      <c r="K496"/>
      <c r="L496"/>
      <c r="M496"/>
      <c r="N496"/>
      <c r="O496"/>
    </row>
    <row r="497" spans="11:15" x14ac:dyDescent="0.25">
      <c r="K497"/>
      <c r="L497"/>
      <c r="M497"/>
      <c r="N497"/>
      <c r="O497"/>
    </row>
    <row r="498" spans="11:15" x14ac:dyDescent="0.25">
      <c r="K498"/>
      <c r="L498"/>
      <c r="M498"/>
      <c r="N498"/>
      <c r="O498"/>
    </row>
    <row r="499" spans="11:15" x14ac:dyDescent="0.25">
      <c r="K499"/>
      <c r="L499"/>
      <c r="M499"/>
      <c r="N499"/>
      <c r="O499"/>
    </row>
    <row r="500" spans="11:15" x14ac:dyDescent="0.25">
      <c r="K500"/>
      <c r="L500"/>
      <c r="M500"/>
      <c r="N500"/>
      <c r="O500"/>
    </row>
    <row r="501" spans="11:15" x14ac:dyDescent="0.25">
      <c r="K501"/>
      <c r="L501"/>
      <c r="M501"/>
      <c r="N501"/>
      <c r="O501"/>
    </row>
    <row r="502" spans="11:15" x14ac:dyDescent="0.25">
      <c r="K502"/>
      <c r="L502"/>
      <c r="M502"/>
      <c r="N502"/>
      <c r="O502"/>
    </row>
    <row r="503" spans="11:15" x14ac:dyDescent="0.25">
      <c r="K503"/>
      <c r="L503"/>
      <c r="M503"/>
      <c r="N503"/>
      <c r="O503"/>
    </row>
    <row r="504" spans="11:15" x14ac:dyDescent="0.25">
      <c r="K504"/>
      <c r="L504"/>
      <c r="M504"/>
      <c r="N504"/>
      <c r="O504"/>
    </row>
    <row r="505" spans="11:15" x14ac:dyDescent="0.25">
      <c r="K505"/>
      <c r="L505"/>
      <c r="M505"/>
      <c r="N505"/>
      <c r="O505"/>
    </row>
    <row r="506" spans="11:15" x14ac:dyDescent="0.25">
      <c r="K506"/>
      <c r="L506"/>
      <c r="M506"/>
      <c r="N506"/>
      <c r="O506"/>
    </row>
    <row r="507" spans="11:15" x14ac:dyDescent="0.25">
      <c r="K507"/>
      <c r="L507"/>
      <c r="M507"/>
      <c r="N507"/>
      <c r="O507"/>
    </row>
    <row r="508" spans="11:15" x14ac:dyDescent="0.25">
      <c r="K508"/>
      <c r="L508"/>
      <c r="M508"/>
      <c r="N508"/>
      <c r="O508"/>
    </row>
    <row r="509" spans="11:15" x14ac:dyDescent="0.25">
      <c r="K509"/>
      <c r="L509"/>
      <c r="M509"/>
      <c r="N509"/>
      <c r="O509"/>
    </row>
    <row r="510" spans="11:15" x14ac:dyDescent="0.25">
      <c r="K510"/>
      <c r="L510"/>
      <c r="M510"/>
      <c r="N510"/>
      <c r="O510"/>
    </row>
    <row r="511" spans="11:15" x14ac:dyDescent="0.25">
      <c r="K511"/>
      <c r="L511"/>
      <c r="M511"/>
      <c r="N511"/>
      <c r="O511"/>
    </row>
    <row r="512" spans="11:15" x14ac:dyDescent="0.25">
      <c r="K512"/>
      <c r="L512"/>
      <c r="M512"/>
      <c r="N512"/>
      <c r="O512"/>
    </row>
    <row r="513" spans="11:15" x14ac:dyDescent="0.25">
      <c r="K513"/>
      <c r="L513"/>
      <c r="M513"/>
      <c r="N513"/>
      <c r="O513"/>
    </row>
    <row r="514" spans="11:15" x14ac:dyDescent="0.25">
      <c r="K514"/>
      <c r="L514"/>
      <c r="M514"/>
      <c r="N514"/>
      <c r="O514"/>
    </row>
    <row r="515" spans="11:15" x14ac:dyDescent="0.25">
      <c r="K515"/>
      <c r="L515"/>
      <c r="M515"/>
      <c r="N515"/>
      <c r="O515"/>
    </row>
    <row r="516" spans="11:15" x14ac:dyDescent="0.25">
      <c r="K516"/>
      <c r="L516"/>
      <c r="M516"/>
      <c r="N516"/>
      <c r="O516"/>
    </row>
    <row r="517" spans="11:15" x14ac:dyDescent="0.25">
      <c r="K517"/>
      <c r="L517"/>
      <c r="M517"/>
      <c r="N517"/>
      <c r="O517"/>
    </row>
    <row r="518" spans="11:15" x14ac:dyDescent="0.25">
      <c r="K518"/>
      <c r="L518"/>
      <c r="M518"/>
      <c r="N518"/>
      <c r="O518"/>
    </row>
    <row r="519" spans="11:15" x14ac:dyDescent="0.25">
      <c r="K519"/>
      <c r="L519"/>
      <c r="M519"/>
      <c r="N519"/>
      <c r="O519"/>
    </row>
    <row r="520" spans="11:15" x14ac:dyDescent="0.25">
      <c r="K520"/>
      <c r="L520"/>
      <c r="M520"/>
      <c r="N520"/>
      <c r="O520"/>
    </row>
    <row r="521" spans="11:15" x14ac:dyDescent="0.25">
      <c r="K521"/>
      <c r="L521"/>
      <c r="M521"/>
      <c r="N521"/>
      <c r="O521"/>
    </row>
    <row r="522" spans="11:15" x14ac:dyDescent="0.25">
      <c r="K522"/>
      <c r="L522"/>
      <c r="M522"/>
      <c r="N522"/>
      <c r="O522"/>
    </row>
    <row r="523" spans="11:15" x14ac:dyDescent="0.25">
      <c r="K523"/>
      <c r="L523"/>
      <c r="M523"/>
      <c r="N523"/>
      <c r="O523"/>
    </row>
    <row r="524" spans="11:15" x14ac:dyDescent="0.25">
      <c r="K524"/>
      <c r="L524"/>
      <c r="M524"/>
      <c r="N524"/>
      <c r="O524"/>
    </row>
    <row r="525" spans="11:15" x14ac:dyDescent="0.25">
      <c r="K525"/>
      <c r="L525"/>
      <c r="M525"/>
      <c r="N525"/>
      <c r="O525"/>
    </row>
    <row r="526" spans="11:15" x14ac:dyDescent="0.25">
      <c r="K526"/>
      <c r="L526"/>
      <c r="M526"/>
      <c r="N526"/>
      <c r="O526"/>
    </row>
    <row r="527" spans="11:15" x14ac:dyDescent="0.25">
      <c r="K527"/>
      <c r="L527"/>
      <c r="M527"/>
      <c r="N527"/>
      <c r="O527"/>
    </row>
    <row r="528" spans="11:15" x14ac:dyDescent="0.25">
      <c r="K528"/>
      <c r="L528"/>
      <c r="M528"/>
      <c r="N528"/>
      <c r="O528"/>
    </row>
    <row r="529" spans="11:15" x14ac:dyDescent="0.25">
      <c r="K529"/>
      <c r="L529"/>
      <c r="M529"/>
      <c r="N529"/>
      <c r="O529"/>
    </row>
    <row r="530" spans="11:15" x14ac:dyDescent="0.25">
      <c r="K530"/>
      <c r="L530"/>
      <c r="M530"/>
      <c r="N530"/>
      <c r="O530"/>
    </row>
    <row r="531" spans="11:15" x14ac:dyDescent="0.25">
      <c r="K531"/>
      <c r="L531"/>
      <c r="M531"/>
      <c r="N531"/>
      <c r="O531"/>
    </row>
    <row r="532" spans="11:15" x14ac:dyDescent="0.25">
      <c r="K532"/>
      <c r="L532"/>
      <c r="M532"/>
      <c r="N532"/>
      <c r="O532"/>
    </row>
    <row r="533" spans="11:15" x14ac:dyDescent="0.25">
      <c r="K533"/>
      <c r="L533"/>
      <c r="M533"/>
      <c r="N533"/>
      <c r="O533"/>
    </row>
    <row r="534" spans="11:15" x14ac:dyDescent="0.25">
      <c r="K534"/>
      <c r="L534"/>
      <c r="M534"/>
      <c r="N534"/>
      <c r="O534"/>
    </row>
    <row r="535" spans="11:15" x14ac:dyDescent="0.25">
      <c r="K535"/>
      <c r="L535"/>
      <c r="M535"/>
      <c r="N535"/>
      <c r="O535"/>
    </row>
    <row r="536" spans="11:15" x14ac:dyDescent="0.25">
      <c r="K536"/>
      <c r="L536"/>
      <c r="M536"/>
      <c r="N536"/>
      <c r="O536"/>
    </row>
    <row r="537" spans="11:15" x14ac:dyDescent="0.25">
      <c r="K537"/>
      <c r="L537"/>
      <c r="M537"/>
      <c r="N537"/>
      <c r="O537"/>
    </row>
    <row r="538" spans="11:15" x14ac:dyDescent="0.25">
      <c r="K538"/>
      <c r="L538"/>
      <c r="M538"/>
      <c r="N538"/>
      <c r="O538"/>
    </row>
    <row r="539" spans="11:15" x14ac:dyDescent="0.25">
      <c r="K539"/>
      <c r="L539"/>
      <c r="M539"/>
      <c r="N539"/>
      <c r="O539"/>
    </row>
    <row r="540" spans="11:15" x14ac:dyDescent="0.25">
      <c r="K540"/>
      <c r="L540"/>
      <c r="M540"/>
      <c r="N540"/>
      <c r="O540"/>
    </row>
    <row r="541" spans="11:15" x14ac:dyDescent="0.25">
      <c r="K541"/>
      <c r="L541"/>
      <c r="M541"/>
      <c r="N541"/>
      <c r="O541"/>
    </row>
    <row r="542" spans="11:15" x14ac:dyDescent="0.25">
      <c r="K542"/>
      <c r="L542"/>
      <c r="M542"/>
      <c r="N542"/>
      <c r="O542"/>
    </row>
    <row r="543" spans="11:15" x14ac:dyDescent="0.25">
      <c r="K543"/>
      <c r="L543"/>
      <c r="M543"/>
      <c r="N543"/>
      <c r="O543"/>
    </row>
    <row r="544" spans="11:15" x14ac:dyDescent="0.25">
      <c r="K544"/>
      <c r="L544"/>
      <c r="M544"/>
      <c r="N544"/>
      <c r="O544"/>
    </row>
    <row r="545" spans="11:15" x14ac:dyDescent="0.25">
      <c r="K545"/>
      <c r="L545"/>
      <c r="M545"/>
      <c r="N545"/>
      <c r="O545"/>
    </row>
    <row r="546" spans="11:15" x14ac:dyDescent="0.25">
      <c r="K546"/>
      <c r="L546"/>
      <c r="M546"/>
      <c r="N546"/>
      <c r="O546"/>
    </row>
    <row r="547" spans="11:15" x14ac:dyDescent="0.25">
      <c r="K547"/>
      <c r="L547"/>
      <c r="M547"/>
      <c r="N547"/>
      <c r="O547"/>
    </row>
    <row r="548" spans="11:15" x14ac:dyDescent="0.25">
      <c r="K548"/>
      <c r="L548"/>
      <c r="M548"/>
      <c r="N548"/>
      <c r="O548"/>
    </row>
    <row r="549" spans="11:15" x14ac:dyDescent="0.25">
      <c r="K549"/>
      <c r="L549"/>
      <c r="M549"/>
      <c r="N549"/>
      <c r="O549"/>
    </row>
    <row r="550" spans="11:15" x14ac:dyDescent="0.25">
      <c r="K550"/>
      <c r="L550"/>
      <c r="M550"/>
      <c r="N550"/>
      <c r="O550"/>
    </row>
    <row r="551" spans="11:15" x14ac:dyDescent="0.25">
      <c r="K551"/>
      <c r="L551"/>
      <c r="M551"/>
      <c r="N551"/>
      <c r="O551"/>
    </row>
    <row r="552" spans="11:15" x14ac:dyDescent="0.25">
      <c r="K552"/>
      <c r="L552"/>
      <c r="M552"/>
      <c r="N552"/>
      <c r="O552"/>
    </row>
    <row r="553" spans="11:15" x14ac:dyDescent="0.25">
      <c r="K553"/>
      <c r="L553"/>
      <c r="M553"/>
      <c r="N553"/>
      <c r="O553"/>
    </row>
    <row r="554" spans="11:15" x14ac:dyDescent="0.25">
      <c r="K554"/>
      <c r="L554"/>
      <c r="M554"/>
      <c r="N554"/>
      <c r="O554"/>
    </row>
    <row r="555" spans="11:15" x14ac:dyDescent="0.25">
      <c r="K555"/>
      <c r="L555"/>
      <c r="M555"/>
      <c r="N555"/>
      <c r="O555"/>
    </row>
    <row r="556" spans="11:15" x14ac:dyDescent="0.25">
      <c r="K556"/>
      <c r="L556"/>
      <c r="M556"/>
      <c r="N556"/>
      <c r="O556"/>
    </row>
    <row r="557" spans="11:15" x14ac:dyDescent="0.25">
      <c r="K557"/>
      <c r="L557"/>
      <c r="M557"/>
      <c r="N557"/>
      <c r="O557"/>
    </row>
    <row r="558" spans="11:15" x14ac:dyDescent="0.25">
      <c r="K558"/>
      <c r="L558"/>
      <c r="M558"/>
      <c r="N558"/>
      <c r="O558"/>
    </row>
    <row r="559" spans="11:15" x14ac:dyDescent="0.25">
      <c r="K559"/>
      <c r="L559"/>
      <c r="M559"/>
      <c r="N559"/>
      <c r="O559"/>
    </row>
    <row r="560" spans="11:15" x14ac:dyDescent="0.25">
      <c r="K560"/>
      <c r="L560"/>
      <c r="M560"/>
      <c r="N560"/>
      <c r="O560"/>
    </row>
    <row r="561" spans="11:15" x14ac:dyDescent="0.25">
      <c r="K561"/>
      <c r="L561"/>
      <c r="M561"/>
      <c r="N561"/>
      <c r="O561"/>
    </row>
    <row r="562" spans="11:15" x14ac:dyDescent="0.25">
      <c r="K562"/>
      <c r="L562"/>
      <c r="M562"/>
      <c r="N562"/>
      <c r="O562"/>
    </row>
    <row r="563" spans="11:15" x14ac:dyDescent="0.25">
      <c r="K563"/>
      <c r="L563"/>
      <c r="M563"/>
      <c r="N563"/>
      <c r="O563"/>
    </row>
    <row r="564" spans="11:15" x14ac:dyDescent="0.25">
      <c r="K564"/>
      <c r="L564"/>
      <c r="M564"/>
      <c r="N564"/>
      <c r="O564"/>
    </row>
    <row r="565" spans="11:15" x14ac:dyDescent="0.25">
      <c r="K565"/>
      <c r="L565"/>
      <c r="M565"/>
      <c r="N565"/>
      <c r="O565"/>
    </row>
    <row r="566" spans="11:15" x14ac:dyDescent="0.25">
      <c r="K566"/>
      <c r="L566"/>
      <c r="M566"/>
      <c r="N566"/>
      <c r="O566"/>
    </row>
    <row r="567" spans="11:15" x14ac:dyDescent="0.25">
      <c r="K567"/>
      <c r="L567"/>
      <c r="M567"/>
      <c r="N567"/>
      <c r="O567"/>
    </row>
    <row r="568" spans="11:15" x14ac:dyDescent="0.25">
      <c r="K568"/>
      <c r="L568"/>
      <c r="M568"/>
      <c r="N568"/>
      <c r="O568"/>
    </row>
    <row r="569" spans="11:15" x14ac:dyDescent="0.25">
      <c r="K569"/>
      <c r="L569"/>
      <c r="M569"/>
      <c r="N569"/>
      <c r="O569"/>
    </row>
    <row r="570" spans="11:15" x14ac:dyDescent="0.25">
      <c r="K570"/>
      <c r="L570"/>
      <c r="M570"/>
      <c r="N570"/>
      <c r="O570"/>
    </row>
    <row r="571" spans="11:15" x14ac:dyDescent="0.25">
      <c r="K571"/>
      <c r="L571"/>
      <c r="M571"/>
      <c r="N571"/>
      <c r="O571"/>
    </row>
    <row r="572" spans="11:15" x14ac:dyDescent="0.25">
      <c r="K572"/>
      <c r="L572"/>
      <c r="M572"/>
      <c r="N572"/>
      <c r="O572"/>
    </row>
    <row r="573" spans="11:15" x14ac:dyDescent="0.25">
      <c r="K573"/>
      <c r="L573"/>
      <c r="M573"/>
      <c r="N573"/>
      <c r="O573"/>
    </row>
    <row r="574" spans="11:15" x14ac:dyDescent="0.25">
      <c r="K574"/>
      <c r="L574"/>
      <c r="M574"/>
      <c r="N574"/>
      <c r="O574"/>
    </row>
    <row r="575" spans="11:15" x14ac:dyDescent="0.25">
      <c r="K575"/>
      <c r="L575"/>
      <c r="M575"/>
      <c r="N575"/>
      <c r="O575"/>
    </row>
    <row r="576" spans="11:15" x14ac:dyDescent="0.25">
      <c r="K576"/>
      <c r="L576"/>
      <c r="M576"/>
      <c r="N576"/>
      <c r="O576"/>
    </row>
    <row r="577" spans="11:15" x14ac:dyDescent="0.25">
      <c r="K577"/>
      <c r="L577"/>
      <c r="M577"/>
      <c r="N577"/>
      <c r="O577"/>
    </row>
    <row r="578" spans="11:15" x14ac:dyDescent="0.25">
      <c r="K578"/>
      <c r="L578"/>
      <c r="M578"/>
      <c r="N578"/>
      <c r="O578"/>
    </row>
    <row r="579" spans="11:15" x14ac:dyDescent="0.25">
      <c r="K579"/>
      <c r="L579"/>
      <c r="M579"/>
      <c r="N579"/>
      <c r="O579"/>
    </row>
    <row r="580" spans="11:15" x14ac:dyDescent="0.25">
      <c r="K580"/>
      <c r="L580"/>
      <c r="M580"/>
      <c r="N580"/>
      <c r="O580"/>
    </row>
    <row r="581" spans="11:15" x14ac:dyDescent="0.25">
      <c r="K581"/>
      <c r="L581"/>
      <c r="M581"/>
      <c r="N581"/>
      <c r="O581"/>
    </row>
    <row r="582" spans="11:15" x14ac:dyDescent="0.25">
      <c r="K582"/>
      <c r="L582"/>
      <c r="M582"/>
      <c r="N582"/>
      <c r="O582"/>
    </row>
    <row r="583" spans="11:15" x14ac:dyDescent="0.25">
      <c r="K583"/>
      <c r="L583"/>
      <c r="M583"/>
      <c r="N583"/>
      <c r="O583"/>
    </row>
    <row r="584" spans="11:15" x14ac:dyDescent="0.25">
      <c r="K584"/>
      <c r="L584"/>
      <c r="M584"/>
      <c r="N584"/>
      <c r="O584"/>
    </row>
    <row r="585" spans="11:15" x14ac:dyDescent="0.25">
      <c r="K585"/>
      <c r="L585"/>
      <c r="M585"/>
      <c r="N585"/>
      <c r="O585"/>
    </row>
    <row r="586" spans="11:15" x14ac:dyDescent="0.25">
      <c r="K586"/>
      <c r="L586"/>
      <c r="M586"/>
      <c r="N586"/>
      <c r="O586"/>
    </row>
    <row r="587" spans="11:15" x14ac:dyDescent="0.25">
      <c r="K587"/>
      <c r="L587"/>
      <c r="M587"/>
      <c r="N587"/>
      <c r="O587"/>
    </row>
    <row r="588" spans="11:15" x14ac:dyDescent="0.25">
      <c r="K588"/>
      <c r="L588"/>
      <c r="M588"/>
      <c r="N588"/>
      <c r="O588"/>
    </row>
    <row r="589" spans="11:15" x14ac:dyDescent="0.25">
      <c r="K589"/>
      <c r="L589"/>
      <c r="M589"/>
      <c r="N589"/>
      <c r="O589"/>
    </row>
    <row r="590" spans="11:15" x14ac:dyDescent="0.25">
      <c r="K590"/>
      <c r="L590"/>
      <c r="M590"/>
      <c r="N590"/>
      <c r="O590"/>
    </row>
    <row r="591" spans="11:15" x14ac:dyDescent="0.25">
      <c r="K591"/>
      <c r="L591"/>
      <c r="M591"/>
      <c r="N591"/>
      <c r="O591"/>
    </row>
    <row r="592" spans="11:15" x14ac:dyDescent="0.25">
      <c r="K592"/>
      <c r="L592"/>
      <c r="M592"/>
      <c r="N592"/>
      <c r="O592"/>
    </row>
    <row r="593" spans="11:15" x14ac:dyDescent="0.25">
      <c r="K593"/>
      <c r="L593"/>
      <c r="M593"/>
      <c r="N593"/>
      <c r="O593"/>
    </row>
    <row r="594" spans="11:15" x14ac:dyDescent="0.25">
      <c r="K594"/>
      <c r="L594"/>
      <c r="M594"/>
      <c r="N594"/>
      <c r="O594"/>
    </row>
    <row r="595" spans="11:15" x14ac:dyDescent="0.25">
      <c r="K595"/>
      <c r="L595"/>
      <c r="M595"/>
      <c r="N595"/>
      <c r="O595"/>
    </row>
    <row r="596" spans="11:15" x14ac:dyDescent="0.25">
      <c r="K596"/>
      <c r="L596"/>
      <c r="M596"/>
      <c r="N596"/>
      <c r="O596"/>
    </row>
    <row r="597" spans="11:15" x14ac:dyDescent="0.25">
      <c r="K597"/>
      <c r="L597"/>
      <c r="M597"/>
      <c r="N597"/>
      <c r="O597"/>
    </row>
    <row r="598" spans="11:15" x14ac:dyDescent="0.25">
      <c r="K598"/>
      <c r="L598"/>
      <c r="M598"/>
      <c r="N598"/>
      <c r="O598"/>
    </row>
    <row r="599" spans="11:15" x14ac:dyDescent="0.25">
      <c r="K599"/>
      <c r="L599"/>
      <c r="M599"/>
      <c r="N599"/>
      <c r="O599"/>
    </row>
    <row r="600" spans="11:15" x14ac:dyDescent="0.25">
      <c r="K600"/>
      <c r="L600"/>
      <c r="M600"/>
      <c r="N600"/>
      <c r="O600"/>
    </row>
    <row r="601" spans="11:15" x14ac:dyDescent="0.25">
      <c r="K601"/>
      <c r="L601"/>
      <c r="M601"/>
      <c r="N601"/>
      <c r="O601"/>
    </row>
    <row r="602" spans="11:15" x14ac:dyDescent="0.25">
      <c r="K602"/>
      <c r="L602"/>
      <c r="M602"/>
      <c r="N602"/>
      <c r="O602"/>
    </row>
    <row r="603" spans="11:15" x14ac:dyDescent="0.25">
      <c r="K603"/>
      <c r="L603"/>
      <c r="M603"/>
      <c r="N603"/>
      <c r="O603"/>
    </row>
    <row r="604" spans="11:15" x14ac:dyDescent="0.25">
      <c r="K604"/>
      <c r="L604"/>
      <c r="M604"/>
      <c r="N604"/>
      <c r="O604"/>
    </row>
    <row r="605" spans="11:15" x14ac:dyDescent="0.25">
      <c r="K605"/>
      <c r="L605"/>
      <c r="M605"/>
      <c r="N605"/>
      <c r="O605"/>
    </row>
    <row r="606" spans="11:15" x14ac:dyDescent="0.25">
      <c r="K606"/>
      <c r="L606"/>
      <c r="M606"/>
      <c r="N606"/>
      <c r="O606"/>
    </row>
    <row r="607" spans="11:15" x14ac:dyDescent="0.25">
      <c r="K607"/>
      <c r="L607"/>
      <c r="M607"/>
      <c r="N607"/>
      <c r="O607"/>
    </row>
    <row r="608" spans="11:15" x14ac:dyDescent="0.25">
      <c r="K608"/>
      <c r="L608"/>
      <c r="M608"/>
      <c r="N608"/>
      <c r="O608"/>
    </row>
    <row r="609" spans="11:15" x14ac:dyDescent="0.25">
      <c r="K609"/>
      <c r="L609"/>
      <c r="M609"/>
      <c r="N609"/>
      <c r="O609"/>
    </row>
    <row r="610" spans="11:15" x14ac:dyDescent="0.25">
      <c r="K610"/>
      <c r="L610"/>
      <c r="M610"/>
      <c r="N610"/>
      <c r="O610"/>
    </row>
    <row r="611" spans="11:15" x14ac:dyDescent="0.25">
      <c r="K611"/>
      <c r="L611"/>
      <c r="M611"/>
      <c r="N611"/>
      <c r="O611"/>
    </row>
    <row r="612" spans="11:15" x14ac:dyDescent="0.25">
      <c r="K612"/>
      <c r="L612"/>
      <c r="M612"/>
      <c r="N612"/>
      <c r="O612"/>
    </row>
    <row r="613" spans="11:15" x14ac:dyDescent="0.25">
      <c r="K613"/>
      <c r="L613"/>
      <c r="M613"/>
      <c r="N613"/>
      <c r="O613"/>
    </row>
    <row r="614" spans="11:15" x14ac:dyDescent="0.25">
      <c r="K614"/>
      <c r="L614"/>
      <c r="M614"/>
      <c r="N614"/>
      <c r="O614"/>
    </row>
    <row r="615" spans="11:15" x14ac:dyDescent="0.25">
      <c r="K615"/>
      <c r="L615"/>
      <c r="M615"/>
      <c r="N615"/>
      <c r="O615"/>
    </row>
    <row r="616" spans="11:15" x14ac:dyDescent="0.25">
      <c r="K616"/>
      <c r="L616"/>
      <c r="M616"/>
      <c r="N616"/>
      <c r="O616"/>
    </row>
    <row r="617" spans="11:15" x14ac:dyDescent="0.25">
      <c r="K617"/>
      <c r="L617"/>
      <c r="M617"/>
      <c r="N617"/>
      <c r="O617"/>
    </row>
    <row r="618" spans="11:15" x14ac:dyDescent="0.25">
      <c r="K618"/>
      <c r="L618"/>
      <c r="M618"/>
      <c r="N618"/>
      <c r="O618"/>
    </row>
    <row r="619" spans="11:15" x14ac:dyDescent="0.25">
      <c r="K619"/>
      <c r="L619"/>
      <c r="M619"/>
      <c r="N619"/>
      <c r="O619"/>
    </row>
    <row r="620" spans="11:15" x14ac:dyDescent="0.25">
      <c r="K620"/>
      <c r="L620"/>
      <c r="M620"/>
      <c r="N620"/>
      <c r="O620"/>
    </row>
    <row r="621" spans="11:15" x14ac:dyDescent="0.25">
      <c r="K621"/>
      <c r="L621"/>
      <c r="M621"/>
      <c r="N621"/>
      <c r="O621"/>
    </row>
    <row r="622" spans="11:15" x14ac:dyDescent="0.25">
      <c r="K622"/>
      <c r="L622"/>
      <c r="M622"/>
      <c r="N622"/>
      <c r="O622"/>
    </row>
    <row r="623" spans="11:15" x14ac:dyDescent="0.25">
      <c r="K623"/>
      <c r="L623"/>
      <c r="M623"/>
      <c r="N623"/>
      <c r="O623"/>
    </row>
    <row r="624" spans="11:15" x14ac:dyDescent="0.25">
      <c r="K624"/>
      <c r="L624"/>
      <c r="M624"/>
      <c r="N624"/>
      <c r="O624"/>
    </row>
    <row r="625" spans="11:15" x14ac:dyDescent="0.25">
      <c r="K625"/>
      <c r="L625"/>
      <c r="M625"/>
      <c r="N625"/>
      <c r="O625"/>
    </row>
    <row r="626" spans="11:15" x14ac:dyDescent="0.25">
      <c r="K626"/>
      <c r="L626"/>
      <c r="M626"/>
      <c r="N626"/>
      <c r="O626"/>
    </row>
    <row r="627" spans="11:15" x14ac:dyDescent="0.25">
      <c r="K627"/>
      <c r="L627"/>
      <c r="M627"/>
      <c r="N627"/>
      <c r="O627"/>
    </row>
    <row r="628" spans="11:15" x14ac:dyDescent="0.25">
      <c r="K628"/>
      <c r="L628"/>
      <c r="M628"/>
      <c r="N628"/>
      <c r="O628"/>
    </row>
    <row r="629" spans="11:15" x14ac:dyDescent="0.25">
      <c r="K629"/>
      <c r="L629"/>
      <c r="M629"/>
      <c r="N629"/>
      <c r="O629"/>
    </row>
    <row r="630" spans="11:15" x14ac:dyDescent="0.25">
      <c r="K630"/>
      <c r="L630"/>
      <c r="M630"/>
      <c r="N630"/>
      <c r="O630"/>
    </row>
    <row r="631" spans="11:15" x14ac:dyDescent="0.25">
      <c r="K631"/>
      <c r="L631"/>
      <c r="M631"/>
      <c r="N631"/>
      <c r="O631"/>
    </row>
    <row r="632" spans="11:15" x14ac:dyDescent="0.25">
      <c r="K632"/>
      <c r="L632"/>
      <c r="M632"/>
      <c r="N632"/>
      <c r="O632"/>
    </row>
    <row r="633" spans="11:15" x14ac:dyDescent="0.25">
      <c r="K633"/>
      <c r="L633"/>
      <c r="M633"/>
      <c r="N633"/>
      <c r="O633"/>
    </row>
    <row r="634" spans="11:15" x14ac:dyDescent="0.25">
      <c r="K634"/>
      <c r="L634"/>
      <c r="M634"/>
      <c r="N634"/>
      <c r="O634"/>
    </row>
    <row r="635" spans="11:15" x14ac:dyDescent="0.25">
      <c r="K635"/>
      <c r="L635"/>
      <c r="M635"/>
      <c r="N635"/>
      <c r="O635"/>
    </row>
    <row r="636" spans="11:15" x14ac:dyDescent="0.25">
      <c r="K636"/>
      <c r="L636"/>
      <c r="M636"/>
      <c r="N636"/>
      <c r="O636"/>
    </row>
    <row r="637" spans="11:15" x14ac:dyDescent="0.25">
      <c r="K637"/>
      <c r="L637"/>
      <c r="M637"/>
      <c r="N637"/>
      <c r="O637"/>
    </row>
    <row r="638" spans="11:15" x14ac:dyDescent="0.25">
      <c r="K638"/>
      <c r="L638"/>
      <c r="M638"/>
      <c r="N638"/>
      <c r="O638"/>
    </row>
    <row r="639" spans="11:15" x14ac:dyDescent="0.25">
      <c r="K639"/>
      <c r="L639"/>
      <c r="M639"/>
      <c r="N639"/>
      <c r="O639"/>
    </row>
    <row r="640" spans="11:15" x14ac:dyDescent="0.25">
      <c r="K640"/>
      <c r="L640"/>
      <c r="M640"/>
      <c r="N640"/>
      <c r="O640"/>
    </row>
    <row r="641" spans="11:15" x14ac:dyDescent="0.25">
      <c r="K641"/>
      <c r="L641"/>
      <c r="M641"/>
      <c r="N641"/>
      <c r="O641"/>
    </row>
    <row r="642" spans="11:15" x14ac:dyDescent="0.25">
      <c r="K642"/>
      <c r="L642"/>
      <c r="M642"/>
      <c r="N642"/>
      <c r="O642"/>
    </row>
    <row r="643" spans="11:15" x14ac:dyDescent="0.25">
      <c r="K643"/>
      <c r="L643"/>
      <c r="M643"/>
      <c r="N643"/>
      <c r="O643"/>
    </row>
    <row r="644" spans="11:15" x14ac:dyDescent="0.25">
      <c r="K644"/>
      <c r="L644"/>
      <c r="M644"/>
      <c r="N644"/>
      <c r="O644"/>
    </row>
    <row r="645" spans="11:15" x14ac:dyDescent="0.25">
      <c r="K645"/>
      <c r="L645"/>
      <c r="M645"/>
      <c r="N645"/>
      <c r="O645"/>
    </row>
    <row r="646" spans="11:15" x14ac:dyDescent="0.25">
      <c r="K646"/>
      <c r="L646"/>
      <c r="M646"/>
      <c r="N646"/>
      <c r="O646"/>
    </row>
    <row r="647" spans="11:15" x14ac:dyDescent="0.25">
      <c r="K647"/>
      <c r="L647"/>
      <c r="M647"/>
      <c r="N647"/>
      <c r="O647"/>
    </row>
    <row r="648" spans="11:15" x14ac:dyDescent="0.25">
      <c r="K648"/>
      <c r="L648"/>
      <c r="M648"/>
      <c r="N648"/>
      <c r="O648"/>
    </row>
    <row r="649" spans="11:15" x14ac:dyDescent="0.25">
      <c r="K649"/>
      <c r="L649"/>
      <c r="M649"/>
      <c r="N649"/>
      <c r="O649"/>
    </row>
    <row r="650" spans="11:15" x14ac:dyDescent="0.25">
      <c r="K650"/>
      <c r="L650"/>
      <c r="M650"/>
      <c r="N650"/>
      <c r="O650"/>
    </row>
    <row r="651" spans="11:15" x14ac:dyDescent="0.25">
      <c r="K651"/>
      <c r="L651"/>
      <c r="M651"/>
      <c r="N651"/>
      <c r="O651"/>
    </row>
    <row r="652" spans="11:15" x14ac:dyDescent="0.25">
      <c r="K652"/>
      <c r="L652"/>
      <c r="M652"/>
      <c r="N652"/>
      <c r="O652"/>
    </row>
    <row r="653" spans="11:15" x14ac:dyDescent="0.25">
      <c r="K653"/>
      <c r="L653"/>
      <c r="M653"/>
      <c r="N653"/>
      <c r="O653"/>
    </row>
    <row r="654" spans="11:15" x14ac:dyDescent="0.25">
      <c r="K654"/>
      <c r="L654"/>
      <c r="M654"/>
      <c r="N654"/>
      <c r="O654"/>
    </row>
    <row r="655" spans="11:15" x14ac:dyDescent="0.25">
      <c r="K655"/>
      <c r="L655"/>
      <c r="M655"/>
      <c r="N655"/>
      <c r="O655"/>
    </row>
    <row r="656" spans="11:15" x14ac:dyDescent="0.25">
      <c r="K656"/>
      <c r="L656"/>
      <c r="M656"/>
      <c r="N656"/>
      <c r="O656"/>
    </row>
    <row r="657" spans="11:15" x14ac:dyDescent="0.25">
      <c r="K657"/>
      <c r="L657"/>
      <c r="M657"/>
      <c r="N657"/>
      <c r="O657"/>
    </row>
    <row r="658" spans="11:15" x14ac:dyDescent="0.25">
      <c r="K658"/>
      <c r="L658"/>
      <c r="M658"/>
      <c r="N658"/>
      <c r="O658"/>
    </row>
    <row r="659" spans="11:15" x14ac:dyDescent="0.25">
      <c r="K659"/>
      <c r="L659"/>
      <c r="M659"/>
      <c r="N659"/>
      <c r="O659"/>
    </row>
    <row r="660" spans="11:15" x14ac:dyDescent="0.25">
      <c r="K660"/>
      <c r="L660"/>
      <c r="M660"/>
      <c r="N660"/>
      <c r="O660"/>
    </row>
    <row r="661" spans="11:15" x14ac:dyDescent="0.25">
      <c r="K661"/>
      <c r="L661"/>
      <c r="M661"/>
      <c r="N661"/>
      <c r="O661"/>
    </row>
    <row r="662" spans="11:15" x14ac:dyDescent="0.25">
      <c r="K662"/>
      <c r="L662"/>
      <c r="M662"/>
      <c r="N662"/>
      <c r="O662"/>
    </row>
    <row r="663" spans="11:15" x14ac:dyDescent="0.25">
      <c r="K663"/>
      <c r="L663"/>
      <c r="M663"/>
      <c r="N663"/>
      <c r="O663"/>
    </row>
    <row r="664" spans="11:15" x14ac:dyDescent="0.25">
      <c r="K664"/>
      <c r="L664"/>
      <c r="M664"/>
      <c r="N664"/>
      <c r="O664"/>
    </row>
    <row r="665" spans="11:15" x14ac:dyDescent="0.25">
      <c r="K665"/>
      <c r="L665"/>
      <c r="M665"/>
      <c r="N665"/>
      <c r="O665"/>
    </row>
    <row r="666" spans="11:15" x14ac:dyDescent="0.25">
      <c r="K666"/>
      <c r="L666"/>
      <c r="M666"/>
      <c r="N666"/>
      <c r="O666"/>
    </row>
    <row r="667" spans="11:15" x14ac:dyDescent="0.25">
      <c r="K667"/>
      <c r="L667"/>
      <c r="M667"/>
      <c r="N667"/>
      <c r="O667"/>
    </row>
    <row r="668" spans="11:15" x14ac:dyDescent="0.25">
      <c r="K668"/>
      <c r="L668"/>
      <c r="M668"/>
      <c r="N668"/>
      <c r="O668"/>
    </row>
    <row r="669" spans="11:15" x14ac:dyDescent="0.25">
      <c r="K669"/>
      <c r="L669"/>
      <c r="M669"/>
      <c r="N669"/>
      <c r="O669"/>
    </row>
    <row r="670" spans="11:15" x14ac:dyDescent="0.25">
      <c r="K670"/>
      <c r="L670"/>
      <c r="M670"/>
      <c r="N670"/>
      <c r="O670"/>
    </row>
    <row r="671" spans="11:15" x14ac:dyDescent="0.25">
      <c r="K671"/>
      <c r="L671"/>
      <c r="M671"/>
      <c r="N671"/>
      <c r="O671"/>
    </row>
    <row r="672" spans="11:15" x14ac:dyDescent="0.25">
      <c r="K672"/>
      <c r="L672"/>
      <c r="M672"/>
      <c r="N672"/>
      <c r="O672"/>
    </row>
    <row r="673" spans="11:15" x14ac:dyDescent="0.25">
      <c r="K673"/>
      <c r="L673"/>
      <c r="M673"/>
      <c r="N673"/>
      <c r="O673"/>
    </row>
    <row r="674" spans="11:15" x14ac:dyDescent="0.25">
      <c r="K674"/>
      <c r="L674"/>
      <c r="M674"/>
      <c r="N674"/>
      <c r="O674"/>
    </row>
    <row r="675" spans="11:15" x14ac:dyDescent="0.25">
      <c r="K675"/>
      <c r="L675"/>
      <c r="M675"/>
      <c r="N675"/>
      <c r="O675"/>
    </row>
    <row r="676" spans="11:15" x14ac:dyDescent="0.25">
      <c r="K676"/>
      <c r="L676"/>
      <c r="M676"/>
      <c r="N676"/>
      <c r="O676"/>
    </row>
    <row r="677" spans="11:15" x14ac:dyDescent="0.25">
      <c r="K677"/>
      <c r="L677"/>
      <c r="M677"/>
      <c r="N677"/>
      <c r="O677"/>
    </row>
    <row r="678" spans="11:15" x14ac:dyDescent="0.25">
      <c r="K678"/>
      <c r="L678"/>
      <c r="M678"/>
      <c r="N678"/>
      <c r="O678"/>
    </row>
    <row r="679" spans="11:15" x14ac:dyDescent="0.25">
      <c r="K679"/>
      <c r="L679"/>
      <c r="M679"/>
      <c r="N679"/>
      <c r="O679"/>
    </row>
    <row r="680" spans="11:15" x14ac:dyDescent="0.25">
      <c r="K680"/>
      <c r="L680"/>
      <c r="M680"/>
      <c r="N680"/>
      <c r="O680"/>
    </row>
    <row r="681" spans="11:15" x14ac:dyDescent="0.25">
      <c r="K681"/>
      <c r="L681"/>
      <c r="M681"/>
      <c r="N681"/>
      <c r="O681"/>
    </row>
    <row r="682" spans="11:15" x14ac:dyDescent="0.25">
      <c r="K682"/>
      <c r="L682"/>
      <c r="M682"/>
      <c r="N682"/>
      <c r="O682"/>
    </row>
    <row r="683" spans="11:15" x14ac:dyDescent="0.25">
      <c r="K683"/>
      <c r="L683"/>
      <c r="M683"/>
      <c r="N683"/>
      <c r="O683"/>
    </row>
    <row r="684" spans="11:15" x14ac:dyDescent="0.25">
      <c r="K684"/>
      <c r="L684"/>
      <c r="M684"/>
      <c r="N684"/>
      <c r="O684"/>
    </row>
    <row r="685" spans="11:15" x14ac:dyDescent="0.25">
      <c r="K685"/>
      <c r="L685"/>
      <c r="M685"/>
      <c r="N685"/>
      <c r="O685"/>
    </row>
    <row r="686" spans="11:15" x14ac:dyDescent="0.25">
      <c r="K686"/>
      <c r="L686"/>
      <c r="M686"/>
      <c r="N686"/>
      <c r="O686"/>
    </row>
    <row r="687" spans="11:15" x14ac:dyDescent="0.25">
      <c r="K687"/>
      <c r="L687"/>
      <c r="M687"/>
      <c r="N687"/>
      <c r="O687"/>
    </row>
    <row r="688" spans="11:15" x14ac:dyDescent="0.25">
      <c r="K688"/>
      <c r="L688"/>
      <c r="M688"/>
      <c r="N688"/>
      <c r="O688"/>
    </row>
    <row r="689" spans="11:15" x14ac:dyDescent="0.25">
      <c r="K689"/>
      <c r="L689"/>
      <c r="M689"/>
      <c r="N689"/>
      <c r="O689"/>
    </row>
    <row r="690" spans="11:15" x14ac:dyDescent="0.25">
      <c r="K690"/>
      <c r="L690"/>
      <c r="M690"/>
      <c r="N690"/>
      <c r="O690"/>
    </row>
    <row r="691" spans="11:15" x14ac:dyDescent="0.25">
      <c r="K691"/>
      <c r="L691"/>
      <c r="M691"/>
      <c r="N691"/>
      <c r="O691"/>
    </row>
    <row r="692" spans="11:15" x14ac:dyDescent="0.25">
      <c r="K692"/>
      <c r="L692"/>
      <c r="M692"/>
      <c r="N692"/>
      <c r="O692"/>
    </row>
    <row r="693" spans="11:15" x14ac:dyDescent="0.25">
      <c r="K693"/>
      <c r="L693"/>
      <c r="M693"/>
      <c r="N693"/>
      <c r="O693"/>
    </row>
    <row r="694" spans="11:15" x14ac:dyDescent="0.25">
      <c r="K694"/>
      <c r="L694"/>
      <c r="M694"/>
      <c r="N694"/>
      <c r="O694"/>
    </row>
    <row r="695" spans="11:15" x14ac:dyDescent="0.25">
      <c r="K695"/>
      <c r="L695"/>
      <c r="M695"/>
      <c r="N695"/>
      <c r="O695"/>
    </row>
    <row r="696" spans="11:15" x14ac:dyDescent="0.25">
      <c r="K696"/>
      <c r="L696"/>
      <c r="M696"/>
      <c r="N696"/>
      <c r="O696"/>
    </row>
    <row r="697" spans="11:15" x14ac:dyDescent="0.25">
      <c r="K697"/>
      <c r="L697"/>
      <c r="M697"/>
      <c r="N697"/>
      <c r="O697"/>
    </row>
    <row r="698" spans="11:15" x14ac:dyDescent="0.25">
      <c r="K698"/>
      <c r="L698"/>
      <c r="M698"/>
      <c r="N698"/>
      <c r="O698"/>
    </row>
    <row r="699" spans="11:15" x14ac:dyDescent="0.25">
      <c r="K699"/>
      <c r="L699"/>
      <c r="M699"/>
      <c r="N699"/>
      <c r="O699"/>
    </row>
    <row r="700" spans="11:15" x14ac:dyDescent="0.25">
      <c r="K700"/>
      <c r="L700"/>
      <c r="M700"/>
      <c r="N700"/>
      <c r="O700"/>
    </row>
    <row r="701" spans="11:15" x14ac:dyDescent="0.25">
      <c r="K701"/>
      <c r="L701"/>
      <c r="M701"/>
      <c r="N701"/>
      <c r="O701"/>
    </row>
    <row r="702" spans="11:15" x14ac:dyDescent="0.25">
      <c r="K702"/>
      <c r="L702"/>
      <c r="M702"/>
      <c r="N702"/>
      <c r="O702"/>
    </row>
    <row r="703" spans="11:15" x14ac:dyDescent="0.25">
      <c r="K703"/>
      <c r="L703"/>
      <c r="M703"/>
      <c r="N703"/>
      <c r="O703"/>
    </row>
    <row r="704" spans="11:15" x14ac:dyDescent="0.25">
      <c r="K704"/>
      <c r="L704"/>
      <c r="M704"/>
      <c r="N704"/>
      <c r="O704"/>
    </row>
    <row r="705" spans="11:15" x14ac:dyDescent="0.25">
      <c r="K705"/>
      <c r="L705"/>
      <c r="M705"/>
      <c r="N705"/>
      <c r="O705"/>
    </row>
    <row r="706" spans="11:15" x14ac:dyDescent="0.25">
      <c r="K706"/>
      <c r="L706"/>
      <c r="M706"/>
      <c r="N706"/>
      <c r="O706"/>
    </row>
    <row r="707" spans="11:15" x14ac:dyDescent="0.25">
      <c r="K707"/>
      <c r="L707"/>
      <c r="M707"/>
      <c r="N707"/>
      <c r="O707"/>
    </row>
    <row r="708" spans="11:15" x14ac:dyDescent="0.25">
      <c r="K708"/>
      <c r="L708"/>
      <c r="M708"/>
      <c r="N708"/>
      <c r="O708"/>
    </row>
    <row r="709" spans="11:15" x14ac:dyDescent="0.25">
      <c r="K709"/>
      <c r="L709"/>
      <c r="M709"/>
      <c r="N709"/>
      <c r="O709"/>
    </row>
    <row r="710" spans="11:15" x14ac:dyDescent="0.25">
      <c r="K710"/>
      <c r="L710"/>
      <c r="M710"/>
      <c r="N710"/>
      <c r="O710"/>
    </row>
    <row r="711" spans="11:15" x14ac:dyDescent="0.25">
      <c r="K711"/>
      <c r="L711"/>
      <c r="M711"/>
      <c r="N711"/>
      <c r="O711"/>
    </row>
    <row r="712" spans="11:15" x14ac:dyDescent="0.25">
      <c r="K712"/>
      <c r="L712"/>
      <c r="M712"/>
      <c r="N712"/>
      <c r="O712"/>
    </row>
    <row r="713" spans="11:15" x14ac:dyDescent="0.25">
      <c r="K713"/>
      <c r="L713"/>
      <c r="M713"/>
      <c r="N713"/>
      <c r="O713"/>
    </row>
    <row r="714" spans="11:15" x14ac:dyDescent="0.25">
      <c r="K714"/>
      <c r="L714"/>
      <c r="M714"/>
      <c r="N714"/>
      <c r="O714"/>
    </row>
    <row r="715" spans="11:15" x14ac:dyDescent="0.25">
      <c r="K715"/>
      <c r="L715"/>
      <c r="M715"/>
      <c r="N715"/>
      <c r="O715"/>
    </row>
    <row r="716" spans="11:15" x14ac:dyDescent="0.25">
      <c r="K716"/>
      <c r="L716"/>
      <c r="M716"/>
      <c r="N716"/>
      <c r="O716"/>
    </row>
    <row r="717" spans="11:15" x14ac:dyDescent="0.25">
      <c r="K717"/>
      <c r="L717"/>
      <c r="M717"/>
      <c r="N717"/>
      <c r="O717"/>
    </row>
    <row r="718" spans="11:15" x14ac:dyDescent="0.25">
      <c r="K718"/>
      <c r="L718"/>
      <c r="M718"/>
      <c r="N718"/>
      <c r="O718"/>
    </row>
    <row r="719" spans="11:15" x14ac:dyDescent="0.25">
      <c r="K719"/>
      <c r="L719"/>
      <c r="M719"/>
      <c r="N719"/>
      <c r="O719"/>
    </row>
    <row r="720" spans="11:15" x14ac:dyDescent="0.25">
      <c r="K720"/>
      <c r="L720"/>
      <c r="M720"/>
      <c r="N720"/>
      <c r="O720"/>
    </row>
    <row r="721" spans="11:15" x14ac:dyDescent="0.25">
      <c r="K721"/>
      <c r="L721"/>
      <c r="M721"/>
      <c r="N721"/>
      <c r="O721"/>
    </row>
    <row r="722" spans="11:15" x14ac:dyDescent="0.25">
      <c r="K722"/>
      <c r="L722"/>
      <c r="M722"/>
      <c r="N722"/>
      <c r="O722"/>
    </row>
    <row r="723" spans="11:15" x14ac:dyDescent="0.25">
      <c r="K723"/>
      <c r="L723"/>
      <c r="M723"/>
      <c r="N723"/>
      <c r="O723"/>
    </row>
    <row r="724" spans="11:15" x14ac:dyDescent="0.25">
      <c r="K724"/>
      <c r="L724"/>
      <c r="M724"/>
      <c r="N724"/>
      <c r="O724"/>
    </row>
    <row r="725" spans="11:15" x14ac:dyDescent="0.25">
      <c r="K725"/>
      <c r="L725"/>
      <c r="M725"/>
      <c r="N725"/>
      <c r="O725"/>
    </row>
    <row r="726" spans="11:15" x14ac:dyDescent="0.25">
      <c r="K726"/>
      <c r="L726"/>
      <c r="M726"/>
      <c r="N726"/>
      <c r="O726"/>
    </row>
    <row r="727" spans="11:15" x14ac:dyDescent="0.25">
      <c r="K727"/>
      <c r="L727"/>
      <c r="M727"/>
      <c r="N727"/>
      <c r="O727"/>
    </row>
    <row r="728" spans="11:15" x14ac:dyDescent="0.25">
      <c r="K728"/>
      <c r="L728"/>
      <c r="M728"/>
      <c r="N728"/>
      <c r="O728"/>
    </row>
    <row r="729" spans="11:15" x14ac:dyDescent="0.25">
      <c r="K729"/>
      <c r="L729"/>
      <c r="M729"/>
      <c r="N729"/>
      <c r="O729"/>
    </row>
    <row r="730" spans="11:15" x14ac:dyDescent="0.25">
      <c r="K730"/>
      <c r="L730"/>
      <c r="M730"/>
      <c r="N730"/>
      <c r="O730"/>
    </row>
    <row r="731" spans="11:15" x14ac:dyDescent="0.25">
      <c r="K731"/>
      <c r="L731"/>
      <c r="M731"/>
      <c r="N731"/>
      <c r="O731"/>
    </row>
    <row r="732" spans="11:15" x14ac:dyDescent="0.25">
      <c r="K732"/>
      <c r="L732"/>
      <c r="M732"/>
      <c r="N732"/>
      <c r="O732"/>
    </row>
    <row r="733" spans="11:15" x14ac:dyDescent="0.25">
      <c r="K733"/>
      <c r="L733"/>
      <c r="M733"/>
      <c r="N733"/>
      <c r="O733"/>
    </row>
    <row r="734" spans="11:15" x14ac:dyDescent="0.25">
      <c r="K734"/>
      <c r="L734"/>
      <c r="M734"/>
      <c r="N734"/>
      <c r="O734"/>
    </row>
    <row r="735" spans="11:15" x14ac:dyDescent="0.25">
      <c r="K735"/>
      <c r="L735"/>
      <c r="M735"/>
      <c r="N735"/>
      <c r="O735"/>
    </row>
    <row r="736" spans="11:15" x14ac:dyDescent="0.25">
      <c r="K736"/>
      <c r="L736"/>
      <c r="M736"/>
      <c r="N736"/>
      <c r="O736"/>
    </row>
    <row r="737" spans="11:15" x14ac:dyDescent="0.25">
      <c r="K737"/>
      <c r="L737"/>
      <c r="M737"/>
      <c r="N737"/>
      <c r="O737"/>
    </row>
    <row r="738" spans="11:15" x14ac:dyDescent="0.25">
      <c r="K738"/>
      <c r="L738"/>
      <c r="M738"/>
      <c r="N738"/>
      <c r="O738"/>
    </row>
    <row r="739" spans="11:15" x14ac:dyDescent="0.25">
      <c r="K739"/>
      <c r="L739"/>
      <c r="M739"/>
      <c r="N739"/>
      <c r="O739"/>
    </row>
    <row r="740" spans="11:15" x14ac:dyDescent="0.25">
      <c r="K740"/>
      <c r="L740"/>
      <c r="M740"/>
      <c r="N740"/>
      <c r="O740"/>
    </row>
    <row r="741" spans="11:15" x14ac:dyDescent="0.25">
      <c r="K741"/>
      <c r="L741"/>
      <c r="M741"/>
      <c r="N741"/>
      <c r="O741"/>
    </row>
    <row r="742" spans="11:15" x14ac:dyDescent="0.25">
      <c r="K742"/>
      <c r="L742"/>
      <c r="M742"/>
      <c r="N742"/>
      <c r="O742"/>
    </row>
    <row r="743" spans="11:15" x14ac:dyDescent="0.25">
      <c r="K743"/>
      <c r="L743"/>
      <c r="M743"/>
      <c r="N743"/>
      <c r="O743"/>
    </row>
    <row r="744" spans="11:15" x14ac:dyDescent="0.25">
      <c r="K744"/>
      <c r="L744"/>
      <c r="M744"/>
      <c r="N744"/>
      <c r="O744"/>
    </row>
    <row r="745" spans="11:15" x14ac:dyDescent="0.25">
      <c r="K745"/>
      <c r="L745"/>
      <c r="M745"/>
      <c r="N745"/>
      <c r="O745"/>
    </row>
    <row r="746" spans="11:15" x14ac:dyDescent="0.25">
      <c r="K746"/>
      <c r="L746"/>
      <c r="M746"/>
      <c r="N746"/>
      <c r="O746"/>
    </row>
    <row r="747" spans="11:15" x14ac:dyDescent="0.25">
      <c r="K747"/>
      <c r="L747"/>
      <c r="M747"/>
      <c r="N747"/>
      <c r="O747"/>
    </row>
    <row r="748" spans="11:15" x14ac:dyDescent="0.25">
      <c r="K748"/>
      <c r="L748"/>
      <c r="M748"/>
      <c r="N748"/>
      <c r="O748"/>
    </row>
    <row r="749" spans="11:15" x14ac:dyDescent="0.25">
      <c r="K749"/>
      <c r="L749"/>
      <c r="M749"/>
      <c r="N749"/>
      <c r="O749"/>
    </row>
    <row r="750" spans="11:15" x14ac:dyDescent="0.25">
      <c r="K750"/>
      <c r="L750"/>
      <c r="M750"/>
      <c r="N750"/>
      <c r="O750"/>
    </row>
    <row r="751" spans="11:15" x14ac:dyDescent="0.25">
      <c r="K751"/>
      <c r="L751"/>
      <c r="M751"/>
      <c r="N751"/>
      <c r="O751"/>
    </row>
    <row r="752" spans="11:15" x14ac:dyDescent="0.25">
      <c r="K752"/>
      <c r="L752"/>
      <c r="M752"/>
      <c r="N752"/>
      <c r="O752"/>
    </row>
    <row r="753" spans="11:15" x14ac:dyDescent="0.25">
      <c r="K753"/>
      <c r="L753"/>
      <c r="M753"/>
      <c r="N753"/>
      <c r="O753"/>
    </row>
    <row r="754" spans="11:15" x14ac:dyDescent="0.25">
      <c r="K754"/>
      <c r="L754"/>
      <c r="M754"/>
      <c r="N754"/>
      <c r="O754"/>
    </row>
    <row r="755" spans="11:15" x14ac:dyDescent="0.25">
      <c r="K755"/>
      <c r="L755"/>
      <c r="M755"/>
      <c r="N755"/>
      <c r="O755"/>
    </row>
    <row r="756" spans="11:15" x14ac:dyDescent="0.25">
      <c r="K756"/>
      <c r="L756"/>
      <c r="M756"/>
      <c r="N756"/>
      <c r="O756"/>
    </row>
    <row r="757" spans="11:15" x14ac:dyDescent="0.25">
      <c r="K757"/>
      <c r="L757"/>
      <c r="M757"/>
      <c r="N757"/>
      <c r="O757"/>
    </row>
    <row r="758" spans="11:15" x14ac:dyDescent="0.25">
      <c r="K758"/>
      <c r="L758"/>
      <c r="M758"/>
      <c r="N758"/>
      <c r="O758"/>
    </row>
    <row r="759" spans="11:15" x14ac:dyDescent="0.25">
      <c r="K759"/>
      <c r="L759"/>
      <c r="M759"/>
      <c r="N759"/>
      <c r="O759"/>
    </row>
    <row r="760" spans="11:15" x14ac:dyDescent="0.25">
      <c r="K760"/>
      <c r="L760"/>
      <c r="M760"/>
      <c r="N760"/>
      <c r="O760"/>
    </row>
    <row r="761" spans="11:15" x14ac:dyDescent="0.25">
      <c r="K761"/>
      <c r="L761"/>
      <c r="M761"/>
      <c r="N761"/>
      <c r="O761"/>
    </row>
    <row r="762" spans="11:15" x14ac:dyDescent="0.25">
      <c r="K762"/>
      <c r="L762"/>
      <c r="M762"/>
      <c r="N762"/>
      <c r="O762"/>
    </row>
    <row r="763" spans="11:15" x14ac:dyDescent="0.25">
      <c r="K763"/>
      <c r="L763"/>
      <c r="M763"/>
      <c r="N763"/>
      <c r="O763"/>
    </row>
    <row r="764" spans="11:15" x14ac:dyDescent="0.25">
      <c r="K764"/>
      <c r="L764"/>
      <c r="M764"/>
      <c r="N764"/>
      <c r="O764"/>
    </row>
    <row r="765" spans="11:15" x14ac:dyDescent="0.25">
      <c r="K765"/>
      <c r="L765"/>
      <c r="M765"/>
      <c r="N765"/>
      <c r="O765"/>
    </row>
    <row r="766" spans="11:15" x14ac:dyDescent="0.25">
      <c r="K766"/>
      <c r="L766"/>
      <c r="M766"/>
      <c r="N766"/>
      <c r="O766"/>
    </row>
    <row r="767" spans="11:15" x14ac:dyDescent="0.25">
      <c r="K767"/>
      <c r="L767"/>
      <c r="M767"/>
      <c r="N767"/>
      <c r="O767"/>
    </row>
    <row r="768" spans="11:15" x14ac:dyDescent="0.25">
      <c r="K768"/>
      <c r="L768"/>
      <c r="M768"/>
      <c r="N768"/>
      <c r="O768"/>
    </row>
    <row r="769" spans="11:15" x14ac:dyDescent="0.25">
      <c r="K769"/>
      <c r="L769"/>
      <c r="M769"/>
      <c r="N769"/>
      <c r="O769"/>
    </row>
    <row r="770" spans="11:15" x14ac:dyDescent="0.25">
      <c r="K770"/>
      <c r="L770"/>
      <c r="M770"/>
      <c r="N770"/>
      <c r="O770"/>
    </row>
    <row r="771" spans="11:15" x14ac:dyDescent="0.25">
      <c r="K771"/>
      <c r="L771"/>
      <c r="M771"/>
      <c r="N771"/>
      <c r="O771"/>
    </row>
    <row r="772" spans="11:15" x14ac:dyDescent="0.25">
      <c r="K772"/>
      <c r="L772"/>
      <c r="M772"/>
      <c r="N772"/>
      <c r="O772"/>
    </row>
    <row r="773" spans="11:15" x14ac:dyDescent="0.25">
      <c r="K773"/>
      <c r="L773"/>
      <c r="M773"/>
      <c r="N773"/>
      <c r="O773"/>
    </row>
    <row r="774" spans="11:15" x14ac:dyDescent="0.25">
      <c r="K774"/>
      <c r="L774"/>
      <c r="M774"/>
      <c r="N774"/>
      <c r="O774"/>
    </row>
    <row r="775" spans="11:15" x14ac:dyDescent="0.25">
      <c r="K775"/>
      <c r="L775"/>
      <c r="M775"/>
      <c r="N775"/>
      <c r="O775"/>
    </row>
    <row r="776" spans="11:15" x14ac:dyDescent="0.25">
      <c r="K776"/>
      <c r="L776"/>
      <c r="M776"/>
      <c r="N776"/>
      <c r="O776"/>
    </row>
    <row r="777" spans="11:15" x14ac:dyDescent="0.25">
      <c r="K777"/>
      <c r="L777"/>
      <c r="M777"/>
      <c r="N777"/>
      <c r="O777"/>
    </row>
    <row r="778" spans="11:15" x14ac:dyDescent="0.25">
      <c r="K778"/>
      <c r="L778"/>
      <c r="M778"/>
      <c r="N778"/>
      <c r="O778"/>
    </row>
    <row r="779" spans="11:15" x14ac:dyDescent="0.25">
      <c r="K779"/>
      <c r="L779"/>
      <c r="M779"/>
      <c r="N779"/>
      <c r="O779"/>
    </row>
    <row r="780" spans="11:15" x14ac:dyDescent="0.25">
      <c r="K780"/>
      <c r="L780"/>
      <c r="M780"/>
      <c r="N780"/>
      <c r="O780"/>
    </row>
    <row r="781" spans="11:15" x14ac:dyDescent="0.25">
      <c r="K781"/>
      <c r="L781"/>
      <c r="M781"/>
      <c r="N781"/>
      <c r="O781"/>
    </row>
    <row r="782" spans="11:15" x14ac:dyDescent="0.25">
      <c r="K782"/>
      <c r="L782"/>
      <c r="M782"/>
      <c r="N782"/>
      <c r="O782"/>
    </row>
    <row r="783" spans="11:15" x14ac:dyDescent="0.25">
      <c r="K783"/>
      <c r="L783"/>
      <c r="M783"/>
      <c r="N783"/>
      <c r="O783"/>
    </row>
    <row r="784" spans="11:15" x14ac:dyDescent="0.25">
      <c r="K784"/>
      <c r="L784"/>
      <c r="M784"/>
      <c r="N784"/>
      <c r="O784"/>
    </row>
    <row r="785" spans="11:15" x14ac:dyDescent="0.25">
      <c r="K785"/>
      <c r="L785"/>
      <c r="M785"/>
      <c r="N785"/>
      <c r="O785"/>
    </row>
    <row r="786" spans="11:15" x14ac:dyDescent="0.25">
      <c r="K786"/>
      <c r="L786"/>
      <c r="M786"/>
      <c r="N786"/>
      <c r="O786"/>
    </row>
    <row r="787" spans="11:15" x14ac:dyDescent="0.25">
      <c r="K787"/>
      <c r="L787"/>
      <c r="M787"/>
      <c r="N787"/>
      <c r="O787"/>
    </row>
    <row r="788" spans="11:15" x14ac:dyDescent="0.25">
      <c r="K788"/>
      <c r="L788"/>
      <c r="M788"/>
      <c r="N788"/>
      <c r="O788"/>
    </row>
    <row r="789" spans="11:15" x14ac:dyDescent="0.25">
      <c r="K789"/>
      <c r="L789"/>
      <c r="M789"/>
      <c r="N789"/>
      <c r="O789"/>
    </row>
    <row r="790" spans="11:15" x14ac:dyDescent="0.25">
      <c r="K790"/>
      <c r="L790"/>
      <c r="M790"/>
      <c r="N790"/>
      <c r="O790"/>
    </row>
    <row r="791" spans="11:15" x14ac:dyDescent="0.25">
      <c r="K791"/>
      <c r="L791"/>
      <c r="M791"/>
      <c r="N791"/>
      <c r="O791"/>
    </row>
    <row r="792" spans="11:15" x14ac:dyDescent="0.25">
      <c r="K792"/>
      <c r="L792"/>
      <c r="M792"/>
      <c r="N792"/>
      <c r="O792"/>
    </row>
    <row r="793" spans="11:15" x14ac:dyDescent="0.25">
      <c r="K793"/>
      <c r="L793"/>
      <c r="M793"/>
      <c r="N793"/>
      <c r="O793"/>
    </row>
    <row r="794" spans="11:15" x14ac:dyDescent="0.25">
      <c r="K794"/>
      <c r="L794"/>
      <c r="M794"/>
      <c r="N794"/>
      <c r="O794"/>
    </row>
    <row r="795" spans="11:15" x14ac:dyDescent="0.25">
      <c r="K795"/>
      <c r="L795"/>
      <c r="M795"/>
      <c r="N795"/>
      <c r="O795"/>
    </row>
    <row r="796" spans="11:15" x14ac:dyDescent="0.25">
      <c r="K796"/>
      <c r="L796"/>
      <c r="M796"/>
      <c r="N796"/>
      <c r="O796"/>
    </row>
    <row r="797" spans="11:15" x14ac:dyDescent="0.25">
      <c r="K797"/>
      <c r="L797"/>
      <c r="M797"/>
      <c r="N797"/>
      <c r="O797"/>
    </row>
    <row r="798" spans="11:15" x14ac:dyDescent="0.25">
      <c r="K798"/>
      <c r="L798"/>
      <c r="M798"/>
      <c r="N798"/>
      <c r="O798"/>
    </row>
    <row r="799" spans="11:15" x14ac:dyDescent="0.25">
      <c r="K799"/>
      <c r="L799"/>
      <c r="M799"/>
      <c r="N799"/>
      <c r="O799"/>
    </row>
    <row r="800" spans="11:15" x14ac:dyDescent="0.25">
      <c r="K800"/>
      <c r="L800"/>
      <c r="M800"/>
      <c r="N800"/>
      <c r="O800"/>
    </row>
    <row r="801" spans="11:15" x14ac:dyDescent="0.25">
      <c r="K801"/>
      <c r="L801"/>
      <c r="M801"/>
      <c r="N801"/>
      <c r="O801"/>
    </row>
    <row r="802" spans="11:15" x14ac:dyDescent="0.25">
      <c r="K802"/>
      <c r="L802"/>
      <c r="M802"/>
      <c r="N802"/>
      <c r="O802"/>
    </row>
    <row r="803" spans="11:15" x14ac:dyDescent="0.25">
      <c r="K803"/>
      <c r="L803"/>
      <c r="M803"/>
      <c r="N803"/>
      <c r="O803"/>
    </row>
    <row r="804" spans="11:15" x14ac:dyDescent="0.25">
      <c r="K804"/>
      <c r="L804"/>
      <c r="M804"/>
      <c r="N804"/>
      <c r="O804"/>
    </row>
    <row r="805" spans="11:15" x14ac:dyDescent="0.25">
      <c r="K805"/>
      <c r="L805"/>
      <c r="M805"/>
      <c r="N805"/>
      <c r="O805"/>
    </row>
    <row r="806" spans="11:15" x14ac:dyDescent="0.25">
      <c r="K806"/>
      <c r="L806"/>
      <c r="M806"/>
      <c r="N806"/>
      <c r="O806"/>
    </row>
    <row r="807" spans="11:15" x14ac:dyDescent="0.25">
      <c r="K807"/>
      <c r="L807"/>
      <c r="M807"/>
      <c r="N807"/>
      <c r="O807"/>
    </row>
    <row r="808" spans="11:15" x14ac:dyDescent="0.25">
      <c r="K808"/>
      <c r="L808"/>
      <c r="M808"/>
      <c r="N808"/>
      <c r="O808"/>
    </row>
    <row r="809" spans="11:15" x14ac:dyDescent="0.25">
      <c r="K809"/>
      <c r="L809"/>
      <c r="M809"/>
      <c r="N809"/>
      <c r="O809"/>
    </row>
    <row r="810" spans="11:15" x14ac:dyDescent="0.25">
      <c r="K810"/>
      <c r="L810"/>
      <c r="M810"/>
      <c r="N810"/>
      <c r="O810"/>
    </row>
    <row r="811" spans="11:15" x14ac:dyDescent="0.25">
      <c r="K811"/>
      <c r="L811"/>
      <c r="M811"/>
      <c r="N811"/>
      <c r="O811"/>
    </row>
    <row r="812" spans="11:15" x14ac:dyDescent="0.25">
      <c r="K812"/>
      <c r="L812"/>
      <c r="M812"/>
      <c r="N812"/>
      <c r="O812"/>
    </row>
    <row r="813" spans="11:15" x14ac:dyDescent="0.25">
      <c r="K813"/>
      <c r="L813"/>
      <c r="M813"/>
      <c r="N813"/>
      <c r="O813"/>
    </row>
    <row r="814" spans="11:15" x14ac:dyDescent="0.25">
      <c r="K814"/>
      <c r="L814"/>
      <c r="M814"/>
      <c r="N814"/>
      <c r="O814"/>
    </row>
    <row r="815" spans="11:15" x14ac:dyDescent="0.25">
      <c r="K815"/>
      <c r="L815"/>
      <c r="M815"/>
      <c r="N815"/>
      <c r="O815"/>
    </row>
    <row r="816" spans="11:15" x14ac:dyDescent="0.25">
      <c r="K816"/>
      <c r="L816"/>
      <c r="M816"/>
      <c r="N816"/>
      <c r="O816"/>
    </row>
    <row r="817" spans="11:15" x14ac:dyDescent="0.25">
      <c r="K817"/>
      <c r="L817"/>
      <c r="M817"/>
      <c r="N817"/>
      <c r="O817"/>
    </row>
    <row r="818" spans="11:15" x14ac:dyDescent="0.25">
      <c r="K818"/>
      <c r="L818"/>
      <c r="M818"/>
      <c r="N818"/>
      <c r="O818"/>
    </row>
    <row r="819" spans="11:15" x14ac:dyDescent="0.25">
      <c r="K819"/>
      <c r="L819"/>
      <c r="M819"/>
      <c r="N819"/>
      <c r="O819"/>
    </row>
    <row r="820" spans="11:15" x14ac:dyDescent="0.25">
      <c r="K820"/>
      <c r="L820"/>
      <c r="M820"/>
      <c r="N820"/>
      <c r="O820"/>
    </row>
    <row r="821" spans="11:15" x14ac:dyDescent="0.25">
      <c r="K821"/>
      <c r="L821"/>
      <c r="M821"/>
      <c r="N821"/>
      <c r="O821"/>
    </row>
    <row r="822" spans="11:15" x14ac:dyDescent="0.25">
      <c r="K822"/>
      <c r="L822"/>
      <c r="M822"/>
      <c r="N822"/>
      <c r="O822"/>
    </row>
    <row r="823" spans="11:15" x14ac:dyDescent="0.25">
      <c r="K823"/>
      <c r="L823"/>
      <c r="M823"/>
      <c r="N823"/>
      <c r="O823"/>
    </row>
    <row r="824" spans="11:15" x14ac:dyDescent="0.25">
      <c r="K824"/>
      <c r="L824"/>
      <c r="M824"/>
      <c r="N824"/>
      <c r="O824"/>
    </row>
    <row r="825" spans="11:15" x14ac:dyDescent="0.25">
      <c r="K825"/>
      <c r="L825"/>
      <c r="M825"/>
      <c r="N825"/>
      <c r="O825"/>
    </row>
    <row r="826" spans="11:15" x14ac:dyDescent="0.25">
      <c r="K826"/>
      <c r="L826"/>
      <c r="M826"/>
      <c r="N826"/>
      <c r="O826"/>
    </row>
    <row r="827" spans="11:15" x14ac:dyDescent="0.25">
      <c r="K827"/>
      <c r="L827"/>
      <c r="M827"/>
      <c r="N827"/>
      <c r="O827"/>
    </row>
    <row r="828" spans="11:15" x14ac:dyDescent="0.25">
      <c r="K828"/>
      <c r="L828"/>
      <c r="M828"/>
      <c r="N828"/>
      <c r="O828"/>
    </row>
    <row r="829" spans="11:15" x14ac:dyDescent="0.25">
      <c r="K829"/>
      <c r="L829"/>
      <c r="M829"/>
      <c r="N829"/>
      <c r="O829"/>
    </row>
    <row r="830" spans="11:15" x14ac:dyDescent="0.25">
      <c r="K830"/>
      <c r="L830"/>
      <c r="M830"/>
      <c r="N830"/>
      <c r="O830"/>
    </row>
    <row r="831" spans="11:15" x14ac:dyDescent="0.25">
      <c r="K831"/>
      <c r="L831"/>
      <c r="M831"/>
      <c r="N831"/>
      <c r="O831"/>
    </row>
    <row r="832" spans="11:15" x14ac:dyDescent="0.25">
      <c r="K832"/>
      <c r="L832"/>
      <c r="M832"/>
      <c r="N832"/>
      <c r="O832"/>
    </row>
    <row r="833" spans="11:15" x14ac:dyDescent="0.25">
      <c r="K833"/>
      <c r="L833"/>
      <c r="M833"/>
      <c r="N833"/>
      <c r="O833"/>
    </row>
    <row r="834" spans="11:15" x14ac:dyDescent="0.25">
      <c r="K834"/>
      <c r="L834"/>
      <c r="M834"/>
      <c r="N834"/>
      <c r="O834"/>
    </row>
    <row r="835" spans="11:15" x14ac:dyDescent="0.25">
      <c r="K835"/>
      <c r="L835"/>
      <c r="M835"/>
      <c r="N835"/>
      <c r="O835"/>
    </row>
    <row r="836" spans="11:15" x14ac:dyDescent="0.25">
      <c r="K836"/>
      <c r="L836"/>
      <c r="M836"/>
      <c r="N836"/>
      <c r="O836"/>
    </row>
    <row r="837" spans="11:15" x14ac:dyDescent="0.25">
      <c r="K837"/>
      <c r="L837"/>
      <c r="M837"/>
      <c r="N837"/>
      <c r="O837"/>
    </row>
    <row r="838" spans="11:15" x14ac:dyDescent="0.25">
      <c r="K838"/>
      <c r="L838"/>
      <c r="M838"/>
      <c r="N838"/>
      <c r="O838"/>
    </row>
    <row r="839" spans="11:15" x14ac:dyDescent="0.25">
      <c r="K839"/>
      <c r="L839"/>
      <c r="M839"/>
      <c r="N839"/>
      <c r="O839"/>
    </row>
    <row r="840" spans="11:15" x14ac:dyDescent="0.25">
      <c r="K840"/>
      <c r="L840"/>
      <c r="M840"/>
      <c r="N840"/>
      <c r="O840"/>
    </row>
    <row r="841" spans="11:15" x14ac:dyDescent="0.25">
      <c r="K841"/>
      <c r="L841"/>
      <c r="M841"/>
      <c r="N841"/>
      <c r="O841"/>
    </row>
    <row r="842" spans="11:15" x14ac:dyDescent="0.25">
      <c r="K842"/>
      <c r="L842"/>
      <c r="M842"/>
      <c r="N842"/>
      <c r="O842"/>
    </row>
    <row r="843" spans="11:15" x14ac:dyDescent="0.25">
      <c r="K843"/>
      <c r="L843"/>
      <c r="M843"/>
      <c r="N843"/>
      <c r="O843"/>
    </row>
    <row r="844" spans="11:15" x14ac:dyDescent="0.25">
      <c r="K844"/>
      <c r="L844"/>
      <c r="M844"/>
      <c r="N844"/>
      <c r="O844"/>
    </row>
    <row r="845" spans="11:15" x14ac:dyDescent="0.25">
      <c r="K845"/>
      <c r="L845"/>
      <c r="M845"/>
      <c r="N845"/>
      <c r="O845"/>
    </row>
    <row r="846" spans="11:15" x14ac:dyDescent="0.25">
      <c r="K846"/>
      <c r="L846"/>
      <c r="M846"/>
      <c r="N846"/>
      <c r="O846"/>
    </row>
    <row r="847" spans="11:15" x14ac:dyDescent="0.25">
      <c r="K847"/>
      <c r="L847"/>
      <c r="M847"/>
      <c r="N847"/>
      <c r="O847"/>
    </row>
    <row r="848" spans="11:15" x14ac:dyDescent="0.25">
      <c r="K848"/>
      <c r="L848"/>
      <c r="M848"/>
      <c r="N848"/>
      <c r="O848"/>
    </row>
    <row r="849" spans="11:15" x14ac:dyDescent="0.25">
      <c r="K849"/>
      <c r="L849"/>
      <c r="M849"/>
      <c r="N849"/>
      <c r="O849"/>
    </row>
    <row r="850" spans="11:15" x14ac:dyDescent="0.25">
      <c r="K850"/>
      <c r="L850"/>
      <c r="M850"/>
      <c r="N850"/>
      <c r="O850"/>
    </row>
    <row r="851" spans="11:15" x14ac:dyDescent="0.25">
      <c r="K851"/>
      <c r="L851"/>
      <c r="M851"/>
      <c r="N851"/>
      <c r="O851"/>
    </row>
    <row r="852" spans="11:15" x14ac:dyDescent="0.25">
      <c r="K852"/>
      <c r="L852"/>
      <c r="M852"/>
      <c r="N852"/>
      <c r="O852"/>
    </row>
    <row r="853" spans="11:15" x14ac:dyDescent="0.25">
      <c r="K853"/>
      <c r="L853"/>
      <c r="M853"/>
      <c r="N853"/>
      <c r="O853"/>
    </row>
    <row r="854" spans="11:15" x14ac:dyDescent="0.25">
      <c r="K854"/>
      <c r="L854"/>
      <c r="M854"/>
      <c r="N854"/>
      <c r="O854"/>
    </row>
    <row r="855" spans="11:15" x14ac:dyDescent="0.25">
      <c r="K855"/>
      <c r="L855"/>
      <c r="M855"/>
      <c r="N855"/>
      <c r="O855"/>
    </row>
    <row r="856" spans="11:15" x14ac:dyDescent="0.25">
      <c r="K856"/>
      <c r="L856"/>
      <c r="M856"/>
      <c r="N856"/>
      <c r="O856"/>
    </row>
    <row r="857" spans="11:15" x14ac:dyDescent="0.25">
      <c r="K857"/>
      <c r="L857"/>
      <c r="M857"/>
      <c r="N857"/>
      <c r="O857"/>
    </row>
    <row r="858" spans="11:15" x14ac:dyDescent="0.25">
      <c r="K858"/>
      <c r="L858"/>
      <c r="M858"/>
      <c r="N858"/>
      <c r="O858"/>
    </row>
    <row r="859" spans="11:15" x14ac:dyDescent="0.25">
      <c r="K859"/>
      <c r="L859"/>
      <c r="M859"/>
      <c r="N859"/>
      <c r="O859"/>
    </row>
    <row r="860" spans="11:15" x14ac:dyDescent="0.25">
      <c r="K860"/>
      <c r="L860"/>
      <c r="M860"/>
      <c r="N860"/>
      <c r="O860"/>
    </row>
    <row r="861" spans="11:15" x14ac:dyDescent="0.25">
      <c r="K861"/>
      <c r="L861"/>
      <c r="M861"/>
      <c r="N861"/>
      <c r="O861"/>
    </row>
    <row r="862" spans="11:15" x14ac:dyDescent="0.25">
      <c r="K862"/>
      <c r="L862"/>
      <c r="M862"/>
      <c r="N862"/>
      <c r="O862"/>
    </row>
    <row r="863" spans="11:15" x14ac:dyDescent="0.25">
      <c r="K863"/>
      <c r="L863"/>
      <c r="M863"/>
      <c r="N863"/>
      <c r="O863"/>
    </row>
    <row r="864" spans="11:15" x14ac:dyDescent="0.25">
      <c r="K864"/>
      <c r="L864"/>
      <c r="M864"/>
      <c r="N864"/>
      <c r="O864"/>
    </row>
    <row r="865" spans="11:15" x14ac:dyDescent="0.25">
      <c r="K865"/>
      <c r="L865"/>
      <c r="M865"/>
      <c r="N865"/>
      <c r="O865"/>
    </row>
    <row r="866" spans="11:15" x14ac:dyDescent="0.25">
      <c r="K866"/>
      <c r="L866"/>
      <c r="M866"/>
      <c r="N866"/>
      <c r="O866"/>
    </row>
    <row r="867" spans="11:15" x14ac:dyDescent="0.25">
      <c r="K867"/>
      <c r="L867"/>
      <c r="M867"/>
      <c r="N867"/>
      <c r="O867"/>
    </row>
    <row r="868" spans="11:15" x14ac:dyDescent="0.25">
      <c r="K868"/>
      <c r="L868"/>
      <c r="M868"/>
      <c r="N868"/>
      <c r="O868"/>
    </row>
    <row r="869" spans="11:15" x14ac:dyDescent="0.25">
      <c r="K869"/>
      <c r="L869"/>
      <c r="M869"/>
      <c r="N869"/>
      <c r="O869"/>
    </row>
    <row r="870" spans="11:15" x14ac:dyDescent="0.25">
      <c r="K870"/>
      <c r="L870"/>
      <c r="M870"/>
      <c r="N870"/>
      <c r="O870"/>
    </row>
    <row r="871" spans="11:15" x14ac:dyDescent="0.25">
      <c r="K871"/>
      <c r="L871"/>
      <c r="M871"/>
      <c r="N871"/>
      <c r="O871"/>
    </row>
    <row r="872" spans="11:15" x14ac:dyDescent="0.25">
      <c r="K872"/>
      <c r="L872"/>
      <c r="M872"/>
      <c r="N872"/>
      <c r="O872"/>
    </row>
    <row r="873" spans="11:15" x14ac:dyDescent="0.25">
      <c r="K873"/>
      <c r="L873"/>
      <c r="M873"/>
      <c r="N873"/>
      <c r="O873"/>
    </row>
    <row r="874" spans="11:15" x14ac:dyDescent="0.25">
      <c r="K874"/>
      <c r="L874"/>
      <c r="M874"/>
      <c r="N874"/>
      <c r="O874"/>
    </row>
    <row r="875" spans="11:15" x14ac:dyDescent="0.25">
      <c r="K875"/>
      <c r="L875"/>
      <c r="M875"/>
      <c r="N875"/>
      <c r="O875"/>
    </row>
    <row r="876" spans="11:15" x14ac:dyDescent="0.25">
      <c r="K876"/>
      <c r="L876"/>
      <c r="M876"/>
      <c r="N876"/>
      <c r="O876"/>
    </row>
    <row r="877" spans="11:15" x14ac:dyDescent="0.25">
      <c r="K877"/>
      <c r="L877"/>
      <c r="M877"/>
      <c r="N877"/>
      <c r="O877"/>
    </row>
    <row r="878" spans="11:15" x14ac:dyDescent="0.25">
      <c r="K878"/>
      <c r="L878"/>
      <c r="M878"/>
      <c r="N878"/>
      <c r="O878"/>
    </row>
    <row r="879" spans="11:15" x14ac:dyDescent="0.25">
      <c r="K879"/>
      <c r="L879"/>
      <c r="M879"/>
      <c r="N879"/>
      <c r="O879"/>
    </row>
    <row r="880" spans="11:15" x14ac:dyDescent="0.25">
      <c r="K880"/>
      <c r="L880"/>
      <c r="M880"/>
      <c r="N880"/>
      <c r="O880"/>
    </row>
    <row r="881" spans="11:15" x14ac:dyDescent="0.25">
      <c r="K881"/>
      <c r="L881"/>
      <c r="M881"/>
      <c r="N881"/>
      <c r="O881"/>
    </row>
    <row r="882" spans="11:15" x14ac:dyDescent="0.25">
      <c r="K882"/>
      <c r="L882"/>
      <c r="M882"/>
      <c r="N882"/>
      <c r="O882"/>
    </row>
    <row r="883" spans="11:15" x14ac:dyDescent="0.25">
      <c r="K883"/>
      <c r="L883"/>
      <c r="M883"/>
      <c r="N883"/>
      <c r="O883"/>
    </row>
    <row r="884" spans="11:15" x14ac:dyDescent="0.25">
      <c r="K884"/>
      <c r="L884"/>
      <c r="M884"/>
      <c r="N884"/>
      <c r="O884"/>
    </row>
    <row r="885" spans="11:15" x14ac:dyDescent="0.25">
      <c r="K885"/>
      <c r="L885"/>
      <c r="M885"/>
      <c r="N885"/>
      <c r="O885"/>
    </row>
    <row r="886" spans="11:15" x14ac:dyDescent="0.25">
      <c r="K886"/>
      <c r="L886"/>
      <c r="M886"/>
      <c r="N886"/>
      <c r="O886"/>
    </row>
    <row r="887" spans="11:15" x14ac:dyDescent="0.25">
      <c r="K887"/>
      <c r="L887"/>
      <c r="M887"/>
      <c r="N887"/>
      <c r="O887"/>
    </row>
    <row r="888" spans="11:15" x14ac:dyDescent="0.25">
      <c r="K888"/>
      <c r="L888"/>
      <c r="M888"/>
      <c r="N888"/>
      <c r="O888"/>
    </row>
    <row r="889" spans="11:15" x14ac:dyDescent="0.25">
      <c r="K889"/>
      <c r="L889"/>
      <c r="M889"/>
      <c r="N889"/>
      <c r="O889"/>
    </row>
    <row r="890" spans="11:15" x14ac:dyDescent="0.25">
      <c r="K890"/>
      <c r="L890"/>
      <c r="M890"/>
      <c r="N890"/>
      <c r="O890"/>
    </row>
    <row r="891" spans="11:15" x14ac:dyDescent="0.25">
      <c r="K891"/>
      <c r="L891"/>
      <c r="M891"/>
      <c r="N891"/>
      <c r="O891"/>
    </row>
    <row r="892" spans="11:15" x14ac:dyDescent="0.25">
      <c r="K892"/>
      <c r="L892"/>
      <c r="M892"/>
      <c r="N892"/>
      <c r="O892"/>
    </row>
    <row r="893" spans="11:15" x14ac:dyDescent="0.25">
      <c r="K893"/>
      <c r="L893"/>
      <c r="M893"/>
      <c r="N893"/>
      <c r="O893"/>
    </row>
    <row r="894" spans="11:15" x14ac:dyDescent="0.25">
      <c r="K894"/>
      <c r="L894"/>
      <c r="M894"/>
      <c r="N894"/>
      <c r="O894"/>
    </row>
    <row r="895" spans="11:15" x14ac:dyDescent="0.25">
      <c r="K895"/>
      <c r="L895"/>
      <c r="M895"/>
      <c r="N895"/>
      <c r="O895"/>
    </row>
    <row r="896" spans="11:15" x14ac:dyDescent="0.25">
      <c r="K896"/>
      <c r="L896"/>
      <c r="M896"/>
      <c r="N896"/>
      <c r="O896"/>
    </row>
    <row r="897" spans="11:15" x14ac:dyDescent="0.25">
      <c r="K897"/>
      <c r="L897"/>
      <c r="M897"/>
      <c r="N897"/>
      <c r="O897"/>
    </row>
    <row r="898" spans="11:15" x14ac:dyDescent="0.25">
      <c r="K898"/>
      <c r="L898"/>
      <c r="M898"/>
      <c r="N898"/>
      <c r="O898"/>
    </row>
    <row r="899" spans="11:15" x14ac:dyDescent="0.25">
      <c r="K899"/>
      <c r="L899"/>
      <c r="M899"/>
      <c r="N899"/>
      <c r="O899"/>
    </row>
    <row r="900" spans="11:15" x14ac:dyDescent="0.25">
      <c r="K900"/>
      <c r="L900"/>
      <c r="M900"/>
      <c r="N900"/>
      <c r="O900"/>
    </row>
    <row r="901" spans="11:15" x14ac:dyDescent="0.25">
      <c r="K901"/>
      <c r="L901"/>
      <c r="M901"/>
      <c r="N901"/>
      <c r="O901"/>
    </row>
    <row r="902" spans="11:15" x14ac:dyDescent="0.25">
      <c r="K902"/>
      <c r="L902"/>
      <c r="M902"/>
      <c r="N902"/>
      <c r="O902"/>
    </row>
    <row r="903" spans="11:15" x14ac:dyDescent="0.25">
      <c r="K903"/>
      <c r="L903"/>
      <c r="M903"/>
      <c r="N903"/>
      <c r="O903"/>
    </row>
    <row r="904" spans="11:15" x14ac:dyDescent="0.25">
      <c r="K904"/>
      <c r="L904"/>
      <c r="M904"/>
      <c r="N904"/>
      <c r="O904"/>
    </row>
    <row r="905" spans="11:15" x14ac:dyDescent="0.25">
      <c r="K905"/>
      <c r="L905"/>
      <c r="M905"/>
      <c r="N905"/>
      <c r="O905"/>
    </row>
    <row r="906" spans="11:15" x14ac:dyDescent="0.25">
      <c r="K906"/>
      <c r="L906"/>
      <c r="M906"/>
      <c r="N906"/>
      <c r="O906"/>
    </row>
    <row r="907" spans="11:15" x14ac:dyDescent="0.25">
      <c r="K907"/>
      <c r="L907"/>
      <c r="M907"/>
      <c r="N907"/>
      <c r="O907"/>
    </row>
    <row r="908" spans="11:15" x14ac:dyDescent="0.25">
      <c r="K908"/>
      <c r="L908"/>
      <c r="M908"/>
      <c r="N908"/>
      <c r="O908"/>
    </row>
    <row r="909" spans="11:15" x14ac:dyDescent="0.25">
      <c r="K909"/>
      <c r="L909"/>
      <c r="M909"/>
      <c r="N909"/>
      <c r="O909"/>
    </row>
    <row r="910" spans="11:15" x14ac:dyDescent="0.25">
      <c r="K910"/>
      <c r="L910"/>
      <c r="M910"/>
      <c r="N910"/>
      <c r="O910"/>
    </row>
    <row r="911" spans="11:15" x14ac:dyDescent="0.25">
      <c r="K911"/>
      <c r="L911"/>
      <c r="M911"/>
      <c r="N911"/>
      <c r="O911"/>
    </row>
    <row r="912" spans="11:15" x14ac:dyDescent="0.25">
      <c r="K912"/>
      <c r="L912"/>
      <c r="M912"/>
      <c r="N912"/>
      <c r="O912"/>
    </row>
    <row r="913" spans="11:15" x14ac:dyDescent="0.25">
      <c r="K913"/>
      <c r="L913"/>
      <c r="M913"/>
      <c r="N913"/>
      <c r="O913"/>
    </row>
    <row r="914" spans="11:15" x14ac:dyDescent="0.25">
      <c r="K914"/>
      <c r="L914"/>
      <c r="M914"/>
      <c r="N914"/>
      <c r="O914"/>
    </row>
    <row r="915" spans="11:15" x14ac:dyDescent="0.25">
      <c r="K915"/>
      <c r="L915"/>
      <c r="M915"/>
      <c r="N915"/>
      <c r="O915"/>
    </row>
    <row r="916" spans="11:15" x14ac:dyDescent="0.25">
      <c r="K916"/>
      <c r="L916"/>
      <c r="M916"/>
      <c r="N916"/>
      <c r="O916"/>
    </row>
    <row r="917" spans="11:15" x14ac:dyDescent="0.25">
      <c r="K917"/>
      <c r="L917"/>
      <c r="M917"/>
      <c r="N917"/>
      <c r="O917"/>
    </row>
    <row r="918" spans="11:15" x14ac:dyDescent="0.25">
      <c r="K918"/>
      <c r="L918"/>
      <c r="M918"/>
      <c r="N918"/>
      <c r="O918"/>
    </row>
    <row r="919" spans="11:15" x14ac:dyDescent="0.25">
      <c r="K919"/>
      <c r="L919"/>
      <c r="M919"/>
      <c r="N919"/>
      <c r="O919"/>
    </row>
    <row r="920" spans="11:15" x14ac:dyDescent="0.25">
      <c r="K920"/>
      <c r="L920"/>
      <c r="M920"/>
      <c r="N920"/>
      <c r="O920"/>
    </row>
    <row r="921" spans="11:15" x14ac:dyDescent="0.25">
      <c r="K921"/>
      <c r="L921"/>
      <c r="M921"/>
      <c r="N921"/>
      <c r="O921"/>
    </row>
    <row r="922" spans="11:15" x14ac:dyDescent="0.25">
      <c r="K922"/>
      <c r="L922"/>
      <c r="M922"/>
      <c r="N922"/>
      <c r="O922"/>
    </row>
    <row r="923" spans="11:15" x14ac:dyDescent="0.25">
      <c r="K923"/>
      <c r="L923"/>
      <c r="M923"/>
      <c r="N923"/>
      <c r="O923"/>
    </row>
    <row r="924" spans="11:15" x14ac:dyDescent="0.25">
      <c r="K924"/>
      <c r="L924"/>
      <c r="M924"/>
      <c r="N924"/>
      <c r="O924"/>
    </row>
    <row r="925" spans="11:15" x14ac:dyDescent="0.25">
      <c r="K925"/>
      <c r="L925"/>
      <c r="M925"/>
      <c r="N925"/>
      <c r="O925"/>
    </row>
    <row r="926" spans="11:15" x14ac:dyDescent="0.25">
      <c r="K926"/>
      <c r="L926"/>
      <c r="M926"/>
      <c r="N926"/>
      <c r="O926"/>
    </row>
    <row r="927" spans="11:15" x14ac:dyDescent="0.25">
      <c r="K927"/>
      <c r="L927"/>
      <c r="M927"/>
      <c r="N927"/>
      <c r="O927"/>
    </row>
    <row r="928" spans="11:15" x14ac:dyDescent="0.25">
      <c r="K928"/>
      <c r="L928"/>
      <c r="M928"/>
      <c r="N928"/>
      <c r="O928"/>
    </row>
    <row r="929" spans="11:15" x14ac:dyDescent="0.25">
      <c r="K929"/>
      <c r="L929"/>
      <c r="M929"/>
      <c r="N929"/>
      <c r="O929"/>
    </row>
    <row r="930" spans="11:15" x14ac:dyDescent="0.25">
      <c r="K930"/>
      <c r="L930"/>
      <c r="M930"/>
      <c r="N930"/>
      <c r="O930"/>
    </row>
    <row r="931" spans="11:15" x14ac:dyDescent="0.25">
      <c r="K931"/>
      <c r="L931"/>
      <c r="M931"/>
      <c r="N931"/>
      <c r="O931"/>
    </row>
    <row r="932" spans="11:15" x14ac:dyDescent="0.25">
      <c r="K932"/>
      <c r="L932"/>
      <c r="M932"/>
      <c r="N932"/>
      <c r="O932"/>
    </row>
    <row r="933" spans="11:15" x14ac:dyDescent="0.25">
      <c r="K933"/>
      <c r="L933"/>
      <c r="M933"/>
      <c r="N933"/>
      <c r="O933"/>
    </row>
    <row r="934" spans="11:15" x14ac:dyDescent="0.25">
      <c r="K934"/>
      <c r="L934"/>
      <c r="M934"/>
      <c r="N934"/>
      <c r="O934"/>
    </row>
    <row r="935" spans="11:15" x14ac:dyDescent="0.25">
      <c r="K935"/>
      <c r="L935"/>
      <c r="M935"/>
      <c r="N935"/>
      <c r="O935"/>
    </row>
    <row r="936" spans="11:15" x14ac:dyDescent="0.25">
      <c r="K936"/>
      <c r="L936"/>
      <c r="M936"/>
      <c r="N936"/>
      <c r="O936"/>
    </row>
    <row r="937" spans="11:15" x14ac:dyDescent="0.25">
      <c r="K937"/>
      <c r="L937"/>
      <c r="M937"/>
      <c r="N937"/>
      <c r="O937"/>
    </row>
    <row r="938" spans="11:15" x14ac:dyDescent="0.25">
      <c r="K938"/>
      <c r="L938"/>
      <c r="M938"/>
      <c r="N938"/>
      <c r="O938"/>
    </row>
    <row r="939" spans="11:15" x14ac:dyDescent="0.25">
      <c r="K939"/>
      <c r="L939"/>
      <c r="M939"/>
      <c r="N939"/>
      <c r="O939"/>
    </row>
    <row r="940" spans="11:15" x14ac:dyDescent="0.25">
      <c r="K940"/>
      <c r="L940"/>
      <c r="M940"/>
      <c r="N940"/>
      <c r="O940"/>
    </row>
    <row r="941" spans="11:15" x14ac:dyDescent="0.25">
      <c r="K941"/>
      <c r="L941"/>
      <c r="M941"/>
      <c r="N941"/>
      <c r="O941"/>
    </row>
    <row r="942" spans="11:15" x14ac:dyDescent="0.25">
      <c r="K942"/>
      <c r="L942"/>
      <c r="M942"/>
      <c r="N942"/>
      <c r="O942"/>
    </row>
    <row r="943" spans="11:15" x14ac:dyDescent="0.25">
      <c r="K943"/>
      <c r="L943"/>
      <c r="M943"/>
      <c r="N943"/>
      <c r="O943"/>
    </row>
    <row r="944" spans="11:15" x14ac:dyDescent="0.25">
      <c r="K944"/>
      <c r="L944"/>
      <c r="M944"/>
      <c r="N944"/>
      <c r="O944"/>
    </row>
    <row r="945" spans="11:15" x14ac:dyDescent="0.25">
      <c r="K945"/>
      <c r="L945"/>
      <c r="M945"/>
      <c r="N945"/>
      <c r="O945"/>
    </row>
    <row r="946" spans="11:15" x14ac:dyDescent="0.25">
      <c r="K946"/>
      <c r="L946"/>
      <c r="M946"/>
      <c r="N946"/>
      <c r="O946"/>
    </row>
    <row r="947" spans="11:15" x14ac:dyDescent="0.25">
      <c r="K947"/>
      <c r="L947"/>
      <c r="M947"/>
      <c r="N947"/>
      <c r="O947"/>
    </row>
    <row r="948" spans="11:15" x14ac:dyDescent="0.25">
      <c r="K948"/>
      <c r="L948"/>
      <c r="M948"/>
      <c r="N948"/>
      <c r="O948"/>
    </row>
    <row r="949" spans="11:15" x14ac:dyDescent="0.25">
      <c r="K949"/>
      <c r="L949"/>
      <c r="M949"/>
      <c r="N949"/>
      <c r="O949"/>
    </row>
    <row r="950" spans="11:15" x14ac:dyDescent="0.25">
      <c r="K950"/>
      <c r="L950"/>
      <c r="M950"/>
      <c r="N950"/>
      <c r="O950"/>
    </row>
    <row r="951" spans="11:15" x14ac:dyDescent="0.25">
      <c r="K951"/>
      <c r="L951"/>
      <c r="M951"/>
      <c r="N951"/>
      <c r="O951"/>
    </row>
    <row r="952" spans="11:15" x14ac:dyDescent="0.25">
      <c r="K952"/>
      <c r="L952"/>
      <c r="M952"/>
      <c r="N952"/>
      <c r="O952"/>
    </row>
    <row r="953" spans="11:15" x14ac:dyDescent="0.25">
      <c r="K953"/>
      <c r="L953"/>
      <c r="M953"/>
      <c r="N953"/>
      <c r="O953"/>
    </row>
    <row r="954" spans="11:15" x14ac:dyDescent="0.25">
      <c r="K954"/>
      <c r="L954"/>
      <c r="M954"/>
      <c r="N954"/>
      <c r="O954"/>
    </row>
    <row r="955" spans="11:15" x14ac:dyDescent="0.25">
      <c r="K955"/>
      <c r="L955"/>
      <c r="M955"/>
      <c r="N955"/>
      <c r="O955"/>
    </row>
    <row r="956" spans="11:15" x14ac:dyDescent="0.25">
      <c r="K956"/>
      <c r="L956"/>
      <c r="M956"/>
      <c r="N956"/>
      <c r="O956"/>
    </row>
    <row r="957" spans="11:15" x14ac:dyDescent="0.25">
      <c r="K957"/>
      <c r="L957"/>
      <c r="M957"/>
      <c r="N957"/>
      <c r="O957"/>
    </row>
    <row r="958" spans="11:15" x14ac:dyDescent="0.25">
      <c r="K958"/>
      <c r="L958"/>
      <c r="M958"/>
      <c r="N958"/>
      <c r="O958"/>
    </row>
    <row r="959" spans="11:15" x14ac:dyDescent="0.25">
      <c r="K959"/>
      <c r="L959"/>
      <c r="M959"/>
      <c r="N959"/>
      <c r="O959"/>
    </row>
    <row r="960" spans="11:15" x14ac:dyDescent="0.25">
      <c r="K960"/>
      <c r="L960"/>
      <c r="M960"/>
      <c r="N960"/>
      <c r="O960"/>
    </row>
    <row r="961" spans="11:15" x14ac:dyDescent="0.25">
      <c r="K961"/>
      <c r="L961"/>
      <c r="M961"/>
      <c r="N961"/>
      <c r="O961"/>
    </row>
    <row r="962" spans="11:15" x14ac:dyDescent="0.25">
      <c r="K962"/>
      <c r="L962"/>
      <c r="M962"/>
      <c r="N962"/>
      <c r="O962"/>
    </row>
    <row r="963" spans="11:15" x14ac:dyDescent="0.25">
      <c r="K963"/>
      <c r="L963"/>
      <c r="M963"/>
      <c r="N963"/>
      <c r="O963"/>
    </row>
    <row r="964" spans="11:15" x14ac:dyDescent="0.25">
      <c r="K964"/>
      <c r="L964"/>
      <c r="M964"/>
      <c r="N964"/>
      <c r="O964"/>
    </row>
    <row r="965" spans="11:15" x14ac:dyDescent="0.25">
      <c r="K965"/>
      <c r="L965"/>
      <c r="M965"/>
      <c r="N965"/>
      <c r="O965"/>
    </row>
    <row r="966" spans="11:15" x14ac:dyDescent="0.25">
      <c r="K966"/>
      <c r="L966"/>
      <c r="M966"/>
      <c r="N966"/>
      <c r="O966"/>
    </row>
    <row r="967" spans="11:15" x14ac:dyDescent="0.25">
      <c r="K967"/>
      <c r="L967"/>
      <c r="M967"/>
      <c r="N967"/>
      <c r="O967"/>
    </row>
    <row r="968" spans="11:15" x14ac:dyDescent="0.25">
      <c r="K968"/>
      <c r="L968"/>
      <c r="M968"/>
      <c r="N968"/>
      <c r="O968"/>
    </row>
    <row r="969" spans="11:15" x14ac:dyDescent="0.25">
      <c r="K969"/>
      <c r="L969"/>
      <c r="M969"/>
      <c r="N969"/>
      <c r="O969"/>
    </row>
    <row r="970" spans="11:15" x14ac:dyDescent="0.25">
      <c r="K970"/>
      <c r="L970"/>
      <c r="M970"/>
      <c r="N970"/>
      <c r="O970"/>
    </row>
    <row r="971" spans="11:15" x14ac:dyDescent="0.25">
      <c r="K971"/>
      <c r="L971"/>
      <c r="M971"/>
      <c r="N971"/>
      <c r="O971"/>
    </row>
    <row r="972" spans="11:15" x14ac:dyDescent="0.25">
      <c r="K972"/>
      <c r="L972"/>
      <c r="M972"/>
      <c r="N972"/>
      <c r="O972"/>
    </row>
    <row r="973" spans="11:15" x14ac:dyDescent="0.25">
      <c r="K973"/>
      <c r="L973"/>
      <c r="M973"/>
      <c r="N973"/>
      <c r="O973"/>
    </row>
    <row r="974" spans="11:15" x14ac:dyDescent="0.25">
      <c r="K974"/>
      <c r="L974"/>
      <c r="M974"/>
      <c r="N974"/>
      <c r="O974"/>
    </row>
    <row r="975" spans="11:15" x14ac:dyDescent="0.25">
      <c r="K975"/>
      <c r="L975"/>
      <c r="M975"/>
      <c r="N975"/>
      <c r="O975"/>
    </row>
    <row r="976" spans="11:15" x14ac:dyDescent="0.25">
      <c r="K976"/>
      <c r="L976"/>
      <c r="M976"/>
      <c r="N976"/>
      <c r="O976"/>
    </row>
    <row r="977" spans="11:15" x14ac:dyDescent="0.25">
      <c r="K977"/>
      <c r="L977"/>
      <c r="M977"/>
      <c r="N977"/>
      <c r="O977"/>
    </row>
    <row r="978" spans="11:15" x14ac:dyDescent="0.25">
      <c r="K978"/>
      <c r="L978"/>
      <c r="M978"/>
      <c r="N978"/>
      <c r="O978"/>
    </row>
    <row r="979" spans="11:15" x14ac:dyDescent="0.25">
      <c r="K979"/>
      <c r="L979"/>
      <c r="M979"/>
      <c r="N979"/>
      <c r="O979"/>
    </row>
    <row r="980" spans="11:15" x14ac:dyDescent="0.25">
      <c r="K980"/>
      <c r="L980"/>
      <c r="M980"/>
      <c r="N980"/>
      <c r="O980"/>
    </row>
    <row r="981" spans="11:15" x14ac:dyDescent="0.25">
      <c r="K981"/>
      <c r="L981"/>
      <c r="M981"/>
      <c r="N981"/>
      <c r="O981"/>
    </row>
    <row r="982" spans="11:15" x14ac:dyDescent="0.25">
      <c r="K982"/>
      <c r="L982"/>
      <c r="M982"/>
      <c r="N982"/>
      <c r="O982"/>
    </row>
    <row r="983" spans="11:15" x14ac:dyDescent="0.25">
      <c r="K983"/>
      <c r="L983"/>
      <c r="M983"/>
      <c r="N983"/>
      <c r="O983"/>
    </row>
    <row r="984" spans="11:15" x14ac:dyDescent="0.25">
      <c r="K984"/>
      <c r="L984"/>
      <c r="M984"/>
      <c r="N984"/>
      <c r="O984"/>
    </row>
    <row r="985" spans="11:15" x14ac:dyDescent="0.25">
      <c r="K985"/>
      <c r="L985"/>
      <c r="M985"/>
      <c r="N985"/>
      <c r="O985"/>
    </row>
    <row r="986" spans="11:15" x14ac:dyDescent="0.25">
      <c r="K986"/>
      <c r="L986"/>
      <c r="M986"/>
      <c r="N986"/>
      <c r="O986"/>
    </row>
    <row r="987" spans="11:15" x14ac:dyDescent="0.25">
      <c r="K987"/>
      <c r="L987"/>
      <c r="M987"/>
      <c r="N987"/>
      <c r="O987"/>
    </row>
    <row r="988" spans="11:15" x14ac:dyDescent="0.25">
      <c r="K988"/>
      <c r="L988"/>
      <c r="M988"/>
      <c r="N988"/>
      <c r="O988"/>
    </row>
    <row r="989" spans="11:15" x14ac:dyDescent="0.25">
      <c r="K989"/>
      <c r="L989"/>
      <c r="M989"/>
      <c r="N989"/>
      <c r="O989"/>
    </row>
    <row r="990" spans="11:15" x14ac:dyDescent="0.25">
      <c r="K990"/>
      <c r="L990"/>
      <c r="M990"/>
      <c r="N990"/>
      <c r="O990"/>
    </row>
    <row r="991" spans="11:15" x14ac:dyDescent="0.25">
      <c r="K991"/>
      <c r="L991"/>
      <c r="M991"/>
      <c r="N991"/>
      <c r="O991"/>
    </row>
    <row r="992" spans="11:15" x14ac:dyDescent="0.25">
      <c r="K992"/>
      <c r="L992"/>
      <c r="M992"/>
      <c r="N992"/>
      <c r="O992"/>
    </row>
    <row r="993" spans="11:15" x14ac:dyDescent="0.25">
      <c r="K993"/>
      <c r="L993"/>
      <c r="M993"/>
      <c r="N993"/>
      <c r="O993"/>
    </row>
    <row r="994" spans="11:15" x14ac:dyDescent="0.25">
      <c r="K994"/>
      <c r="L994"/>
      <c r="M994"/>
      <c r="N994"/>
      <c r="O994"/>
    </row>
    <row r="995" spans="11:15" x14ac:dyDescent="0.25">
      <c r="K995"/>
      <c r="L995"/>
      <c r="M995"/>
      <c r="N995"/>
      <c r="O995"/>
    </row>
    <row r="996" spans="11:15" x14ac:dyDescent="0.25">
      <c r="K996"/>
      <c r="L996"/>
      <c r="M996"/>
      <c r="N996"/>
      <c r="O996"/>
    </row>
    <row r="997" spans="11:15" x14ac:dyDescent="0.25">
      <c r="K997"/>
      <c r="L997"/>
      <c r="M997"/>
      <c r="N997"/>
      <c r="O997"/>
    </row>
    <row r="998" spans="11:15" x14ac:dyDescent="0.25">
      <c r="K998"/>
      <c r="L998"/>
      <c r="M998"/>
      <c r="N998"/>
      <c r="O998"/>
    </row>
    <row r="999" spans="11:15" x14ac:dyDescent="0.25">
      <c r="K999"/>
      <c r="L999"/>
      <c r="M999"/>
      <c r="N999"/>
      <c r="O999"/>
    </row>
    <row r="1000" spans="11:15" x14ac:dyDescent="0.25">
      <c r="K1000"/>
      <c r="L1000"/>
      <c r="M1000"/>
      <c r="N1000"/>
      <c r="O1000"/>
    </row>
    <row r="1001" spans="11:15" x14ac:dyDescent="0.25">
      <c r="K1001"/>
      <c r="L1001"/>
      <c r="M1001"/>
      <c r="N1001"/>
      <c r="O1001"/>
    </row>
    <row r="1002" spans="11:15" x14ac:dyDescent="0.25">
      <c r="K1002"/>
      <c r="L1002"/>
      <c r="M1002"/>
      <c r="N1002"/>
      <c r="O1002"/>
    </row>
    <row r="1003" spans="11:15" x14ac:dyDescent="0.25">
      <c r="K1003"/>
      <c r="L1003"/>
      <c r="M1003"/>
      <c r="N1003"/>
      <c r="O1003"/>
    </row>
    <row r="1004" spans="11:15" x14ac:dyDescent="0.25">
      <c r="K1004"/>
      <c r="L1004"/>
      <c r="M1004"/>
      <c r="N1004"/>
      <c r="O1004"/>
    </row>
    <row r="1005" spans="11:15" x14ac:dyDescent="0.25">
      <c r="K1005"/>
      <c r="L1005"/>
      <c r="M1005"/>
      <c r="N1005"/>
      <c r="O1005"/>
    </row>
    <row r="1006" spans="11:15" x14ac:dyDescent="0.25">
      <c r="K1006"/>
      <c r="L1006"/>
      <c r="M1006"/>
      <c r="N1006"/>
      <c r="O1006"/>
    </row>
    <row r="1007" spans="11:15" x14ac:dyDescent="0.25">
      <c r="K1007"/>
      <c r="L1007"/>
      <c r="M1007"/>
      <c r="N1007"/>
      <c r="O1007"/>
    </row>
    <row r="1008" spans="11:15" x14ac:dyDescent="0.25">
      <c r="K1008"/>
      <c r="L1008"/>
      <c r="M1008"/>
      <c r="N1008"/>
      <c r="O1008"/>
    </row>
    <row r="1009" spans="11:15" x14ac:dyDescent="0.25">
      <c r="K1009"/>
      <c r="L1009"/>
      <c r="M1009"/>
      <c r="N1009"/>
      <c r="O1009"/>
    </row>
    <row r="1010" spans="11:15" x14ac:dyDescent="0.25">
      <c r="K1010"/>
      <c r="L1010"/>
      <c r="M1010"/>
      <c r="N1010"/>
      <c r="O1010"/>
    </row>
    <row r="1011" spans="11:15" x14ac:dyDescent="0.25">
      <c r="K1011"/>
      <c r="L1011"/>
      <c r="M1011"/>
      <c r="N1011"/>
      <c r="O1011"/>
    </row>
    <row r="1012" spans="11:15" x14ac:dyDescent="0.25">
      <c r="K1012"/>
      <c r="L1012"/>
      <c r="M1012"/>
      <c r="N1012"/>
      <c r="O1012"/>
    </row>
    <row r="1013" spans="11:15" x14ac:dyDescent="0.25">
      <c r="K1013"/>
      <c r="L1013"/>
      <c r="M1013"/>
      <c r="N1013"/>
      <c r="O1013"/>
    </row>
    <row r="1014" spans="11:15" x14ac:dyDescent="0.25">
      <c r="K1014"/>
      <c r="L1014"/>
      <c r="M1014"/>
      <c r="N1014"/>
      <c r="O1014"/>
    </row>
    <row r="1015" spans="11:15" x14ac:dyDescent="0.25">
      <c r="K1015"/>
      <c r="L1015"/>
      <c r="M1015"/>
      <c r="N1015"/>
      <c r="O1015"/>
    </row>
    <row r="1016" spans="11:15" x14ac:dyDescent="0.25">
      <c r="K1016"/>
      <c r="L1016"/>
      <c r="M1016"/>
      <c r="N1016"/>
      <c r="O1016"/>
    </row>
    <row r="1017" spans="11:15" x14ac:dyDescent="0.25">
      <c r="K1017"/>
      <c r="L1017"/>
      <c r="M1017"/>
      <c r="N1017"/>
      <c r="O1017"/>
    </row>
    <row r="1018" spans="11:15" x14ac:dyDescent="0.25">
      <c r="K1018"/>
      <c r="L1018"/>
      <c r="M1018"/>
      <c r="N1018"/>
      <c r="O1018"/>
    </row>
    <row r="1019" spans="11:15" x14ac:dyDescent="0.25">
      <c r="K1019"/>
      <c r="L1019"/>
      <c r="M1019"/>
      <c r="N1019"/>
      <c r="O1019"/>
    </row>
    <row r="1020" spans="11:15" x14ac:dyDescent="0.25">
      <c r="K1020"/>
      <c r="L1020"/>
      <c r="M1020"/>
      <c r="N1020"/>
      <c r="O1020"/>
    </row>
    <row r="1021" spans="11:15" x14ac:dyDescent="0.25">
      <c r="K1021"/>
      <c r="L1021"/>
      <c r="M1021"/>
      <c r="N1021"/>
      <c r="O1021"/>
    </row>
    <row r="1022" spans="11:15" x14ac:dyDescent="0.25">
      <c r="K1022"/>
      <c r="L1022"/>
      <c r="M1022"/>
      <c r="N1022"/>
      <c r="O1022"/>
    </row>
    <row r="1023" spans="11:15" x14ac:dyDescent="0.25">
      <c r="K1023"/>
      <c r="L1023"/>
      <c r="M1023"/>
      <c r="N1023"/>
      <c r="O1023"/>
    </row>
    <row r="1024" spans="11:15" x14ac:dyDescent="0.25">
      <c r="K1024"/>
      <c r="L1024"/>
      <c r="M1024"/>
      <c r="N1024"/>
      <c r="O1024"/>
    </row>
    <row r="1025" spans="11:15" x14ac:dyDescent="0.25">
      <c r="K1025"/>
      <c r="L1025"/>
      <c r="M1025"/>
      <c r="N1025"/>
      <c r="O1025"/>
    </row>
    <row r="1026" spans="11:15" x14ac:dyDescent="0.25">
      <c r="K1026"/>
      <c r="L1026"/>
      <c r="M1026"/>
      <c r="N1026"/>
      <c r="O1026"/>
    </row>
    <row r="1027" spans="11:15" x14ac:dyDescent="0.25">
      <c r="K1027"/>
      <c r="L1027"/>
      <c r="M1027"/>
      <c r="N1027"/>
      <c r="O1027"/>
    </row>
    <row r="1028" spans="11:15" x14ac:dyDescent="0.25">
      <c r="K1028"/>
      <c r="L1028"/>
      <c r="M1028"/>
      <c r="N1028"/>
      <c r="O1028"/>
    </row>
    <row r="1029" spans="11:15" x14ac:dyDescent="0.25">
      <c r="K1029"/>
      <c r="L1029"/>
      <c r="M1029"/>
      <c r="N1029"/>
      <c r="O1029"/>
    </row>
    <row r="1030" spans="11:15" x14ac:dyDescent="0.25">
      <c r="K1030"/>
      <c r="L1030"/>
      <c r="M1030"/>
      <c r="N1030"/>
      <c r="O1030"/>
    </row>
    <row r="1031" spans="11:15" x14ac:dyDescent="0.25">
      <c r="K1031"/>
      <c r="L1031"/>
      <c r="M1031"/>
      <c r="N1031"/>
      <c r="O1031"/>
    </row>
    <row r="1032" spans="11:15" x14ac:dyDescent="0.25">
      <c r="K1032"/>
      <c r="L1032"/>
      <c r="M1032"/>
      <c r="N1032"/>
      <c r="O1032"/>
    </row>
    <row r="1033" spans="11:15" x14ac:dyDescent="0.25">
      <c r="K1033"/>
      <c r="L1033"/>
      <c r="M1033"/>
      <c r="N1033"/>
      <c r="O1033"/>
    </row>
    <row r="1034" spans="11:15" x14ac:dyDescent="0.25">
      <c r="K1034"/>
      <c r="L1034"/>
      <c r="M1034"/>
      <c r="N1034"/>
      <c r="O1034"/>
    </row>
    <row r="1035" spans="11:15" x14ac:dyDescent="0.25">
      <c r="K1035"/>
      <c r="L1035"/>
      <c r="M1035"/>
      <c r="N1035"/>
      <c r="O1035"/>
    </row>
    <row r="1036" spans="11:15" x14ac:dyDescent="0.25">
      <c r="K1036"/>
      <c r="L1036"/>
      <c r="M1036"/>
      <c r="N1036"/>
      <c r="O1036"/>
    </row>
    <row r="1037" spans="11:15" x14ac:dyDescent="0.25">
      <c r="K1037"/>
      <c r="L1037"/>
      <c r="M1037"/>
      <c r="N1037"/>
      <c r="O1037"/>
    </row>
    <row r="1038" spans="11:15" x14ac:dyDescent="0.25">
      <c r="K1038"/>
      <c r="L1038"/>
      <c r="M1038"/>
      <c r="N1038"/>
      <c r="O1038"/>
    </row>
    <row r="1039" spans="11:15" x14ac:dyDescent="0.25">
      <c r="K1039"/>
      <c r="L1039"/>
      <c r="M1039"/>
      <c r="N1039"/>
      <c r="O1039"/>
    </row>
    <row r="1040" spans="11:15" x14ac:dyDescent="0.25">
      <c r="K1040"/>
      <c r="L1040"/>
      <c r="M1040"/>
      <c r="N1040"/>
      <c r="O1040"/>
    </row>
    <row r="1041" spans="11:15" x14ac:dyDescent="0.25">
      <c r="K1041"/>
      <c r="L1041"/>
      <c r="M1041"/>
      <c r="N1041"/>
      <c r="O1041"/>
    </row>
    <row r="1042" spans="11:15" x14ac:dyDescent="0.25">
      <c r="K1042"/>
      <c r="L1042"/>
      <c r="M1042"/>
      <c r="N1042"/>
      <c r="O1042"/>
    </row>
    <row r="1043" spans="11:15" x14ac:dyDescent="0.25">
      <c r="K1043"/>
      <c r="L1043"/>
      <c r="M1043"/>
      <c r="N1043"/>
      <c r="O1043"/>
    </row>
    <row r="1044" spans="11:15" x14ac:dyDescent="0.25">
      <c r="K1044"/>
      <c r="L1044"/>
      <c r="M1044"/>
      <c r="N1044"/>
      <c r="O1044"/>
    </row>
    <row r="1045" spans="11:15" x14ac:dyDescent="0.25">
      <c r="K1045"/>
      <c r="L1045"/>
      <c r="M1045"/>
      <c r="N1045"/>
      <c r="O1045"/>
    </row>
    <row r="1046" spans="11:15" x14ac:dyDescent="0.25">
      <c r="K1046"/>
      <c r="L1046"/>
      <c r="M1046"/>
      <c r="N1046"/>
      <c r="O1046"/>
    </row>
    <row r="1047" spans="11:15" x14ac:dyDescent="0.25">
      <c r="K1047"/>
      <c r="L1047"/>
      <c r="M1047"/>
      <c r="N1047"/>
      <c r="O1047"/>
    </row>
    <row r="1048" spans="11:15" x14ac:dyDescent="0.25">
      <c r="K1048"/>
      <c r="L1048"/>
      <c r="M1048"/>
      <c r="N1048"/>
      <c r="O1048"/>
    </row>
    <row r="1049" spans="11:15" x14ac:dyDescent="0.25">
      <c r="K1049"/>
      <c r="L1049"/>
      <c r="M1049"/>
      <c r="N1049"/>
      <c r="O1049"/>
    </row>
    <row r="1050" spans="11:15" x14ac:dyDescent="0.25">
      <c r="K1050"/>
      <c r="L1050"/>
      <c r="M1050"/>
      <c r="N1050"/>
      <c r="O1050"/>
    </row>
    <row r="1051" spans="11:15" x14ac:dyDescent="0.25">
      <c r="K1051"/>
      <c r="L1051"/>
      <c r="M1051"/>
      <c r="N1051"/>
      <c r="O1051"/>
    </row>
    <row r="1052" spans="11:15" x14ac:dyDescent="0.25">
      <c r="K1052"/>
      <c r="L1052"/>
      <c r="M1052"/>
      <c r="N1052"/>
      <c r="O1052"/>
    </row>
    <row r="1053" spans="11:15" x14ac:dyDescent="0.25">
      <c r="K1053"/>
      <c r="L1053"/>
      <c r="M1053"/>
      <c r="N1053"/>
      <c r="O1053"/>
    </row>
    <row r="1054" spans="11:15" x14ac:dyDescent="0.25">
      <c r="K1054"/>
      <c r="L1054"/>
      <c r="M1054"/>
      <c r="N1054"/>
      <c r="O1054"/>
    </row>
    <row r="1055" spans="11:15" x14ac:dyDescent="0.25">
      <c r="K1055"/>
      <c r="L1055"/>
      <c r="M1055"/>
      <c r="N1055"/>
      <c r="O1055"/>
    </row>
    <row r="1056" spans="11:15" x14ac:dyDescent="0.25">
      <c r="K1056"/>
      <c r="L1056"/>
      <c r="M1056"/>
      <c r="N1056"/>
      <c r="O1056"/>
    </row>
    <row r="1057" spans="11:15" x14ac:dyDescent="0.25">
      <c r="K1057"/>
      <c r="L1057"/>
      <c r="M1057"/>
      <c r="N1057"/>
      <c r="O1057"/>
    </row>
    <row r="1058" spans="11:15" x14ac:dyDescent="0.25">
      <c r="K1058"/>
      <c r="L1058"/>
      <c r="M1058"/>
      <c r="N1058"/>
      <c r="O1058"/>
    </row>
    <row r="1059" spans="11:15" x14ac:dyDescent="0.25">
      <c r="K1059"/>
      <c r="L1059"/>
      <c r="M1059"/>
      <c r="N1059"/>
      <c r="O1059"/>
    </row>
    <row r="1060" spans="11:15" x14ac:dyDescent="0.25">
      <c r="K1060"/>
      <c r="L1060"/>
      <c r="M1060"/>
      <c r="N1060"/>
      <c r="O1060"/>
    </row>
    <row r="1061" spans="11:15" x14ac:dyDescent="0.25">
      <c r="K1061"/>
      <c r="L1061"/>
      <c r="M1061"/>
      <c r="N1061"/>
      <c r="O1061"/>
    </row>
    <row r="1062" spans="11:15" x14ac:dyDescent="0.25">
      <c r="K1062"/>
      <c r="L1062"/>
      <c r="M1062"/>
      <c r="N1062"/>
      <c r="O1062"/>
    </row>
    <row r="1063" spans="11:15" x14ac:dyDescent="0.25">
      <c r="K1063"/>
      <c r="L1063"/>
      <c r="M1063"/>
      <c r="N1063"/>
      <c r="O1063"/>
    </row>
  </sheetData>
  <sheetProtection sheet="1" objects="1" scenarios="1"/>
  <autoFilter ref="G25:G115" xr:uid="{00000000-0009-0000-0000-000004000000}"/>
  <pageMargins left="0.70866141732283472" right="0.51181102362204722" top="0.55118110236220474" bottom="0.55118110236220474" header="0.31496062992125984" footer="0.31496062992125984"/>
  <pageSetup paperSize="9" orientation="portrait" r:id="rId1"/>
  <colBreaks count="2" manualBreakCount="2">
    <brk id="9" max="1048575" man="1"/>
    <brk id="15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913" r:id="rId4" name="Drop Down 1">
              <controlPr defaultSize="0" print="0" autoLine="0" autoPict="0">
                <anchor moveWithCells="1">
                  <from>
                    <xdr:col>6</xdr:col>
                    <xdr:colOff>171450</xdr:colOff>
                    <xdr:row>13</xdr:row>
                    <xdr:rowOff>180975</xdr:rowOff>
                  </from>
                  <to>
                    <xdr:col>9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4" r:id="rId5" name="Check Box 2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13</xdr:row>
                    <xdr:rowOff>161925</xdr:rowOff>
                  </from>
                  <to>
                    <xdr:col>5</xdr:col>
                    <xdr:colOff>981075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5" r:id="rId6" name="Check Box 3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14</xdr:row>
                    <xdr:rowOff>161925</xdr:rowOff>
                  </from>
                  <to>
                    <xdr:col>5</xdr:col>
                    <xdr:colOff>981075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6" r:id="rId7" name="Drop Down 4">
              <controlPr defaultSize="0" print="0" autoLine="0" autoPict="0">
                <anchor moveWithCells="1">
                  <from>
                    <xdr:col>6</xdr:col>
                    <xdr:colOff>171450</xdr:colOff>
                    <xdr:row>15</xdr:row>
                    <xdr:rowOff>0</xdr:rowOff>
                  </from>
                  <to>
                    <xdr:col>9</xdr:col>
                    <xdr:colOff>9525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7" r:id="rId8" name="Check Box 5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15</xdr:row>
                    <xdr:rowOff>161925</xdr:rowOff>
                  </from>
                  <to>
                    <xdr:col>5</xdr:col>
                    <xdr:colOff>981075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8" r:id="rId9" name="Check Box 6">
              <controlPr defaultSize="0" print="0" autoFill="0" autoLine="0" autoPict="0">
                <anchor moveWithCells="1">
                  <from>
                    <xdr:col>6</xdr:col>
                    <xdr:colOff>161925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7"/>
  <dimension ref="A1:P1063"/>
  <sheetViews>
    <sheetView showGridLines="0" zoomScale="85" zoomScaleNormal="85" workbookViewId="0">
      <selection activeCell="C4" sqref="C4"/>
    </sheetView>
  </sheetViews>
  <sheetFormatPr defaultRowHeight="15" x14ac:dyDescent="0.25"/>
  <cols>
    <col min="1" max="1" width="2.7109375" style="1" customWidth="1"/>
    <col min="2" max="2" width="5.28515625" style="1" customWidth="1"/>
    <col min="3" max="3" width="9" style="1" customWidth="1"/>
    <col min="4" max="5" width="14.28515625" style="1" customWidth="1"/>
    <col min="6" max="6" width="14.85546875" style="1" customWidth="1"/>
    <col min="7" max="7" width="2.7109375" style="1" customWidth="1"/>
    <col min="8" max="8" width="9" style="1" customWidth="1"/>
    <col min="9" max="9" width="12.5703125" style="1" customWidth="1"/>
    <col min="10" max="10" width="2.7109375" style="1" customWidth="1"/>
    <col min="11" max="11" width="9.42578125" style="1" bestFit="1" customWidth="1"/>
    <col min="12" max="12" width="9" style="1" customWidth="1"/>
    <col min="13" max="13" width="14.28515625" style="1" customWidth="1"/>
    <col min="14" max="14" width="59.85546875" style="1" bestFit="1" customWidth="1"/>
    <col min="15" max="15" width="8.28515625" style="1" bestFit="1" customWidth="1"/>
    <col min="16" max="16" width="2.7109375" style="1" customWidth="1"/>
    <col min="17" max="17" width="87.140625" style="1" customWidth="1"/>
    <col min="18" max="16384" width="9.140625" style="1"/>
  </cols>
  <sheetData>
    <row r="1" spans="2:16" x14ac:dyDescent="0.25">
      <c r="B1" s="2" t="s">
        <v>3</v>
      </c>
      <c r="H1" s="38" t="s">
        <v>19</v>
      </c>
      <c r="I1" s="15"/>
      <c r="K1" s="12" t="s">
        <v>4</v>
      </c>
      <c r="L1" s="13"/>
      <c r="M1" s="12"/>
      <c r="N1" s="13"/>
      <c r="O1" s="14">
        <f>O3/(L3+O3)</f>
        <v>9.3724811456920957E-5</v>
      </c>
    </row>
    <row r="2" spans="2:16" ht="33" customHeight="1" x14ac:dyDescent="0.25">
      <c r="B2" s="3" t="str">
        <f>B24</f>
        <v>№</v>
      </c>
      <c r="C2" s="3" t="s">
        <v>1</v>
      </c>
      <c r="D2" s="3" t="s">
        <v>0</v>
      </c>
      <c r="E2" s="3" t="s">
        <v>10</v>
      </c>
      <c r="F2" s="4" t="s">
        <v>12</v>
      </c>
      <c r="H2" s="3" t="s">
        <v>1</v>
      </c>
      <c r="I2" s="3" t="s">
        <v>0</v>
      </c>
      <c r="K2" s="5" t="s">
        <v>1</v>
      </c>
      <c r="L2" s="5" t="s">
        <v>6</v>
      </c>
      <c r="M2" s="6" t="s">
        <v>11</v>
      </c>
      <c r="N2" s="5" t="s">
        <v>7</v>
      </c>
      <c r="O2" s="6" t="str">
        <f>"Отходы
"&amp;IF((L3+O3)&gt;0,TEXT(O3/(L3+O3),"0,00%"),"")</f>
        <v>Отходы
000%</v>
      </c>
    </row>
    <row r="3" spans="2:16" x14ac:dyDescent="0.25">
      <c r="B3" s="27"/>
      <c r="C3" s="27">
        <f>IF(COUNT(C4:C13)=COUNT(D4:D13),SUMPRODUCT(C4:C13,D4:D13),)</f>
        <v>0</v>
      </c>
      <c r="D3" s="23" t="str">
        <f>IF(COUNT(C4:C13)=COUNT(D4:D13),SUM(D4:D13),"много")</f>
        <v>много</v>
      </c>
      <c r="E3" s="23">
        <f>SUM(E4:E13)</f>
        <v>54</v>
      </c>
      <c r="F3" s="23" t="str">
        <f>IF(D3="много","много",D3-E3)</f>
        <v>много</v>
      </c>
      <c r="H3" s="27">
        <f>SUMPRODUCT(H4:H13,I4:I13)</f>
        <v>3914</v>
      </c>
      <c r="I3" s="23" t="str">
        <f>IF(COUNT(H4:H13)=COUNT(I4:I13),SUM(I4:I13),"много")</f>
        <v>много</v>
      </c>
      <c r="K3" s="31">
        <f>SUMPRODUCT(K4:K1060,$M4:$M1060)</f>
        <v>324000</v>
      </c>
      <c r="L3" s="31">
        <f>SUMPRODUCT(L4:L1060,$M4:$M1060)</f>
        <v>320056</v>
      </c>
      <c r="M3" s="32">
        <f>SUM(M4:M1060)</f>
        <v>54</v>
      </c>
      <c r="N3" s="33"/>
      <c r="O3" s="31">
        <f t="array" ref="O3">SUM(IF((O4:O1060&lt;D17)+(D17=0),$M4:$M1060*O4:O1060))</f>
        <v>30</v>
      </c>
    </row>
    <row r="4" spans="2:16" x14ac:dyDescent="0.25">
      <c r="B4" s="36">
        <f>IF(N(C4)=0,"",1)</f>
        <v>1</v>
      </c>
      <c r="C4" s="48">
        <v>6000</v>
      </c>
      <c r="D4" s="9"/>
      <c r="E4" s="28">
        <f t="shared" ref="E4:E13" si="0">MIN(SUMIF(K$4:K$1060,C4,M$4:M$1060),D4)</f>
        <v>54</v>
      </c>
      <c r="F4" s="28">
        <f>IF(D4,D4-E4,)</f>
        <v>0</v>
      </c>
      <c r="H4" s="51">
        <v>6000</v>
      </c>
      <c r="I4" s="41"/>
      <c r="K4" s="66">
        <v>6000</v>
      </c>
      <c r="L4" s="65">
        <v>6000</v>
      </c>
      <c r="M4" s="72">
        <v>1</v>
      </c>
      <c r="N4" s="69" t="s">
        <v>112</v>
      </c>
      <c r="O4" s="65">
        <f t="shared" ref="O4:O35" si="1">K4-L4</f>
        <v>0</v>
      </c>
    </row>
    <row r="5" spans="2:16" x14ac:dyDescent="0.25">
      <c r="B5" s="34" t="str">
        <f>IF(N(C5)=0,"",IF(ISNUMBER(MATCH(C5,C$4:C4,)),INDEX(B$4:B4,MATCH(C5,C$4:C4,)),MAX(B$4:B4)+1))</f>
        <v/>
      </c>
      <c r="C5" s="49"/>
      <c r="D5" s="10"/>
      <c r="E5" s="29">
        <f t="shared" si="0"/>
        <v>0</v>
      </c>
      <c r="F5" s="29">
        <f>IF(D5,D5-E5,)</f>
        <v>0</v>
      </c>
      <c r="H5" s="52">
        <v>3914</v>
      </c>
      <c r="I5" s="42">
        <v>1</v>
      </c>
      <c r="K5" s="67">
        <v>6000</v>
      </c>
      <c r="L5" s="45">
        <v>6000</v>
      </c>
      <c r="M5" s="73">
        <v>1</v>
      </c>
      <c r="N5" s="70" t="s">
        <v>113</v>
      </c>
      <c r="O5" s="45">
        <f t="shared" si="1"/>
        <v>0</v>
      </c>
    </row>
    <row r="6" spans="2:16" x14ac:dyDescent="0.25">
      <c r="B6" s="34" t="str">
        <f>IF(N(C6)=0,"",IF(ISNUMBER(MATCH(C6,C$4:C5,)),INDEX(B$4:B5,MATCH(C6,C$4:C5,)),MAX(B$4:B5)+1))</f>
        <v/>
      </c>
      <c r="C6" s="49"/>
      <c r="D6" s="10"/>
      <c r="E6" s="29">
        <f t="shared" si="0"/>
        <v>0</v>
      </c>
      <c r="F6" s="29">
        <f t="shared" ref="F6:F11" si="2">IF(D6,D6-E6,)</f>
        <v>0</v>
      </c>
      <c r="H6" s="52"/>
      <c r="I6" s="42"/>
      <c r="K6" s="67">
        <v>6000</v>
      </c>
      <c r="L6" s="45">
        <v>6000</v>
      </c>
      <c r="M6" s="73">
        <v>1</v>
      </c>
      <c r="N6" s="70" t="s">
        <v>114</v>
      </c>
      <c r="O6" s="45">
        <f t="shared" si="1"/>
        <v>0</v>
      </c>
    </row>
    <row r="7" spans="2:16" x14ac:dyDescent="0.25">
      <c r="B7" s="34" t="str">
        <f>IF(N(C7)=0,"",IF(ISNUMBER(MATCH(C7,C$4:C6,)),INDEX(B$4:B6,MATCH(C7,C$4:C6,)),MAX(B$4:B6)+1))</f>
        <v/>
      </c>
      <c r="C7" s="49"/>
      <c r="D7" s="10"/>
      <c r="E7" s="29">
        <f t="shared" si="0"/>
        <v>0</v>
      </c>
      <c r="F7" s="29">
        <f t="shared" si="2"/>
        <v>0</v>
      </c>
      <c r="H7" s="52"/>
      <c r="I7" s="42"/>
      <c r="K7" s="67">
        <v>6000</v>
      </c>
      <c r="L7" s="45">
        <v>6000</v>
      </c>
      <c r="M7" s="73">
        <v>1</v>
      </c>
      <c r="N7" s="70" t="s">
        <v>115</v>
      </c>
      <c r="O7" s="45">
        <f t="shared" si="1"/>
        <v>0</v>
      </c>
    </row>
    <row r="8" spans="2:16" x14ac:dyDescent="0.25">
      <c r="B8" s="34" t="str">
        <f>IF(N(C8)=0,"",IF(ISNUMBER(MATCH(C8,C$4:C7,)),INDEX(B$4:B7,MATCH(C8,C$4:C7,)),MAX(B$4:B7)+1))</f>
        <v/>
      </c>
      <c r="C8" s="49"/>
      <c r="D8" s="10"/>
      <c r="E8" s="29">
        <f t="shared" si="0"/>
        <v>0</v>
      </c>
      <c r="F8" s="29">
        <f t="shared" si="2"/>
        <v>0</v>
      </c>
      <c r="H8" s="52"/>
      <c r="I8" s="42"/>
      <c r="K8" s="67">
        <v>6000</v>
      </c>
      <c r="L8" s="45">
        <v>6000</v>
      </c>
      <c r="M8" s="73">
        <v>1</v>
      </c>
      <c r="N8" s="70" t="s">
        <v>116</v>
      </c>
      <c r="O8" s="45">
        <f t="shared" si="1"/>
        <v>0</v>
      </c>
    </row>
    <row r="9" spans="2:16" x14ac:dyDescent="0.25">
      <c r="B9" s="34" t="str">
        <f>IF(N(C9)=0,"",IF(ISNUMBER(MATCH(C9,C$4:C8,)),INDEX(B$4:B8,MATCH(C9,C$4:C8,)),MAX(B$4:B8)+1))</f>
        <v/>
      </c>
      <c r="C9" s="49"/>
      <c r="D9" s="10"/>
      <c r="E9" s="29">
        <f t="shared" si="0"/>
        <v>0</v>
      </c>
      <c r="F9" s="29">
        <f t="shared" si="2"/>
        <v>0</v>
      </c>
      <c r="H9" s="52"/>
      <c r="I9" s="42"/>
      <c r="K9" s="67">
        <v>6000</v>
      </c>
      <c r="L9" s="45">
        <v>6000</v>
      </c>
      <c r="M9" s="73">
        <v>1</v>
      </c>
      <c r="N9" s="70" t="s">
        <v>117</v>
      </c>
      <c r="O9" s="45">
        <f t="shared" si="1"/>
        <v>0</v>
      </c>
    </row>
    <row r="10" spans="2:16" x14ac:dyDescent="0.25">
      <c r="B10" s="34" t="str">
        <f>IF(N(C10)=0,"",IF(ISNUMBER(MATCH(C10,C$4:C9,)),INDEX(B$4:B9,MATCH(C10,C$4:C9,)),MAX(B$4:B9)+1))</f>
        <v/>
      </c>
      <c r="C10" s="49"/>
      <c r="D10" s="10"/>
      <c r="E10" s="29">
        <f t="shared" si="0"/>
        <v>0</v>
      </c>
      <c r="F10" s="29">
        <f t="shared" si="2"/>
        <v>0</v>
      </c>
      <c r="H10" s="52"/>
      <c r="I10" s="42"/>
      <c r="K10" s="67">
        <v>6000</v>
      </c>
      <c r="L10" s="45">
        <v>6000</v>
      </c>
      <c r="M10" s="73">
        <v>1</v>
      </c>
      <c r="N10" s="70" t="s">
        <v>118</v>
      </c>
      <c r="O10" s="45">
        <f t="shared" si="1"/>
        <v>0</v>
      </c>
    </row>
    <row r="11" spans="2:16" x14ac:dyDescent="0.25">
      <c r="B11" s="34" t="str">
        <f>IF(N(C11)=0,"",IF(ISNUMBER(MATCH(C11,C$4:C10,)),INDEX(B$4:B10,MATCH(C11,C$4:C10,)),MAX(B$4:B10)+1))</f>
        <v/>
      </c>
      <c r="C11" s="49"/>
      <c r="D11" s="10"/>
      <c r="E11" s="29">
        <f t="shared" si="0"/>
        <v>0</v>
      </c>
      <c r="F11" s="29">
        <f t="shared" si="2"/>
        <v>0</v>
      </c>
      <c r="H11" s="52"/>
      <c r="I11" s="42"/>
      <c r="K11" s="67">
        <v>6000</v>
      </c>
      <c r="L11" s="45">
        <v>6000</v>
      </c>
      <c r="M11" s="73">
        <v>1</v>
      </c>
      <c r="N11" s="70" t="s">
        <v>119</v>
      </c>
      <c r="O11" s="45">
        <f t="shared" si="1"/>
        <v>0</v>
      </c>
    </row>
    <row r="12" spans="2:16" x14ac:dyDescent="0.25">
      <c r="B12" s="34" t="str">
        <f>IF(N(C12)=0,"",IF(ISNUMBER(MATCH(C12,C$4:C11,)),INDEX(B$4:B11,MATCH(C12,C$4:C11,)),MAX(B$4:B11)+1))</f>
        <v/>
      </c>
      <c r="C12" s="49"/>
      <c r="D12" s="10"/>
      <c r="E12" s="29">
        <f t="shared" si="0"/>
        <v>0</v>
      </c>
      <c r="F12" s="29">
        <f>IF(D12,D12-E12,)</f>
        <v>0</v>
      </c>
      <c r="H12" s="52"/>
      <c r="I12" s="42"/>
      <c r="K12" s="67">
        <v>6000</v>
      </c>
      <c r="L12" s="45">
        <v>6000</v>
      </c>
      <c r="M12" s="73">
        <v>1</v>
      </c>
      <c r="N12" s="70" t="s">
        <v>120</v>
      </c>
      <c r="O12" s="45">
        <f t="shared" si="1"/>
        <v>0</v>
      </c>
    </row>
    <row r="13" spans="2:16" x14ac:dyDescent="0.25">
      <c r="B13" s="35" t="str">
        <f>IF(N(C13)=0,"",IF(ISNUMBER(MATCH(C13,C$4:C12,)),INDEX(B$4:B12,MATCH(C13,C$4:C12,)),MAX(B$4:B12)+1))</f>
        <v/>
      </c>
      <c r="C13" s="50"/>
      <c r="D13" s="11"/>
      <c r="E13" s="30">
        <f t="shared" si="0"/>
        <v>0</v>
      </c>
      <c r="F13" s="30">
        <f>IF(D13,D13-E13,)</f>
        <v>0</v>
      </c>
      <c r="H13" s="53"/>
      <c r="I13" s="43"/>
      <c r="K13" s="67">
        <v>6000</v>
      </c>
      <c r="L13" s="45">
        <v>6000</v>
      </c>
      <c r="M13" s="73">
        <v>1</v>
      </c>
      <c r="N13" s="70" t="s">
        <v>121</v>
      </c>
      <c r="O13" s="45">
        <f t="shared" si="1"/>
        <v>0</v>
      </c>
    </row>
    <row r="14" spans="2:16" x14ac:dyDescent="0.25">
      <c r="J14" s="15"/>
      <c r="K14" s="67">
        <v>6000</v>
      </c>
      <c r="L14" s="45">
        <v>6000</v>
      </c>
      <c r="M14" s="73">
        <v>1</v>
      </c>
      <c r="N14" s="70" t="s">
        <v>122</v>
      </c>
      <c r="O14" s="45">
        <f t="shared" si="1"/>
        <v>0</v>
      </c>
      <c r="P14" s="15"/>
    </row>
    <row r="15" spans="2:16" x14ac:dyDescent="0.25">
      <c r="B15" s="2" t="s">
        <v>13</v>
      </c>
      <c r="D15" s="37">
        <v>10</v>
      </c>
      <c r="E15" s="21" t="b">
        <v>1</v>
      </c>
      <c r="G15" s="17" t="s">
        <v>40</v>
      </c>
      <c r="H15" s="21">
        <v>5</v>
      </c>
      <c r="I15" s="17"/>
      <c r="J15" s="15"/>
      <c r="K15" s="67">
        <v>6000</v>
      </c>
      <c r="L15" s="45">
        <v>6000</v>
      </c>
      <c r="M15" s="73">
        <v>1</v>
      </c>
      <c r="N15" s="70" t="s">
        <v>123</v>
      </c>
      <c r="O15" s="45">
        <f t="shared" si="1"/>
        <v>0</v>
      </c>
      <c r="P15" s="15"/>
    </row>
    <row r="16" spans="2:16" x14ac:dyDescent="0.25">
      <c r="B16" s="38" t="s">
        <v>17</v>
      </c>
      <c r="C16" s="15"/>
      <c r="D16" s="39">
        <v>10</v>
      </c>
      <c r="E16" s="22" t="b">
        <v>1</v>
      </c>
      <c r="G16" s="17" t="s">
        <v>41</v>
      </c>
      <c r="H16" s="21">
        <v>1</v>
      </c>
      <c r="I16" s="17"/>
      <c r="J16" s="15"/>
      <c r="K16" s="67">
        <v>6000</v>
      </c>
      <c r="L16" s="45">
        <v>6000</v>
      </c>
      <c r="M16" s="73">
        <v>1</v>
      </c>
      <c r="N16" s="70" t="s">
        <v>124</v>
      </c>
      <c r="O16" s="45">
        <f t="shared" si="1"/>
        <v>0</v>
      </c>
      <c r="P16" s="15"/>
    </row>
    <row r="17" spans="1:16" x14ac:dyDescent="0.25">
      <c r="B17" s="38" t="s">
        <v>18</v>
      </c>
      <c r="C17" s="15"/>
      <c r="D17" s="39">
        <v>1000</v>
      </c>
      <c r="E17" s="22" t="b">
        <v>0</v>
      </c>
      <c r="F17" s="22" t="b">
        <v>0</v>
      </c>
      <c r="G17" s="17" t="s">
        <v>42</v>
      </c>
      <c r="I17" s="17"/>
      <c r="J17" s="15"/>
      <c r="K17" s="67">
        <v>6000</v>
      </c>
      <c r="L17" s="45">
        <v>6000</v>
      </c>
      <c r="M17" s="73">
        <v>1</v>
      </c>
      <c r="N17" s="70" t="s">
        <v>125</v>
      </c>
      <c r="O17" s="45">
        <f t="shared" si="1"/>
        <v>0</v>
      </c>
      <c r="P17" s="15"/>
    </row>
    <row r="18" spans="1:16" x14ac:dyDescent="0.25">
      <c r="B18" s="38"/>
      <c r="C18" s="15"/>
      <c r="D18" s="40"/>
      <c r="E18" s="22"/>
      <c r="G18" s="17" t="s">
        <v>43</v>
      </c>
      <c r="H18" s="15"/>
      <c r="I18" s="17"/>
      <c r="J18" s="15"/>
      <c r="K18" s="67">
        <v>6000</v>
      </c>
      <c r="L18" s="45">
        <v>6000</v>
      </c>
      <c r="M18" s="73">
        <v>1</v>
      </c>
      <c r="N18" s="70" t="s">
        <v>126</v>
      </c>
      <c r="O18" s="45">
        <f t="shared" si="1"/>
        <v>0</v>
      </c>
      <c r="P18" s="15"/>
    </row>
    <row r="19" spans="1:16" x14ac:dyDescent="0.25">
      <c r="B19" s="38"/>
      <c r="C19" s="15"/>
      <c r="D19" s="40"/>
      <c r="E19" s="22"/>
      <c r="G19" s="17" t="s">
        <v>44</v>
      </c>
      <c r="H19" s="15"/>
      <c r="I19" s="16"/>
      <c r="J19" s="15"/>
      <c r="K19" s="67">
        <v>6000</v>
      </c>
      <c r="L19" s="45">
        <v>6000</v>
      </c>
      <c r="M19" s="73">
        <v>1</v>
      </c>
      <c r="N19" s="70" t="s">
        <v>127</v>
      </c>
      <c r="O19" s="45">
        <f t="shared" si="1"/>
        <v>0</v>
      </c>
      <c r="P19" s="15"/>
    </row>
    <row r="20" spans="1:16" x14ac:dyDescent="0.25">
      <c r="B20" s="38"/>
      <c r="C20" s="15"/>
      <c r="D20" s="40"/>
      <c r="E20" s="22"/>
      <c r="H20" s="15"/>
      <c r="I20" s="16"/>
      <c r="J20" s="15"/>
      <c r="K20" s="67">
        <v>6000</v>
      </c>
      <c r="L20" s="45">
        <v>6000</v>
      </c>
      <c r="M20" s="73">
        <v>1</v>
      </c>
      <c r="N20" s="70" t="s">
        <v>128</v>
      </c>
      <c r="O20" s="45">
        <f t="shared" si="1"/>
        <v>0</v>
      </c>
      <c r="P20" s="15"/>
    </row>
    <row r="21" spans="1:16" x14ac:dyDescent="0.25">
      <c r="B21" s="38"/>
      <c r="C21" s="15"/>
      <c r="D21" s="40"/>
      <c r="E21" s="22"/>
      <c r="H21" s="15"/>
      <c r="I21" s="16"/>
      <c r="J21" s="15"/>
      <c r="K21" s="67">
        <v>6000</v>
      </c>
      <c r="L21" s="45">
        <v>6000</v>
      </c>
      <c r="M21" s="73">
        <v>1</v>
      </c>
      <c r="N21" s="70" t="s">
        <v>129</v>
      </c>
      <c r="O21" s="45">
        <f t="shared" si="1"/>
        <v>0</v>
      </c>
      <c r="P21" s="15"/>
    </row>
    <row r="22" spans="1:16" x14ac:dyDescent="0.25">
      <c r="B22" s="38"/>
      <c r="C22" s="15"/>
      <c r="D22" s="40"/>
      <c r="E22" s="22"/>
      <c r="H22" s="15"/>
      <c r="I22" s="16"/>
      <c r="J22" s="15"/>
      <c r="K22" s="67">
        <v>6000</v>
      </c>
      <c r="L22" s="45">
        <v>6000</v>
      </c>
      <c r="M22" s="73">
        <v>1</v>
      </c>
      <c r="N22" s="70" t="s">
        <v>130</v>
      </c>
      <c r="O22" s="45">
        <f t="shared" si="1"/>
        <v>0</v>
      </c>
      <c r="P22" s="15"/>
    </row>
    <row r="23" spans="1:16" x14ac:dyDescent="0.25">
      <c r="B23" s="2" t="s">
        <v>2</v>
      </c>
      <c r="H23" s="2" t="s">
        <v>5</v>
      </c>
      <c r="I23" s="2"/>
      <c r="J23" s="15"/>
      <c r="K23" s="67">
        <v>6000</v>
      </c>
      <c r="L23" s="45">
        <v>6000</v>
      </c>
      <c r="M23" s="73">
        <v>1</v>
      </c>
      <c r="N23" s="70" t="s">
        <v>131</v>
      </c>
      <c r="O23" s="45">
        <f t="shared" si="1"/>
        <v>0</v>
      </c>
      <c r="P23" s="15"/>
    </row>
    <row r="24" spans="1:16" x14ac:dyDescent="0.25">
      <c r="B24" s="3" t="s">
        <v>14</v>
      </c>
      <c r="C24" s="3" t="s">
        <v>1</v>
      </c>
      <c r="D24" s="3" t="s">
        <v>0</v>
      </c>
      <c r="E24" s="3" t="s">
        <v>8</v>
      </c>
      <c r="F24" s="4" t="s">
        <v>9</v>
      </c>
      <c r="H24" s="3" t="s">
        <v>1</v>
      </c>
      <c r="I24" s="3" t="s">
        <v>0</v>
      </c>
      <c r="J24" s="15"/>
      <c r="K24" s="67">
        <v>6000</v>
      </c>
      <c r="L24" s="45">
        <v>6000</v>
      </c>
      <c r="M24" s="73">
        <v>1</v>
      </c>
      <c r="N24" s="70" t="s">
        <v>132</v>
      </c>
      <c r="O24" s="45">
        <f t="shared" si="1"/>
        <v>0</v>
      </c>
      <c r="P24" s="15"/>
    </row>
    <row r="25" spans="1:16" x14ac:dyDescent="0.25">
      <c r="B25" s="27"/>
      <c r="C25" s="27">
        <f>IF(D25="много","много",SUMPRODUCT(C26:C115,D26:D115))</f>
        <v>316956</v>
      </c>
      <c r="D25" s="23">
        <f t="array" ref="D25">IF(OR((D26:D115="")+(C26:C115="")=1),"много",SUM(D26:D115))</f>
        <v>256</v>
      </c>
      <c r="E25" s="23">
        <f>SUM(E26:E115)</f>
        <v>256</v>
      </c>
      <c r="F25" s="23">
        <f>IF(D25="много","много",SUM(F26:F115))</f>
        <v>0</v>
      </c>
      <c r="H25" s="27">
        <f>SUMPRODUCT(H26:H115,I26:I115)</f>
        <v>0</v>
      </c>
      <c r="I25" s="23">
        <f>SUM(I26:I115)</f>
        <v>0</v>
      </c>
      <c r="J25" s="15"/>
      <c r="K25" s="67">
        <v>6000</v>
      </c>
      <c r="L25" s="45">
        <v>6000</v>
      </c>
      <c r="M25" s="73">
        <v>1</v>
      </c>
      <c r="N25" s="70" t="s">
        <v>133</v>
      </c>
      <c r="O25" s="45">
        <f t="shared" si="1"/>
        <v>0</v>
      </c>
      <c r="P25" s="15"/>
    </row>
    <row r="26" spans="1:16" x14ac:dyDescent="0.25">
      <c r="A26" s="17">
        <v>2</v>
      </c>
      <c r="B26" s="36">
        <f>IF(N(C26)=0,"",1)</f>
        <v>1</v>
      </c>
      <c r="C26" s="54">
        <v>636</v>
      </c>
      <c r="D26" s="44">
        <v>4</v>
      </c>
      <c r="E26" s="24">
        <f t="shared" ref="E26:E89" si="3">IF($K$3=0,0,IF(ISNA(VLOOKUP(C26,H$26:I$115,2,))*C26,D26,IF(C26="","",IF(D26="",TRUNC($C$3/C26)-VLOOKUP(C26,H$26:I$115,2,),D26-VLOOKUP(C26,H$26:I$115,2,)))))</f>
        <v>4</v>
      </c>
      <c r="F26" s="24">
        <f t="shared" ref="F26:F89" si="4">IF($K$3=0,"",IF(AND(C26&lt;&gt;"",D26&lt;&gt;""),D26-E26,IF(D26="","",TRUNC($C$3/C26)-VLOOKUP(C26,H$26:I$115,2,))))</f>
        <v>0</v>
      </c>
      <c r="G26" s="47">
        <f>--(C26+H26+K26&gt;0)</f>
        <v>1</v>
      </c>
      <c r="H26" s="51"/>
      <c r="I26" s="18"/>
      <c r="J26" s="15"/>
      <c r="K26" s="67">
        <v>6000</v>
      </c>
      <c r="L26" s="45">
        <v>6000</v>
      </c>
      <c r="M26" s="73">
        <v>1</v>
      </c>
      <c r="N26" s="70" t="s">
        <v>134</v>
      </c>
      <c r="O26" s="45">
        <f t="shared" si="1"/>
        <v>0</v>
      </c>
      <c r="P26" s="15"/>
    </row>
    <row r="27" spans="1:16" x14ac:dyDescent="0.25">
      <c r="A27" s="17">
        <v>3</v>
      </c>
      <c r="B27" s="34">
        <f>IF(N(C27)=0,"",IF(ISNUMBER(MATCH(C27,C$26:C26,)),INDEX(B$26:B26,MATCH(C27,C$26:C26,)),MAX(B$26:B26)+1))</f>
        <v>2</v>
      </c>
      <c r="C27" s="55">
        <v>676</v>
      </c>
      <c r="D27" s="7">
        <v>4</v>
      </c>
      <c r="E27" s="25">
        <f t="shared" si="3"/>
        <v>4</v>
      </c>
      <c r="F27" s="25">
        <f t="shared" si="4"/>
        <v>0</v>
      </c>
      <c r="G27" s="47">
        <f t="shared" ref="G27:G90" si="5">--(C27+H27+K27&gt;0)</f>
        <v>1</v>
      </c>
      <c r="H27" s="52"/>
      <c r="I27" s="19"/>
      <c r="J27" s="15"/>
      <c r="K27" s="67">
        <v>6000</v>
      </c>
      <c r="L27" s="45">
        <v>6000</v>
      </c>
      <c r="M27" s="73">
        <v>1</v>
      </c>
      <c r="N27" s="70" t="s">
        <v>135</v>
      </c>
      <c r="O27" s="45">
        <f t="shared" si="1"/>
        <v>0</v>
      </c>
      <c r="P27" s="15"/>
    </row>
    <row r="28" spans="1:16" x14ac:dyDescent="0.25">
      <c r="A28" s="17">
        <v>4</v>
      </c>
      <c r="B28" s="34">
        <f>IF(N(C28)=0,"",IF(ISNUMBER(MATCH(C28,C$26:C27,)),INDEX(B$26:B27,MATCH(C28,C$26:C27,)),MAX(B$26:B27)+1))</f>
        <v>3</v>
      </c>
      <c r="C28" s="55">
        <v>686</v>
      </c>
      <c r="D28" s="7">
        <v>4</v>
      </c>
      <c r="E28" s="25">
        <f t="shared" si="3"/>
        <v>4</v>
      </c>
      <c r="F28" s="25">
        <f t="shared" si="4"/>
        <v>0</v>
      </c>
      <c r="G28" s="47">
        <f t="shared" si="5"/>
        <v>1</v>
      </c>
      <c r="H28" s="52"/>
      <c r="I28" s="19"/>
      <c r="J28" s="15"/>
      <c r="K28" s="67">
        <v>6000</v>
      </c>
      <c r="L28" s="45">
        <v>6000</v>
      </c>
      <c r="M28" s="73">
        <v>1</v>
      </c>
      <c r="N28" s="70" t="s">
        <v>136</v>
      </c>
      <c r="O28" s="45">
        <f t="shared" si="1"/>
        <v>0</v>
      </c>
      <c r="P28" s="15"/>
    </row>
    <row r="29" spans="1:16" x14ac:dyDescent="0.25">
      <c r="A29" s="17">
        <v>5</v>
      </c>
      <c r="B29" s="34">
        <f>IF(N(C29)=0,"",IF(ISNUMBER(MATCH(C29,C$26:C28,)),INDEX(B$26:B28,MATCH(C29,C$26:C28,)),MAX(B$26:B28)+1))</f>
        <v>4</v>
      </c>
      <c r="C29" s="55">
        <v>696</v>
      </c>
      <c r="D29" s="7">
        <v>4</v>
      </c>
      <c r="E29" s="25">
        <f t="shared" si="3"/>
        <v>4</v>
      </c>
      <c r="F29" s="25">
        <f t="shared" si="4"/>
        <v>0</v>
      </c>
      <c r="G29" s="47">
        <f t="shared" si="5"/>
        <v>1</v>
      </c>
      <c r="H29" s="52"/>
      <c r="I29" s="19"/>
      <c r="J29" s="15"/>
      <c r="K29" s="67">
        <v>6000</v>
      </c>
      <c r="L29" s="45">
        <v>6000</v>
      </c>
      <c r="M29" s="73">
        <v>1</v>
      </c>
      <c r="N29" s="70" t="s">
        <v>137</v>
      </c>
      <c r="O29" s="45">
        <f t="shared" si="1"/>
        <v>0</v>
      </c>
      <c r="P29" s="15"/>
    </row>
    <row r="30" spans="1:16" x14ac:dyDescent="0.25">
      <c r="A30" s="17">
        <v>6</v>
      </c>
      <c r="B30" s="34">
        <f>IF(N(C30)=0,"",IF(ISNUMBER(MATCH(C30,C$26:C29,)),INDEX(B$26:B29,MATCH(C30,C$26:C29,)),MAX(B$26:B29)+1))</f>
        <v>5</v>
      </c>
      <c r="C30" s="55">
        <v>706</v>
      </c>
      <c r="D30" s="7">
        <v>8</v>
      </c>
      <c r="E30" s="25">
        <f t="shared" si="3"/>
        <v>8</v>
      </c>
      <c r="F30" s="25">
        <f t="shared" si="4"/>
        <v>0</v>
      </c>
      <c r="G30" s="47">
        <f t="shared" si="5"/>
        <v>1</v>
      </c>
      <c r="H30" s="52"/>
      <c r="I30" s="19"/>
      <c r="J30" s="15"/>
      <c r="K30" s="67">
        <v>6000</v>
      </c>
      <c r="L30" s="45">
        <v>6000</v>
      </c>
      <c r="M30" s="73">
        <v>1</v>
      </c>
      <c r="N30" s="70" t="s">
        <v>138</v>
      </c>
      <c r="O30" s="45">
        <f t="shared" si="1"/>
        <v>0</v>
      </c>
      <c r="P30" s="15"/>
    </row>
    <row r="31" spans="1:16" x14ac:dyDescent="0.25">
      <c r="A31" s="17">
        <v>7</v>
      </c>
      <c r="B31" s="34">
        <f>IF(N(C31)=0,"",IF(ISNUMBER(MATCH(C31,C$26:C30,)),INDEX(B$26:B30,MATCH(C31,C$26:C30,)),MAX(B$26:B30)+1))</f>
        <v>6</v>
      </c>
      <c r="C31" s="55">
        <v>1066</v>
      </c>
      <c r="D31" s="7">
        <v>8</v>
      </c>
      <c r="E31" s="25">
        <f t="shared" si="3"/>
        <v>8</v>
      </c>
      <c r="F31" s="25">
        <f t="shared" si="4"/>
        <v>0</v>
      </c>
      <c r="G31" s="47">
        <f t="shared" si="5"/>
        <v>1</v>
      </c>
      <c r="H31" s="52"/>
      <c r="I31" s="19"/>
      <c r="J31" s="15"/>
      <c r="K31" s="67">
        <v>6000</v>
      </c>
      <c r="L31" s="45">
        <v>6000</v>
      </c>
      <c r="M31" s="73">
        <v>1</v>
      </c>
      <c r="N31" s="70" t="s">
        <v>139</v>
      </c>
      <c r="O31" s="45">
        <f t="shared" si="1"/>
        <v>0</v>
      </c>
      <c r="P31" s="15"/>
    </row>
    <row r="32" spans="1:16" x14ac:dyDescent="0.25">
      <c r="A32" s="17">
        <v>8</v>
      </c>
      <c r="B32" s="34">
        <f>IF(N(C32)=0,"",IF(ISNUMBER(MATCH(C32,C$26:C31,)),INDEX(B$26:B31,MATCH(C32,C$26:C31,)),MAX(B$26:B31)+1))</f>
        <v>7</v>
      </c>
      <c r="C32" s="55">
        <v>1136</v>
      </c>
      <c r="D32" s="7">
        <v>4</v>
      </c>
      <c r="E32" s="25">
        <f t="shared" si="3"/>
        <v>4</v>
      </c>
      <c r="F32" s="25">
        <f t="shared" si="4"/>
        <v>0</v>
      </c>
      <c r="G32" s="47">
        <f t="shared" si="5"/>
        <v>1</v>
      </c>
      <c r="H32" s="52"/>
      <c r="I32" s="19"/>
      <c r="J32" s="15"/>
      <c r="K32" s="67">
        <v>6000</v>
      </c>
      <c r="L32" s="45">
        <v>6000</v>
      </c>
      <c r="M32" s="73">
        <v>1</v>
      </c>
      <c r="N32" s="70" t="s">
        <v>140</v>
      </c>
      <c r="O32" s="45">
        <f t="shared" si="1"/>
        <v>0</v>
      </c>
      <c r="P32" s="15"/>
    </row>
    <row r="33" spans="1:16" x14ac:dyDescent="0.25">
      <c r="A33" s="17">
        <v>16</v>
      </c>
      <c r="B33" s="34">
        <f>IF(N(C33)=0,"",IF(ISNUMBER(MATCH(C33,C$26:C32,)),INDEX(B$26:B32,MATCH(C33,C$26:C32,)),MAX(B$26:B32)+1))</f>
        <v>8</v>
      </c>
      <c r="C33" s="55">
        <v>1166</v>
      </c>
      <c r="D33" s="7">
        <v>12</v>
      </c>
      <c r="E33" s="25">
        <f t="shared" si="3"/>
        <v>12</v>
      </c>
      <c r="F33" s="25">
        <f t="shared" si="4"/>
        <v>0</v>
      </c>
      <c r="G33" s="47">
        <f t="shared" si="5"/>
        <v>1</v>
      </c>
      <c r="H33" s="52"/>
      <c r="I33" s="19"/>
      <c r="J33" s="15"/>
      <c r="K33" s="67">
        <v>6000</v>
      </c>
      <c r="L33" s="45">
        <v>6000</v>
      </c>
      <c r="M33" s="73">
        <v>1</v>
      </c>
      <c r="N33" s="70" t="s">
        <v>141</v>
      </c>
      <c r="O33" s="45">
        <f t="shared" si="1"/>
        <v>0</v>
      </c>
      <c r="P33" s="15"/>
    </row>
    <row r="34" spans="1:16" x14ac:dyDescent="0.25">
      <c r="A34" s="17">
        <v>17</v>
      </c>
      <c r="B34" s="34">
        <f>IF(N(C34)=0,"",IF(ISNUMBER(MATCH(C34,C$26:C33,)),INDEX(B$26:B33,MATCH(C34,C$26:C33,)),MAX(B$26:B33)+1))</f>
        <v>9</v>
      </c>
      <c r="C34" s="55">
        <v>1316</v>
      </c>
      <c r="D34" s="7">
        <v>6</v>
      </c>
      <c r="E34" s="25">
        <f t="shared" si="3"/>
        <v>6</v>
      </c>
      <c r="F34" s="25">
        <f t="shared" si="4"/>
        <v>0</v>
      </c>
      <c r="G34" s="47">
        <f t="shared" si="5"/>
        <v>1</v>
      </c>
      <c r="H34" s="52"/>
      <c r="I34" s="19"/>
      <c r="J34" s="15"/>
      <c r="K34" s="67">
        <v>6000</v>
      </c>
      <c r="L34" s="45">
        <v>6000</v>
      </c>
      <c r="M34" s="73">
        <v>1</v>
      </c>
      <c r="N34" s="70" t="s">
        <v>142</v>
      </c>
      <c r="O34" s="45">
        <f t="shared" si="1"/>
        <v>0</v>
      </c>
      <c r="P34" s="15"/>
    </row>
    <row r="35" spans="1:16" x14ac:dyDescent="0.25">
      <c r="A35" s="17">
        <v>18</v>
      </c>
      <c r="B35" s="34">
        <f>IF(N(C35)=0,"",IF(ISNUMBER(MATCH(C35,C$26:C34,)),INDEX(B$26:B34,MATCH(C35,C$26:C34,)),MAX(B$26:B34)+1))</f>
        <v>10</v>
      </c>
      <c r="C35" s="55">
        <v>1436</v>
      </c>
      <c r="D35" s="7">
        <v>4</v>
      </c>
      <c r="E35" s="25">
        <f t="shared" si="3"/>
        <v>4</v>
      </c>
      <c r="F35" s="25">
        <f t="shared" si="4"/>
        <v>0</v>
      </c>
      <c r="G35" s="47">
        <f t="shared" si="5"/>
        <v>1</v>
      </c>
      <c r="H35" s="52"/>
      <c r="I35" s="19"/>
      <c r="J35" s="15"/>
      <c r="K35" s="67">
        <v>6000</v>
      </c>
      <c r="L35" s="45">
        <v>6000</v>
      </c>
      <c r="M35" s="73">
        <v>1</v>
      </c>
      <c r="N35" s="70" t="s">
        <v>143</v>
      </c>
      <c r="O35" s="45">
        <f t="shared" si="1"/>
        <v>0</v>
      </c>
      <c r="P35" s="15"/>
    </row>
    <row r="36" spans="1:16" x14ac:dyDescent="0.25">
      <c r="A36" s="17">
        <v>19</v>
      </c>
      <c r="B36" s="34">
        <f>IF(N(C36)=0,"",IF(ISNUMBER(MATCH(C36,C$26:C35,)),INDEX(B$26:B35,MATCH(C36,C$26:C35,)),MAX(B$26:B35)+1))</f>
        <v>11</v>
      </c>
      <c r="C36" s="55">
        <v>1526</v>
      </c>
      <c r="D36" s="7">
        <v>10</v>
      </c>
      <c r="E36" s="25">
        <f t="shared" si="3"/>
        <v>10</v>
      </c>
      <c r="F36" s="25">
        <f t="shared" si="4"/>
        <v>0</v>
      </c>
      <c r="G36" s="47">
        <f t="shared" si="5"/>
        <v>1</v>
      </c>
      <c r="H36" s="52"/>
      <c r="I36" s="19"/>
      <c r="J36" s="15"/>
      <c r="K36" s="67">
        <v>6000</v>
      </c>
      <c r="L36" s="45">
        <v>6000</v>
      </c>
      <c r="M36" s="73">
        <v>1</v>
      </c>
      <c r="N36" s="70" t="s">
        <v>144</v>
      </c>
      <c r="O36" s="45">
        <f t="shared" ref="O36:O57" si="6">K36-L36</f>
        <v>0</v>
      </c>
      <c r="P36" s="15"/>
    </row>
    <row r="37" spans="1:16" x14ac:dyDescent="0.25">
      <c r="A37" s="17">
        <v>20</v>
      </c>
      <c r="B37" s="34">
        <f>IF(N(C37)=0,"",IF(ISNUMBER(MATCH(C37,C$26:C36,)),INDEX(B$26:B36,MATCH(C37,C$26:C36,)),MAX(B$26:B36)+1))</f>
        <v>12</v>
      </c>
      <c r="C37" s="55">
        <v>1576</v>
      </c>
      <c r="D37" s="7">
        <v>2</v>
      </c>
      <c r="E37" s="25">
        <f t="shared" si="3"/>
        <v>2</v>
      </c>
      <c r="F37" s="25">
        <f t="shared" si="4"/>
        <v>0</v>
      </c>
      <c r="G37" s="47">
        <f t="shared" si="5"/>
        <v>1</v>
      </c>
      <c r="H37" s="52"/>
      <c r="I37" s="19"/>
      <c r="J37" s="15"/>
      <c r="K37" s="67">
        <v>6000</v>
      </c>
      <c r="L37" s="45">
        <v>6000</v>
      </c>
      <c r="M37" s="73">
        <v>1</v>
      </c>
      <c r="N37" s="70" t="s">
        <v>145</v>
      </c>
      <c r="O37" s="45">
        <f t="shared" si="6"/>
        <v>0</v>
      </c>
      <c r="P37" s="15"/>
    </row>
    <row r="38" spans="1:16" x14ac:dyDescent="0.25">
      <c r="A38" s="17">
        <v>21</v>
      </c>
      <c r="B38" s="34">
        <f>IF(N(C38)=0,"",IF(ISNUMBER(MATCH(C38,C$26:C37,)),INDEX(B$26:B37,MATCH(C38,C$26:C37,)),MAX(B$26:B37)+1))</f>
        <v>13</v>
      </c>
      <c r="C38" s="55">
        <v>2036</v>
      </c>
      <c r="D38" s="7">
        <v>2</v>
      </c>
      <c r="E38" s="25">
        <f t="shared" si="3"/>
        <v>2</v>
      </c>
      <c r="F38" s="25">
        <f t="shared" si="4"/>
        <v>0</v>
      </c>
      <c r="G38" s="47">
        <f t="shared" si="5"/>
        <v>1</v>
      </c>
      <c r="H38" s="52"/>
      <c r="I38" s="19"/>
      <c r="J38" s="15"/>
      <c r="K38" s="67">
        <v>6000</v>
      </c>
      <c r="L38" s="45">
        <v>6000</v>
      </c>
      <c r="M38" s="73">
        <v>1</v>
      </c>
      <c r="N38" s="70" t="s">
        <v>146</v>
      </c>
      <c r="O38" s="45">
        <f t="shared" si="6"/>
        <v>0</v>
      </c>
      <c r="P38" s="15"/>
    </row>
    <row r="39" spans="1:16" x14ac:dyDescent="0.25">
      <c r="A39" s="17">
        <v>22</v>
      </c>
      <c r="B39" s="34">
        <f>IF(N(C39)=0,"",IF(ISNUMBER(MATCH(C39,C$26:C38,)),INDEX(B$26:B38,MATCH(C39,C$26:C38,)),MAX(B$26:B38)+1))</f>
        <v>14</v>
      </c>
      <c r="C39" s="55">
        <v>496</v>
      </c>
      <c r="D39" s="7">
        <v>2</v>
      </c>
      <c r="E39" s="25">
        <f t="shared" si="3"/>
        <v>2</v>
      </c>
      <c r="F39" s="25">
        <f t="shared" si="4"/>
        <v>0</v>
      </c>
      <c r="G39" s="47">
        <f t="shared" si="5"/>
        <v>1</v>
      </c>
      <c r="H39" s="52"/>
      <c r="I39" s="19"/>
      <c r="J39" s="15"/>
      <c r="K39" s="67">
        <v>6000</v>
      </c>
      <c r="L39" s="45">
        <v>6000</v>
      </c>
      <c r="M39" s="73">
        <v>1</v>
      </c>
      <c r="N39" s="70" t="s">
        <v>147</v>
      </c>
      <c r="O39" s="45">
        <f t="shared" si="6"/>
        <v>0</v>
      </c>
      <c r="P39" s="15"/>
    </row>
    <row r="40" spans="1:16" x14ac:dyDescent="0.25">
      <c r="A40" s="17">
        <v>23</v>
      </c>
      <c r="B40" s="34">
        <f>IF(N(C40)=0,"",IF(ISNUMBER(MATCH(C40,C$26:C39,)),INDEX(B$26:B39,MATCH(C40,C$26:C39,)),MAX(B$26:B39)+1))</f>
        <v>15</v>
      </c>
      <c r="C40" s="55">
        <v>1936</v>
      </c>
      <c r="D40" s="7">
        <v>2</v>
      </c>
      <c r="E40" s="25">
        <f t="shared" si="3"/>
        <v>2</v>
      </c>
      <c r="F40" s="25">
        <f t="shared" si="4"/>
        <v>0</v>
      </c>
      <c r="G40" s="47">
        <f t="shared" si="5"/>
        <v>1</v>
      </c>
      <c r="H40" s="52"/>
      <c r="I40" s="19"/>
      <c r="J40" s="15"/>
      <c r="K40" s="67">
        <v>6000</v>
      </c>
      <c r="L40" s="45">
        <v>6000</v>
      </c>
      <c r="M40" s="73">
        <v>1</v>
      </c>
      <c r="N40" s="70" t="s">
        <v>148</v>
      </c>
      <c r="O40" s="45">
        <f t="shared" si="6"/>
        <v>0</v>
      </c>
      <c r="P40" s="15"/>
    </row>
    <row r="41" spans="1:16" x14ac:dyDescent="0.25">
      <c r="A41" s="17">
        <v>24</v>
      </c>
      <c r="B41" s="34">
        <f>IF(N(C41)=0,"",IF(ISNUMBER(MATCH(C41,C$26:C40,)),INDEX(B$26:B40,MATCH(C41,C$26:C40,)),MAX(B$26:B40)+1))</f>
        <v>16</v>
      </c>
      <c r="C41" s="55">
        <v>1386</v>
      </c>
      <c r="D41" s="7">
        <v>6</v>
      </c>
      <c r="E41" s="25">
        <f t="shared" si="3"/>
        <v>6</v>
      </c>
      <c r="F41" s="25">
        <f t="shared" si="4"/>
        <v>0</v>
      </c>
      <c r="G41" s="47">
        <f t="shared" si="5"/>
        <v>1</v>
      </c>
      <c r="H41" s="52"/>
      <c r="I41" s="19"/>
      <c r="J41" s="15"/>
      <c r="K41" s="67">
        <v>6000</v>
      </c>
      <c r="L41" s="45">
        <v>6000</v>
      </c>
      <c r="M41" s="73">
        <v>1</v>
      </c>
      <c r="N41" s="70" t="s">
        <v>149</v>
      </c>
      <c r="O41" s="45">
        <f t="shared" si="6"/>
        <v>0</v>
      </c>
      <c r="P41" s="15"/>
    </row>
    <row r="42" spans="1:16" x14ac:dyDescent="0.25">
      <c r="A42" s="17">
        <v>25</v>
      </c>
      <c r="B42" s="34">
        <f>IF(N(C42)=0,"",IF(ISNUMBER(MATCH(C42,C$26:C41,)),INDEX(B$26:B41,MATCH(C42,C$26:C41,)),MAX(B$26:B41)+1))</f>
        <v>17</v>
      </c>
      <c r="C42" s="55">
        <v>1496</v>
      </c>
      <c r="D42" s="7">
        <v>2</v>
      </c>
      <c r="E42" s="25">
        <f t="shared" si="3"/>
        <v>2</v>
      </c>
      <c r="F42" s="25">
        <f t="shared" si="4"/>
        <v>0</v>
      </c>
      <c r="G42" s="47">
        <f t="shared" si="5"/>
        <v>1</v>
      </c>
      <c r="H42" s="52"/>
      <c r="I42" s="19"/>
      <c r="J42" s="15"/>
      <c r="K42" s="67">
        <v>6000</v>
      </c>
      <c r="L42" s="45">
        <v>6000</v>
      </c>
      <c r="M42" s="73">
        <v>1</v>
      </c>
      <c r="N42" s="70" t="s">
        <v>150</v>
      </c>
      <c r="O42" s="45">
        <f t="shared" si="6"/>
        <v>0</v>
      </c>
      <c r="P42" s="15"/>
    </row>
    <row r="43" spans="1:16" x14ac:dyDescent="0.25">
      <c r="A43" s="17">
        <v>26</v>
      </c>
      <c r="B43" s="34">
        <f>IF(N(C43)=0,"",IF(ISNUMBER(MATCH(C43,C$26:C42,)),INDEX(B$26:B42,MATCH(C43,C$26:C42,)),MAX(B$26:B42)+1))</f>
        <v>18</v>
      </c>
      <c r="C43" s="55">
        <v>1456</v>
      </c>
      <c r="D43" s="7">
        <v>2</v>
      </c>
      <c r="E43" s="25">
        <f t="shared" si="3"/>
        <v>2</v>
      </c>
      <c r="F43" s="25">
        <f t="shared" si="4"/>
        <v>0</v>
      </c>
      <c r="G43" s="47">
        <f t="shared" si="5"/>
        <v>1</v>
      </c>
      <c r="H43" s="52"/>
      <c r="I43" s="19"/>
      <c r="J43" s="15"/>
      <c r="K43" s="67">
        <v>6000</v>
      </c>
      <c r="L43" s="45">
        <v>6000</v>
      </c>
      <c r="M43" s="73">
        <v>1</v>
      </c>
      <c r="N43" s="70" t="s">
        <v>151</v>
      </c>
      <c r="O43" s="45">
        <f t="shared" si="6"/>
        <v>0</v>
      </c>
      <c r="P43" s="15"/>
    </row>
    <row r="44" spans="1:16" x14ac:dyDescent="0.25">
      <c r="A44" s="17">
        <v>27</v>
      </c>
      <c r="B44" s="34">
        <f>IF(N(C44)=0,"",IF(ISNUMBER(MATCH(C44,C$26:C43,)),INDEX(B$26:B43,MATCH(C44,C$26:C43,)),MAX(B$26:B43)+1))</f>
        <v>19</v>
      </c>
      <c r="C44" s="55">
        <v>1476</v>
      </c>
      <c r="D44" s="7">
        <v>2</v>
      </c>
      <c r="E44" s="25">
        <f t="shared" si="3"/>
        <v>2</v>
      </c>
      <c r="F44" s="25">
        <f t="shared" si="4"/>
        <v>0</v>
      </c>
      <c r="G44" s="47">
        <f t="shared" si="5"/>
        <v>1</v>
      </c>
      <c r="H44" s="52"/>
      <c r="I44" s="19"/>
      <c r="J44" s="15"/>
      <c r="K44" s="67">
        <v>6000</v>
      </c>
      <c r="L44" s="45">
        <v>6000</v>
      </c>
      <c r="M44" s="73">
        <v>1</v>
      </c>
      <c r="N44" s="70" t="s">
        <v>152</v>
      </c>
      <c r="O44" s="45">
        <f t="shared" si="6"/>
        <v>0</v>
      </c>
      <c r="P44" s="15"/>
    </row>
    <row r="45" spans="1:16" x14ac:dyDescent="0.25">
      <c r="A45" s="17">
        <v>28</v>
      </c>
      <c r="B45" s="34">
        <f>IF(N(C45)=0,"",IF(ISNUMBER(MATCH(C45,C$26:C44,)),INDEX(B$26:B44,MATCH(C45,C$26:C44,)),MAX(B$26:B44)+1))</f>
        <v>20</v>
      </c>
      <c r="C45" s="55">
        <v>1426</v>
      </c>
      <c r="D45" s="7">
        <v>8</v>
      </c>
      <c r="E45" s="25">
        <f t="shared" si="3"/>
        <v>8</v>
      </c>
      <c r="F45" s="25">
        <f t="shared" si="4"/>
        <v>0</v>
      </c>
      <c r="G45" s="47">
        <f t="shared" si="5"/>
        <v>1</v>
      </c>
      <c r="H45" s="52"/>
      <c r="I45" s="19"/>
      <c r="J45" s="15"/>
      <c r="K45" s="67">
        <v>6000</v>
      </c>
      <c r="L45" s="45">
        <v>6000</v>
      </c>
      <c r="M45" s="73">
        <v>1</v>
      </c>
      <c r="N45" s="70" t="s">
        <v>153</v>
      </c>
      <c r="O45" s="45">
        <f t="shared" si="6"/>
        <v>0</v>
      </c>
      <c r="P45" s="15"/>
    </row>
    <row r="46" spans="1:16" x14ac:dyDescent="0.25">
      <c r="A46" s="17">
        <v>29</v>
      </c>
      <c r="B46" s="34">
        <f>IF(N(C46)=0,"",IF(ISNUMBER(MATCH(C46,C$26:C45,)),INDEX(B$26:B45,MATCH(C46,C$26:C45,)),MAX(B$26:B45)+1))</f>
        <v>21</v>
      </c>
      <c r="C46" s="55">
        <v>956</v>
      </c>
      <c r="D46" s="7">
        <v>4</v>
      </c>
      <c r="E46" s="25">
        <f t="shared" si="3"/>
        <v>4</v>
      </c>
      <c r="F46" s="25">
        <f t="shared" si="4"/>
        <v>0</v>
      </c>
      <c r="G46" s="47">
        <f t="shared" si="5"/>
        <v>1</v>
      </c>
      <c r="H46" s="52"/>
      <c r="I46" s="19"/>
      <c r="J46" s="15"/>
      <c r="K46" s="67">
        <v>6000</v>
      </c>
      <c r="L46" s="45">
        <v>6000</v>
      </c>
      <c r="M46" s="73">
        <v>1</v>
      </c>
      <c r="N46" s="70" t="s">
        <v>154</v>
      </c>
      <c r="O46" s="45">
        <f t="shared" si="6"/>
        <v>0</v>
      </c>
      <c r="P46" s="15"/>
    </row>
    <row r="47" spans="1:16" x14ac:dyDescent="0.25">
      <c r="A47" s="17">
        <v>30</v>
      </c>
      <c r="B47" s="34">
        <f>IF(N(C47)=0,"",IF(ISNUMBER(MATCH(C47,C$26:C46,)),INDEX(B$26:B46,MATCH(C47,C$26:C46,)),MAX(B$26:B46)+1))</f>
        <v>22</v>
      </c>
      <c r="C47" s="55">
        <v>1246</v>
      </c>
      <c r="D47" s="7">
        <v>4</v>
      </c>
      <c r="E47" s="25">
        <f t="shared" si="3"/>
        <v>4</v>
      </c>
      <c r="F47" s="25">
        <f t="shared" si="4"/>
        <v>0</v>
      </c>
      <c r="G47" s="47">
        <f t="shared" si="5"/>
        <v>1</v>
      </c>
      <c r="H47" s="52"/>
      <c r="I47" s="19"/>
      <c r="J47" s="15"/>
      <c r="K47" s="67">
        <v>6000</v>
      </c>
      <c r="L47" s="45">
        <v>6000</v>
      </c>
      <c r="M47" s="73">
        <v>1</v>
      </c>
      <c r="N47" s="70" t="s">
        <v>155</v>
      </c>
      <c r="O47" s="45">
        <f t="shared" si="6"/>
        <v>0</v>
      </c>
      <c r="P47" s="15"/>
    </row>
    <row r="48" spans="1:16" x14ac:dyDescent="0.25">
      <c r="A48" s="17">
        <v>31</v>
      </c>
      <c r="B48" s="34">
        <f>IF(N(C48)=0,"",IF(ISNUMBER(MATCH(C48,C$26:C47,)),INDEX(B$26:B47,MATCH(C48,C$26:C47,)),MAX(B$26:B47)+1))</f>
        <v>23</v>
      </c>
      <c r="C48" s="55">
        <v>1196</v>
      </c>
      <c r="D48" s="7">
        <v>6</v>
      </c>
      <c r="E48" s="25">
        <f t="shared" si="3"/>
        <v>6</v>
      </c>
      <c r="F48" s="25">
        <f t="shared" si="4"/>
        <v>0</v>
      </c>
      <c r="G48" s="47">
        <f t="shared" si="5"/>
        <v>1</v>
      </c>
      <c r="H48" s="52"/>
      <c r="I48" s="19"/>
      <c r="J48" s="15"/>
      <c r="K48" s="67">
        <v>6000</v>
      </c>
      <c r="L48" s="45">
        <v>6000</v>
      </c>
      <c r="M48" s="73">
        <v>1</v>
      </c>
      <c r="N48" s="70" t="s">
        <v>156</v>
      </c>
      <c r="O48" s="45">
        <f t="shared" si="6"/>
        <v>0</v>
      </c>
      <c r="P48" s="15"/>
    </row>
    <row r="49" spans="1:16" x14ac:dyDescent="0.25">
      <c r="A49" s="17">
        <v>32</v>
      </c>
      <c r="B49" s="34">
        <f>IF(N(C49)=0,"",IF(ISNUMBER(MATCH(C49,C$26:C48,)),INDEX(B$26:B48,MATCH(C49,C$26:C48,)),MAX(B$26:B48)+1))</f>
        <v>24</v>
      </c>
      <c r="C49" s="55">
        <v>1226</v>
      </c>
      <c r="D49" s="7">
        <v>2</v>
      </c>
      <c r="E49" s="25">
        <f t="shared" si="3"/>
        <v>2</v>
      </c>
      <c r="F49" s="25">
        <f t="shared" si="4"/>
        <v>0</v>
      </c>
      <c r="G49" s="47">
        <f t="shared" si="5"/>
        <v>1</v>
      </c>
      <c r="H49" s="52"/>
      <c r="I49" s="19"/>
      <c r="J49" s="15"/>
      <c r="K49" s="67">
        <v>6000</v>
      </c>
      <c r="L49" s="45">
        <v>6000</v>
      </c>
      <c r="M49" s="73">
        <v>1</v>
      </c>
      <c r="N49" s="70" t="s">
        <v>157</v>
      </c>
      <c r="O49" s="45">
        <f t="shared" si="6"/>
        <v>0</v>
      </c>
      <c r="P49" s="15"/>
    </row>
    <row r="50" spans="1:16" x14ac:dyDescent="0.25">
      <c r="A50" s="17">
        <v>33</v>
      </c>
      <c r="B50" s="34">
        <f>IF(N(C50)=0,"",IF(ISNUMBER(MATCH(C50,C$26:C49,)),INDEX(B$26:B49,MATCH(C50,C$26:C49,)),MAX(B$26:B49)+1))</f>
        <v>25</v>
      </c>
      <c r="C50" s="55">
        <v>1156</v>
      </c>
      <c r="D50" s="7">
        <v>2</v>
      </c>
      <c r="E50" s="25">
        <f t="shared" si="3"/>
        <v>2</v>
      </c>
      <c r="F50" s="25">
        <f t="shared" si="4"/>
        <v>0</v>
      </c>
      <c r="G50" s="47">
        <f t="shared" si="5"/>
        <v>1</v>
      </c>
      <c r="H50" s="52"/>
      <c r="I50" s="19"/>
      <c r="J50" s="15"/>
      <c r="K50" s="67">
        <v>6000</v>
      </c>
      <c r="L50" s="45">
        <v>6000</v>
      </c>
      <c r="M50" s="73">
        <v>1</v>
      </c>
      <c r="N50" s="70" t="s">
        <v>158</v>
      </c>
      <c r="O50" s="45">
        <f t="shared" si="6"/>
        <v>0</v>
      </c>
      <c r="P50" s="15"/>
    </row>
    <row r="51" spans="1:16" x14ac:dyDescent="0.25">
      <c r="A51" s="17">
        <v>34</v>
      </c>
      <c r="B51" s="34">
        <f>IF(N(C51)=0,"",IF(ISNUMBER(MATCH(C51,C$26:C50,)),INDEX(B$26:B50,MATCH(C51,C$26:C50,)),MAX(B$26:B50)+1))</f>
        <v>26</v>
      </c>
      <c r="C51" s="55">
        <v>1176</v>
      </c>
      <c r="D51" s="7">
        <v>4</v>
      </c>
      <c r="E51" s="25">
        <f t="shared" si="3"/>
        <v>4</v>
      </c>
      <c r="F51" s="25">
        <f t="shared" si="4"/>
        <v>0</v>
      </c>
      <c r="G51" s="47">
        <f t="shared" si="5"/>
        <v>1</v>
      </c>
      <c r="H51" s="52"/>
      <c r="I51" s="19"/>
      <c r="J51" s="15"/>
      <c r="K51" s="67">
        <v>6000</v>
      </c>
      <c r="L51" s="45">
        <v>5998</v>
      </c>
      <c r="M51" s="73">
        <v>1</v>
      </c>
      <c r="N51" s="70" t="s">
        <v>159</v>
      </c>
      <c r="O51" s="45">
        <f t="shared" si="6"/>
        <v>2</v>
      </c>
      <c r="P51" s="15"/>
    </row>
    <row r="52" spans="1:16" x14ac:dyDescent="0.25">
      <c r="A52" s="17">
        <v>35</v>
      </c>
      <c r="B52" s="34">
        <f>IF(N(C52)=0,"",IF(ISNUMBER(MATCH(C52,C$26:C51,)),INDEX(B$26:B51,MATCH(C52,C$26:C51,)),MAX(B$26:B51)+1))</f>
        <v>27</v>
      </c>
      <c r="C52" s="55">
        <v>1186</v>
      </c>
      <c r="D52" s="7">
        <v>2</v>
      </c>
      <c r="E52" s="25">
        <f t="shared" si="3"/>
        <v>2</v>
      </c>
      <c r="F52" s="25">
        <f t="shared" si="4"/>
        <v>0</v>
      </c>
      <c r="G52" s="47">
        <f t="shared" si="5"/>
        <v>1</v>
      </c>
      <c r="H52" s="52"/>
      <c r="I52" s="19"/>
      <c r="J52" s="15"/>
      <c r="K52" s="67">
        <v>6000</v>
      </c>
      <c r="L52" s="45">
        <v>5998</v>
      </c>
      <c r="M52" s="73">
        <v>1</v>
      </c>
      <c r="N52" s="70" t="s">
        <v>160</v>
      </c>
      <c r="O52" s="45">
        <f t="shared" si="6"/>
        <v>2</v>
      </c>
      <c r="P52" s="15"/>
    </row>
    <row r="53" spans="1:16" x14ac:dyDescent="0.25">
      <c r="A53" s="17">
        <v>36</v>
      </c>
      <c r="B53" s="34">
        <f>IF(N(C53)=0,"",IF(ISNUMBER(MATCH(C53,C$26:C52,)),INDEX(B$26:B52,MATCH(C53,C$26:C52,)),MAX(B$26:B52)+1))</f>
        <v>28</v>
      </c>
      <c r="C53" s="55">
        <v>1116</v>
      </c>
      <c r="D53" s="7">
        <v>2</v>
      </c>
      <c r="E53" s="25">
        <f t="shared" si="3"/>
        <v>2</v>
      </c>
      <c r="F53" s="25">
        <f t="shared" si="4"/>
        <v>0</v>
      </c>
      <c r="G53" s="47">
        <f t="shared" si="5"/>
        <v>1</v>
      </c>
      <c r="H53" s="52"/>
      <c r="I53" s="19"/>
      <c r="J53" s="15"/>
      <c r="K53" s="67">
        <v>6000</v>
      </c>
      <c r="L53" s="45">
        <v>5998</v>
      </c>
      <c r="M53" s="73">
        <v>1</v>
      </c>
      <c r="N53" s="70" t="s">
        <v>161</v>
      </c>
      <c r="O53" s="45">
        <f t="shared" si="6"/>
        <v>2</v>
      </c>
      <c r="P53" s="15"/>
    </row>
    <row r="54" spans="1:16" x14ac:dyDescent="0.25">
      <c r="A54" s="17">
        <v>37</v>
      </c>
      <c r="B54" s="34">
        <f>IF(N(C54)=0,"",IF(ISNUMBER(MATCH(C54,C$26:C53,)),INDEX(B$26:B53,MATCH(C54,C$26:C53,)),MAX(B$26:B53)+1))</f>
        <v>29</v>
      </c>
      <c r="C54" s="55">
        <v>1006</v>
      </c>
      <c r="D54" s="7">
        <v>2</v>
      </c>
      <c r="E54" s="25">
        <f t="shared" si="3"/>
        <v>2</v>
      </c>
      <c r="F54" s="25">
        <f t="shared" si="4"/>
        <v>0</v>
      </c>
      <c r="G54" s="47">
        <f t="shared" si="5"/>
        <v>1</v>
      </c>
      <c r="H54" s="52"/>
      <c r="I54" s="19"/>
      <c r="J54" s="15"/>
      <c r="K54" s="67">
        <v>6000</v>
      </c>
      <c r="L54" s="45">
        <v>5994</v>
      </c>
      <c r="M54" s="73">
        <v>1</v>
      </c>
      <c r="N54" s="70" t="s">
        <v>162</v>
      </c>
      <c r="O54" s="45">
        <f t="shared" si="6"/>
        <v>6</v>
      </c>
      <c r="P54" s="15"/>
    </row>
    <row r="55" spans="1:16" x14ac:dyDescent="0.25">
      <c r="A55" s="17">
        <v>38</v>
      </c>
      <c r="B55" s="34">
        <f>IF(N(C55)=0,"",IF(ISNUMBER(MATCH(C55,C$26:C54,)),INDEX(B$26:B54,MATCH(C55,C$26:C54,)),MAX(B$26:B54)+1))</f>
        <v>30</v>
      </c>
      <c r="C55" s="55">
        <v>1016</v>
      </c>
      <c r="D55" s="7">
        <v>2</v>
      </c>
      <c r="E55" s="25">
        <f t="shared" si="3"/>
        <v>2</v>
      </c>
      <c r="F55" s="25">
        <f t="shared" si="4"/>
        <v>0</v>
      </c>
      <c r="G55" s="47">
        <f t="shared" si="5"/>
        <v>1</v>
      </c>
      <c r="H55" s="52"/>
      <c r="I55" s="19"/>
      <c r="J55" s="15"/>
      <c r="K55" s="67">
        <v>6000</v>
      </c>
      <c r="L55" s="45">
        <v>5994</v>
      </c>
      <c r="M55" s="73">
        <v>1</v>
      </c>
      <c r="N55" s="70" t="s">
        <v>163</v>
      </c>
      <c r="O55" s="45">
        <f t="shared" si="6"/>
        <v>6</v>
      </c>
      <c r="P55" s="15"/>
    </row>
    <row r="56" spans="1:16" x14ac:dyDescent="0.25">
      <c r="A56" s="17">
        <v>39</v>
      </c>
      <c r="B56" s="34">
        <f>IF(N(C56)=0,"",IF(ISNUMBER(MATCH(C56,C$26:C55,)),INDEX(B$26:B55,MATCH(C56,C$26:C55,)),MAX(B$26:B55)+1))</f>
        <v>31</v>
      </c>
      <c r="C56" s="55">
        <v>976</v>
      </c>
      <c r="D56" s="7">
        <v>8</v>
      </c>
      <c r="E56" s="25">
        <f t="shared" si="3"/>
        <v>8</v>
      </c>
      <c r="F56" s="25">
        <f t="shared" si="4"/>
        <v>0</v>
      </c>
      <c r="G56" s="47">
        <f t="shared" si="5"/>
        <v>1</v>
      </c>
      <c r="H56" s="52"/>
      <c r="I56" s="19"/>
      <c r="J56" s="15"/>
      <c r="K56" s="67">
        <v>6000</v>
      </c>
      <c r="L56" s="45">
        <v>5988</v>
      </c>
      <c r="M56" s="73">
        <v>1</v>
      </c>
      <c r="N56" s="70" t="s">
        <v>164</v>
      </c>
      <c r="O56" s="45">
        <f t="shared" si="6"/>
        <v>12</v>
      </c>
      <c r="P56" s="15"/>
    </row>
    <row r="57" spans="1:16" x14ac:dyDescent="0.25">
      <c r="A57" s="17">
        <v>40</v>
      </c>
      <c r="B57" s="34">
        <f>IF(N(C57)=0,"",IF(ISNUMBER(MATCH(C57,C$26:C56,)),INDEX(B$26:B56,MATCH(C57,C$26:C56,)),MAX(B$26:B56)+1))</f>
        <v>32</v>
      </c>
      <c r="C57" s="55">
        <v>836</v>
      </c>
      <c r="D57" s="7">
        <v>6</v>
      </c>
      <c r="E57" s="25">
        <f t="shared" si="3"/>
        <v>6</v>
      </c>
      <c r="F57" s="25">
        <f t="shared" si="4"/>
        <v>0</v>
      </c>
      <c r="G57" s="47">
        <f t="shared" si="5"/>
        <v>1</v>
      </c>
      <c r="H57" s="52"/>
      <c r="I57" s="19"/>
      <c r="J57" s="15"/>
      <c r="K57" s="68">
        <v>6000</v>
      </c>
      <c r="L57" s="46">
        <v>2086</v>
      </c>
      <c r="M57" s="74">
        <v>1</v>
      </c>
      <c r="N57" s="71" t="s">
        <v>165</v>
      </c>
      <c r="O57" s="46">
        <f t="shared" si="6"/>
        <v>3914</v>
      </c>
      <c r="P57" s="15"/>
    </row>
    <row r="58" spans="1:16" x14ac:dyDescent="0.25">
      <c r="A58" s="17">
        <v>41</v>
      </c>
      <c r="B58" s="34">
        <f>IF(N(C58)=0,"",IF(ISNUMBER(MATCH(C58,C$26:C57,)),INDEX(B$26:B57,MATCH(C58,C$26:C57,)),MAX(B$26:B57)+1))</f>
        <v>33</v>
      </c>
      <c r="C58" s="55">
        <v>846</v>
      </c>
      <c r="D58" s="7">
        <v>2</v>
      </c>
      <c r="E58" s="25">
        <f t="shared" si="3"/>
        <v>2</v>
      </c>
      <c r="F58" s="25">
        <f t="shared" si="4"/>
        <v>0</v>
      </c>
      <c r="G58" s="47">
        <f t="shared" si="5"/>
        <v>1</v>
      </c>
      <c r="H58" s="52"/>
      <c r="I58" s="19"/>
      <c r="J58" s="15"/>
      <c r="K58"/>
      <c r="L58"/>
      <c r="M58"/>
      <c r="N58"/>
      <c r="O58"/>
      <c r="P58" s="15"/>
    </row>
    <row r="59" spans="1:16" x14ac:dyDescent="0.25">
      <c r="A59" s="17">
        <v>42</v>
      </c>
      <c r="B59" s="34">
        <f>IF(N(C59)=0,"",IF(ISNUMBER(MATCH(C59,C$26:C58,)),INDEX(B$26:B58,MATCH(C59,C$26:C58,)),MAX(B$26:B58)+1))</f>
        <v>34</v>
      </c>
      <c r="C59" s="55">
        <v>776</v>
      </c>
      <c r="D59" s="7">
        <v>2</v>
      </c>
      <c r="E59" s="25">
        <f t="shared" si="3"/>
        <v>2</v>
      </c>
      <c r="F59" s="25">
        <f t="shared" si="4"/>
        <v>0</v>
      </c>
      <c r="G59" s="47">
        <f t="shared" si="5"/>
        <v>1</v>
      </c>
      <c r="H59" s="52"/>
      <c r="I59" s="19"/>
      <c r="J59" s="15"/>
      <c r="K59"/>
      <c r="L59"/>
      <c r="M59"/>
      <c r="N59"/>
      <c r="O59"/>
      <c r="P59" s="15"/>
    </row>
    <row r="60" spans="1:16" x14ac:dyDescent="0.25">
      <c r="A60" s="17">
        <v>43</v>
      </c>
      <c r="B60" s="34">
        <f>IF(N(C60)=0,"",IF(ISNUMBER(MATCH(C60,C$26:C59,)),INDEX(B$26:B59,MATCH(C60,C$26:C59,)),MAX(B$26:B59)+1))</f>
        <v>35</v>
      </c>
      <c r="C60" s="55">
        <v>796</v>
      </c>
      <c r="D60" s="7">
        <v>2</v>
      </c>
      <c r="E60" s="25">
        <f t="shared" si="3"/>
        <v>2</v>
      </c>
      <c r="F60" s="25">
        <f t="shared" si="4"/>
        <v>0</v>
      </c>
      <c r="G60" s="47">
        <f t="shared" si="5"/>
        <v>1</v>
      </c>
      <c r="H60" s="52"/>
      <c r="I60" s="19"/>
      <c r="J60" s="15"/>
      <c r="K60"/>
      <c r="L60"/>
      <c r="M60"/>
      <c r="N60"/>
      <c r="O60"/>
      <c r="P60" s="15"/>
    </row>
    <row r="61" spans="1:16" x14ac:dyDescent="0.25">
      <c r="A61" s="17">
        <v>44</v>
      </c>
      <c r="B61" s="34">
        <f>IF(N(C61)=0,"",IF(ISNUMBER(MATCH(C61,C$26:C60,)),INDEX(B$26:B60,MATCH(C61,C$26:C60,)),MAX(B$26:B60)+1))</f>
        <v>36</v>
      </c>
      <c r="C61" s="55">
        <v>806</v>
      </c>
      <c r="D61" s="7">
        <v>2</v>
      </c>
      <c r="E61" s="25">
        <f t="shared" si="3"/>
        <v>2</v>
      </c>
      <c r="F61" s="25">
        <f t="shared" si="4"/>
        <v>0</v>
      </c>
      <c r="G61" s="47">
        <f t="shared" si="5"/>
        <v>1</v>
      </c>
      <c r="H61" s="52"/>
      <c r="I61" s="19"/>
      <c r="J61" s="15"/>
      <c r="K61"/>
      <c r="L61"/>
      <c r="M61"/>
      <c r="N61"/>
      <c r="O61"/>
      <c r="P61" s="15"/>
    </row>
    <row r="62" spans="1:16" x14ac:dyDescent="0.25">
      <c r="A62" s="17">
        <v>45</v>
      </c>
      <c r="B62" s="34">
        <f>IF(N(C62)=0,"",IF(ISNUMBER(MATCH(C62,C$26:C61,)),INDEX(B$26:B61,MATCH(C62,C$26:C61,)),MAX(B$26:B61)+1))</f>
        <v>37</v>
      </c>
      <c r="C62" s="55">
        <v>746</v>
      </c>
      <c r="D62" s="7">
        <v>2</v>
      </c>
      <c r="E62" s="25">
        <f t="shared" si="3"/>
        <v>2</v>
      </c>
      <c r="F62" s="25">
        <f t="shared" si="4"/>
        <v>0</v>
      </c>
      <c r="G62" s="47">
        <f t="shared" si="5"/>
        <v>1</v>
      </c>
      <c r="H62" s="52"/>
      <c r="I62" s="19"/>
      <c r="J62" s="15"/>
      <c r="K62"/>
      <c r="L62"/>
      <c r="M62"/>
      <c r="N62"/>
      <c r="O62"/>
      <c r="P62" s="15"/>
    </row>
    <row r="63" spans="1:16" x14ac:dyDescent="0.25">
      <c r="A63" s="17">
        <v>46</v>
      </c>
      <c r="B63" s="34">
        <f>IF(N(C63)=0,"",IF(ISNUMBER(MATCH(C63,C$26:C62,)),INDEX(B$26:B62,MATCH(C63,C$26:C62,)),MAX(B$26:B62)+1))</f>
        <v>38</v>
      </c>
      <c r="C63" s="55">
        <v>756</v>
      </c>
      <c r="D63" s="7">
        <v>4</v>
      </c>
      <c r="E63" s="25">
        <f t="shared" si="3"/>
        <v>4</v>
      </c>
      <c r="F63" s="25">
        <f t="shared" si="4"/>
        <v>0</v>
      </c>
      <c r="G63" s="47">
        <f t="shared" si="5"/>
        <v>1</v>
      </c>
      <c r="H63" s="52"/>
      <c r="I63" s="19"/>
      <c r="J63" s="15"/>
      <c r="K63"/>
      <c r="L63"/>
      <c r="M63"/>
      <c r="N63"/>
      <c r="O63"/>
      <c r="P63" s="15"/>
    </row>
    <row r="64" spans="1:16" x14ac:dyDescent="0.25">
      <c r="A64" s="17">
        <v>47</v>
      </c>
      <c r="B64" s="34">
        <f>IF(N(C64)=0,"",IF(ISNUMBER(MATCH(C64,C$26:C63,)),INDEX(B$26:B63,MATCH(C64,C$26:C63,)),MAX(B$26:B63)+1))</f>
        <v>39</v>
      </c>
      <c r="C64" s="55">
        <v>456</v>
      </c>
      <c r="D64" s="7">
        <v>2</v>
      </c>
      <c r="E64" s="25">
        <f t="shared" si="3"/>
        <v>2</v>
      </c>
      <c r="F64" s="25">
        <f t="shared" si="4"/>
        <v>0</v>
      </c>
      <c r="G64" s="47">
        <f t="shared" si="5"/>
        <v>1</v>
      </c>
      <c r="H64" s="52"/>
      <c r="I64" s="19"/>
      <c r="J64" s="15"/>
      <c r="K64"/>
      <c r="L64"/>
      <c r="M64"/>
      <c r="N64"/>
      <c r="O64"/>
      <c r="P64" s="15"/>
    </row>
    <row r="65" spans="1:16" x14ac:dyDescent="0.25">
      <c r="A65" s="17">
        <v>48</v>
      </c>
      <c r="B65" s="34">
        <f>IF(N(C65)=0,"",IF(ISNUMBER(MATCH(C65,C$26:C64,)),INDEX(B$26:B64,MATCH(C65,C$26:C64,)),MAX(B$26:B64)+1))</f>
        <v>40</v>
      </c>
      <c r="C65" s="55">
        <v>556</v>
      </c>
      <c r="D65" s="7">
        <v>2</v>
      </c>
      <c r="E65" s="25">
        <f t="shared" si="3"/>
        <v>2</v>
      </c>
      <c r="F65" s="25">
        <f t="shared" si="4"/>
        <v>0</v>
      </c>
      <c r="G65" s="47">
        <f t="shared" si="5"/>
        <v>1</v>
      </c>
      <c r="H65" s="52"/>
      <c r="I65" s="19"/>
      <c r="J65" s="15"/>
      <c r="K65"/>
      <c r="L65"/>
      <c r="M65"/>
      <c r="N65"/>
      <c r="O65"/>
      <c r="P65" s="15"/>
    </row>
    <row r="66" spans="1:16" x14ac:dyDescent="0.25">
      <c r="A66" s="17">
        <v>49</v>
      </c>
      <c r="B66" s="34">
        <f>IF(N(C66)=0,"",IF(ISNUMBER(MATCH(C66,C$26:C65,)),INDEX(B$26:B65,MATCH(C66,C$26:C65,)),MAX(B$26:B65)+1))</f>
        <v>41</v>
      </c>
      <c r="C66" s="55">
        <v>606</v>
      </c>
      <c r="D66" s="7">
        <v>2</v>
      </c>
      <c r="E66" s="25">
        <f t="shared" si="3"/>
        <v>2</v>
      </c>
      <c r="F66" s="25">
        <f t="shared" si="4"/>
        <v>0</v>
      </c>
      <c r="G66" s="47">
        <f t="shared" si="5"/>
        <v>1</v>
      </c>
      <c r="H66" s="52"/>
      <c r="I66" s="19"/>
      <c r="J66" s="15"/>
      <c r="K66"/>
      <c r="L66"/>
      <c r="M66"/>
      <c r="N66"/>
      <c r="O66"/>
      <c r="P66" s="15"/>
    </row>
    <row r="67" spans="1:16" x14ac:dyDescent="0.25">
      <c r="A67" s="17">
        <v>50</v>
      </c>
      <c r="B67" s="34">
        <f>IF(N(C67)=0,"",IF(ISNUMBER(MATCH(C67,C$26:C66,)),INDEX(B$26:B66,MATCH(C67,C$26:C66,)),MAX(B$26:B66)+1))</f>
        <v>42</v>
      </c>
      <c r="C67" s="55">
        <v>1266</v>
      </c>
      <c r="D67" s="7">
        <v>2</v>
      </c>
      <c r="E67" s="25">
        <f t="shared" si="3"/>
        <v>2</v>
      </c>
      <c r="F67" s="25">
        <f t="shared" si="4"/>
        <v>0</v>
      </c>
      <c r="G67" s="47">
        <f t="shared" si="5"/>
        <v>1</v>
      </c>
      <c r="H67" s="52"/>
      <c r="I67" s="19"/>
      <c r="J67" s="15"/>
      <c r="K67"/>
      <c r="L67"/>
      <c r="M67"/>
      <c r="N67"/>
      <c r="O67"/>
      <c r="P67" s="15"/>
    </row>
    <row r="68" spans="1:16" x14ac:dyDescent="0.25">
      <c r="A68" s="17">
        <v>51</v>
      </c>
      <c r="B68" s="34">
        <f>IF(N(C68)=0,"",IF(ISNUMBER(MATCH(C68,C$26:C67,)),INDEX(B$26:B67,MATCH(C68,C$26:C67,)),MAX(B$26:B67)+1))</f>
        <v>43</v>
      </c>
      <c r="C68" s="55">
        <v>2346</v>
      </c>
      <c r="D68" s="7">
        <v>2</v>
      </c>
      <c r="E68" s="25">
        <f t="shared" si="3"/>
        <v>2</v>
      </c>
      <c r="F68" s="25">
        <f t="shared" si="4"/>
        <v>0</v>
      </c>
      <c r="G68" s="47">
        <f t="shared" si="5"/>
        <v>1</v>
      </c>
      <c r="H68" s="52"/>
      <c r="I68" s="19"/>
      <c r="J68" s="15"/>
      <c r="K68"/>
      <c r="L68"/>
      <c r="M68"/>
      <c r="N68"/>
      <c r="O68"/>
      <c r="P68" s="15"/>
    </row>
    <row r="69" spans="1:16" x14ac:dyDescent="0.25">
      <c r="A69" s="17">
        <v>52</v>
      </c>
      <c r="B69" s="34">
        <f>IF(N(C69)=0,"",IF(ISNUMBER(MATCH(C69,C$26:C68,)),INDEX(B$26:B68,MATCH(C69,C$26:C68,)),MAX(B$26:B68)+1))</f>
        <v>44</v>
      </c>
      <c r="C69" s="55">
        <v>2286</v>
      </c>
      <c r="D69" s="7">
        <v>2</v>
      </c>
      <c r="E69" s="25">
        <f t="shared" si="3"/>
        <v>2</v>
      </c>
      <c r="F69" s="25">
        <f t="shared" si="4"/>
        <v>0</v>
      </c>
      <c r="G69" s="47">
        <f t="shared" si="5"/>
        <v>1</v>
      </c>
      <c r="H69" s="52"/>
      <c r="I69" s="19"/>
      <c r="J69" s="15"/>
      <c r="K69"/>
      <c r="L69"/>
      <c r="M69"/>
      <c r="N69"/>
      <c r="O69"/>
      <c r="P69" s="15"/>
    </row>
    <row r="70" spans="1:16" x14ac:dyDescent="0.25">
      <c r="A70" s="17">
        <v>53</v>
      </c>
      <c r="B70" s="34">
        <f>IF(N(C70)=0,"",IF(ISNUMBER(MATCH(C70,C$26:C69,)),INDEX(B$26:B69,MATCH(C70,C$26:C69,)),MAX(B$26:B69)+1))</f>
        <v>45</v>
      </c>
      <c r="C70" s="55">
        <v>2176</v>
      </c>
      <c r="D70" s="7">
        <v>2</v>
      </c>
      <c r="E70" s="25">
        <f t="shared" si="3"/>
        <v>2</v>
      </c>
      <c r="F70" s="25">
        <f t="shared" si="4"/>
        <v>0</v>
      </c>
      <c r="G70" s="47">
        <f t="shared" si="5"/>
        <v>1</v>
      </c>
      <c r="H70" s="52"/>
      <c r="I70" s="19"/>
      <c r="J70" s="15"/>
      <c r="K70"/>
      <c r="L70"/>
      <c r="M70"/>
      <c r="N70"/>
      <c r="O70"/>
      <c r="P70" s="15"/>
    </row>
    <row r="71" spans="1:16" x14ac:dyDescent="0.25">
      <c r="A71" s="17">
        <v>54</v>
      </c>
      <c r="B71" s="34">
        <f>IF(N(C71)=0,"",IF(ISNUMBER(MATCH(C71,C$26:C70,)),INDEX(B$26:B70,MATCH(C71,C$26:C70,)),MAX(B$26:B70)+1))</f>
        <v>46</v>
      </c>
      <c r="C71" s="55">
        <v>2136</v>
      </c>
      <c r="D71" s="7">
        <v>2</v>
      </c>
      <c r="E71" s="25">
        <f t="shared" si="3"/>
        <v>2</v>
      </c>
      <c r="F71" s="25">
        <f t="shared" si="4"/>
        <v>0</v>
      </c>
      <c r="G71" s="47">
        <f t="shared" si="5"/>
        <v>1</v>
      </c>
      <c r="H71" s="52"/>
      <c r="I71" s="19"/>
      <c r="J71" s="15"/>
      <c r="K71"/>
      <c r="L71"/>
      <c r="M71"/>
      <c r="N71"/>
      <c r="O71"/>
      <c r="P71" s="15"/>
    </row>
    <row r="72" spans="1:16" x14ac:dyDescent="0.25">
      <c r="A72" s="17">
        <v>55</v>
      </c>
      <c r="B72" s="34">
        <f>IF(N(C72)=0,"",IF(ISNUMBER(MATCH(C72,C$26:C71,)),INDEX(B$26:B71,MATCH(C72,C$26:C71,)),MAX(B$26:B71)+1))</f>
        <v>47</v>
      </c>
      <c r="C72" s="55">
        <v>2126</v>
      </c>
      <c r="D72" s="7">
        <v>2</v>
      </c>
      <c r="E72" s="25">
        <f t="shared" si="3"/>
        <v>2</v>
      </c>
      <c r="F72" s="25">
        <f t="shared" si="4"/>
        <v>0</v>
      </c>
      <c r="G72" s="47">
        <f t="shared" si="5"/>
        <v>1</v>
      </c>
      <c r="H72" s="52"/>
      <c r="I72" s="19"/>
      <c r="J72" s="15"/>
      <c r="K72"/>
      <c r="L72"/>
      <c r="M72"/>
      <c r="N72"/>
      <c r="O72"/>
      <c r="P72" s="15"/>
    </row>
    <row r="73" spans="1:16" x14ac:dyDescent="0.25">
      <c r="A73" s="17">
        <v>56</v>
      </c>
      <c r="B73" s="34">
        <f>IF(N(C73)=0,"",IF(ISNUMBER(MATCH(C73,C$26:C72,)),INDEX(B$26:B72,MATCH(C73,C$26:C72,)),MAX(B$26:B72)+1))</f>
        <v>48</v>
      </c>
      <c r="C73" s="55">
        <v>2106</v>
      </c>
      <c r="D73" s="7">
        <v>2</v>
      </c>
      <c r="E73" s="25">
        <f t="shared" si="3"/>
        <v>2</v>
      </c>
      <c r="F73" s="25">
        <f t="shared" si="4"/>
        <v>0</v>
      </c>
      <c r="G73" s="47">
        <f t="shared" si="5"/>
        <v>1</v>
      </c>
      <c r="H73" s="52"/>
      <c r="I73" s="19"/>
      <c r="J73" s="15"/>
      <c r="K73"/>
      <c r="L73"/>
      <c r="M73"/>
      <c r="N73"/>
      <c r="O73"/>
      <c r="P73" s="15"/>
    </row>
    <row r="74" spans="1:16" x14ac:dyDescent="0.25">
      <c r="A74" s="17">
        <v>57</v>
      </c>
      <c r="B74" s="34">
        <f>IF(N(C74)=0,"",IF(ISNUMBER(MATCH(C74,C$26:C73,)),INDEX(B$26:B73,MATCH(C74,C$26:C73,)),MAX(B$26:B73)+1))</f>
        <v>49</v>
      </c>
      <c r="C74" s="55">
        <v>2086</v>
      </c>
      <c r="D74" s="7">
        <v>2</v>
      </c>
      <c r="E74" s="25">
        <f t="shared" si="3"/>
        <v>2</v>
      </c>
      <c r="F74" s="25">
        <f t="shared" si="4"/>
        <v>0</v>
      </c>
      <c r="G74" s="47">
        <f t="shared" si="5"/>
        <v>1</v>
      </c>
      <c r="H74" s="52"/>
      <c r="I74" s="19"/>
      <c r="J74" s="15"/>
      <c r="K74"/>
      <c r="L74"/>
      <c r="M74"/>
      <c r="N74"/>
      <c r="O74"/>
      <c r="P74" s="15"/>
    </row>
    <row r="75" spans="1:16" x14ac:dyDescent="0.25">
      <c r="A75" s="17">
        <v>58</v>
      </c>
      <c r="B75" s="34">
        <f>IF(N(C75)=0,"",IF(ISNUMBER(MATCH(C75,C$26:C74,)),INDEX(B$26:B74,MATCH(C75,C$26:C74,)),MAX(B$26:B74)+1))</f>
        <v>50</v>
      </c>
      <c r="C75" s="55">
        <v>2066</v>
      </c>
      <c r="D75" s="7">
        <v>2</v>
      </c>
      <c r="E75" s="25">
        <f t="shared" si="3"/>
        <v>2</v>
      </c>
      <c r="F75" s="25">
        <f t="shared" si="4"/>
        <v>0</v>
      </c>
      <c r="G75" s="47">
        <f t="shared" si="5"/>
        <v>1</v>
      </c>
      <c r="H75" s="52"/>
      <c r="I75" s="19"/>
      <c r="J75" s="15"/>
      <c r="K75"/>
      <c r="L75"/>
      <c r="M75"/>
      <c r="N75"/>
      <c r="O75"/>
      <c r="P75" s="15"/>
    </row>
    <row r="76" spans="1:16" x14ac:dyDescent="0.25">
      <c r="A76" s="17">
        <v>59</v>
      </c>
      <c r="B76" s="34">
        <f>IF(N(C76)=0,"",IF(ISNUMBER(MATCH(C76,C$26:C75,)),INDEX(B$26:B75,MATCH(C76,C$26:C75,)),MAX(B$26:B75)+1))</f>
        <v>51</v>
      </c>
      <c r="C76" s="55">
        <v>1836</v>
      </c>
      <c r="D76" s="7">
        <v>2</v>
      </c>
      <c r="E76" s="25">
        <f t="shared" si="3"/>
        <v>2</v>
      </c>
      <c r="F76" s="25">
        <f t="shared" si="4"/>
        <v>0</v>
      </c>
      <c r="G76" s="47">
        <f t="shared" si="5"/>
        <v>1</v>
      </c>
      <c r="H76" s="52"/>
      <c r="I76" s="19"/>
      <c r="J76" s="15"/>
      <c r="K76"/>
      <c r="L76"/>
      <c r="M76"/>
      <c r="N76"/>
      <c r="O76"/>
      <c r="P76" s="15"/>
    </row>
    <row r="77" spans="1:16" x14ac:dyDescent="0.25">
      <c r="A77" s="17">
        <v>60</v>
      </c>
      <c r="B77" s="34">
        <f>IF(N(C77)=0,"",IF(ISNUMBER(MATCH(C77,C$26:C76,)),INDEX(B$26:B76,MATCH(C77,C$26:C76,)),MAX(B$26:B76)+1))</f>
        <v>52</v>
      </c>
      <c r="C77" s="55">
        <v>1906</v>
      </c>
      <c r="D77" s="7">
        <v>2</v>
      </c>
      <c r="E77" s="25">
        <f t="shared" si="3"/>
        <v>2</v>
      </c>
      <c r="F77" s="25">
        <f t="shared" si="4"/>
        <v>0</v>
      </c>
      <c r="G77" s="47">
        <f t="shared" si="5"/>
        <v>1</v>
      </c>
      <c r="H77" s="52"/>
      <c r="I77" s="19"/>
      <c r="J77" s="15"/>
      <c r="K77"/>
      <c r="L77"/>
      <c r="M77"/>
      <c r="N77"/>
      <c r="O77"/>
      <c r="P77" s="15"/>
    </row>
    <row r="78" spans="1:16" x14ac:dyDescent="0.25">
      <c r="A78" s="17">
        <v>61</v>
      </c>
      <c r="B78" s="34">
        <f>IF(N(C78)=0,"",IF(ISNUMBER(MATCH(C78,C$26:C77,)),INDEX(B$26:B77,MATCH(C78,C$26:C77,)),MAX(B$26:B77)+1))</f>
        <v>53</v>
      </c>
      <c r="C78" s="55">
        <v>1346</v>
      </c>
      <c r="D78" s="7">
        <v>2</v>
      </c>
      <c r="E78" s="25">
        <f t="shared" si="3"/>
        <v>2</v>
      </c>
      <c r="F78" s="25">
        <f t="shared" si="4"/>
        <v>0</v>
      </c>
      <c r="G78" s="47">
        <f t="shared" si="5"/>
        <v>1</v>
      </c>
      <c r="H78" s="52"/>
      <c r="I78" s="19"/>
      <c r="J78" s="15"/>
      <c r="K78"/>
      <c r="L78"/>
      <c r="M78"/>
      <c r="N78"/>
      <c r="O78"/>
      <c r="P78" s="15"/>
    </row>
    <row r="79" spans="1:16" x14ac:dyDescent="0.25">
      <c r="A79" s="17">
        <v>62</v>
      </c>
      <c r="B79" s="34">
        <f>IF(N(C79)=0,"",IF(ISNUMBER(MATCH(C79,C$26:C78,)),INDEX(B$26:B78,MATCH(C79,C$26:C78,)),MAX(B$26:B78)+1))</f>
        <v>54</v>
      </c>
      <c r="C79" s="55">
        <v>1506</v>
      </c>
      <c r="D79" s="7">
        <v>6</v>
      </c>
      <c r="E79" s="25">
        <f t="shared" si="3"/>
        <v>6</v>
      </c>
      <c r="F79" s="25">
        <f t="shared" si="4"/>
        <v>0</v>
      </c>
      <c r="G79" s="47">
        <f t="shared" si="5"/>
        <v>1</v>
      </c>
      <c r="H79" s="52"/>
      <c r="I79" s="19"/>
      <c r="J79" s="15"/>
      <c r="K79"/>
      <c r="L79"/>
      <c r="M79"/>
      <c r="N79"/>
      <c r="O79"/>
      <c r="P79" s="15"/>
    </row>
    <row r="80" spans="1:16" x14ac:dyDescent="0.25">
      <c r="A80" s="17">
        <v>63</v>
      </c>
      <c r="B80" s="34">
        <f>IF(N(C80)=0,"",IF(ISNUMBER(MATCH(C80,C$26:C79,)),INDEX(B$26:B79,MATCH(C80,C$26:C79,)),MAX(B$26:B79)+1))</f>
        <v>55</v>
      </c>
      <c r="C80" s="55">
        <v>1416</v>
      </c>
      <c r="D80" s="7">
        <v>4</v>
      </c>
      <c r="E80" s="25">
        <f t="shared" si="3"/>
        <v>4</v>
      </c>
      <c r="F80" s="25">
        <f t="shared" si="4"/>
        <v>0</v>
      </c>
      <c r="G80" s="47">
        <f t="shared" si="5"/>
        <v>1</v>
      </c>
      <c r="H80" s="52"/>
      <c r="I80" s="19"/>
      <c r="J80" s="15"/>
      <c r="K80"/>
      <c r="L80"/>
      <c r="M80"/>
      <c r="N80"/>
      <c r="O80"/>
      <c r="P80" s="15"/>
    </row>
    <row r="81" spans="1:16" x14ac:dyDescent="0.25">
      <c r="A81" s="17">
        <v>64</v>
      </c>
      <c r="B81" s="34">
        <f>IF(N(C81)=0,"",IF(ISNUMBER(MATCH(C81,C$26:C80,)),INDEX(B$26:B80,MATCH(C81,C$26:C80,)),MAX(B$26:B80)+1))</f>
        <v>56</v>
      </c>
      <c r="C81" s="55">
        <v>1406</v>
      </c>
      <c r="D81" s="7">
        <v>10</v>
      </c>
      <c r="E81" s="25">
        <f t="shared" si="3"/>
        <v>10</v>
      </c>
      <c r="F81" s="25">
        <f t="shared" si="4"/>
        <v>0</v>
      </c>
      <c r="G81" s="47">
        <f t="shared" si="5"/>
        <v>1</v>
      </c>
      <c r="H81" s="52"/>
      <c r="I81" s="19"/>
      <c r="J81" s="15"/>
      <c r="K81"/>
      <c r="L81"/>
      <c r="M81"/>
      <c r="N81"/>
      <c r="O81"/>
      <c r="P81" s="15"/>
    </row>
    <row r="82" spans="1:16" x14ac:dyDescent="0.25">
      <c r="A82" s="17">
        <v>65</v>
      </c>
      <c r="B82" s="34">
        <f>IF(N(C82)=0,"",IF(ISNUMBER(MATCH(C82,C$26:C81,)),INDEX(B$26:B81,MATCH(C82,C$26:C81,)),MAX(B$26:B81)+1))</f>
        <v>57</v>
      </c>
      <c r="C82" s="55">
        <v>1396</v>
      </c>
      <c r="D82" s="7">
        <v>8</v>
      </c>
      <c r="E82" s="25">
        <f t="shared" si="3"/>
        <v>8</v>
      </c>
      <c r="F82" s="25">
        <f t="shared" si="4"/>
        <v>0</v>
      </c>
      <c r="G82" s="47">
        <f t="shared" si="5"/>
        <v>1</v>
      </c>
      <c r="H82" s="52"/>
      <c r="I82" s="19"/>
      <c r="J82" s="15"/>
      <c r="K82"/>
      <c r="L82"/>
      <c r="M82"/>
      <c r="N82"/>
      <c r="O82"/>
      <c r="P82" s="15"/>
    </row>
    <row r="83" spans="1:16" x14ac:dyDescent="0.25">
      <c r="A83" s="17">
        <v>66</v>
      </c>
      <c r="B83" s="34">
        <f>IF(N(C83)=0,"",IF(ISNUMBER(MATCH(C83,C$26:C82,)),INDEX(B$26:B82,MATCH(C83,C$26:C82,)),MAX(B$26:B82)+1))</f>
        <v>58</v>
      </c>
      <c r="C83" s="55">
        <v>1376</v>
      </c>
      <c r="D83" s="7">
        <v>2</v>
      </c>
      <c r="E83" s="25">
        <f t="shared" si="3"/>
        <v>2</v>
      </c>
      <c r="F83" s="25">
        <f t="shared" si="4"/>
        <v>0</v>
      </c>
      <c r="G83" s="47">
        <f t="shared" si="5"/>
        <v>1</v>
      </c>
      <c r="H83" s="52"/>
      <c r="I83" s="19"/>
      <c r="J83" s="15"/>
      <c r="K83"/>
      <c r="L83"/>
      <c r="M83"/>
      <c r="N83"/>
      <c r="O83"/>
      <c r="P83" s="15"/>
    </row>
    <row r="84" spans="1:16" x14ac:dyDescent="0.25">
      <c r="A84" s="17">
        <v>67</v>
      </c>
      <c r="B84" s="34">
        <f>IF(N(C84)=0,"",IF(ISNUMBER(MATCH(C84,C$26:C83,)),INDEX(B$26:B83,MATCH(C84,C$26:C83,)),MAX(B$26:B83)+1))</f>
        <v>59</v>
      </c>
      <c r="C84" s="55">
        <v>1336</v>
      </c>
      <c r="D84" s="7">
        <v>12</v>
      </c>
      <c r="E84" s="25">
        <f t="shared" si="3"/>
        <v>12</v>
      </c>
      <c r="F84" s="25">
        <f t="shared" si="4"/>
        <v>0</v>
      </c>
      <c r="G84" s="47">
        <f t="shared" si="5"/>
        <v>1</v>
      </c>
      <c r="H84" s="52"/>
      <c r="I84" s="19"/>
      <c r="J84" s="15"/>
      <c r="K84"/>
      <c r="L84"/>
      <c r="M84"/>
      <c r="N84"/>
      <c r="O84"/>
      <c r="P84" s="15"/>
    </row>
    <row r="85" spans="1:16" x14ac:dyDescent="0.25">
      <c r="A85" s="17">
        <v>68</v>
      </c>
      <c r="B85" s="34">
        <f>IF(N(C85)=0,"",IF(ISNUMBER(MATCH(C85,C$26:C84,)),INDEX(B$26:B84,MATCH(C85,C$26:C84,)),MAX(B$26:B84)+1))</f>
        <v>60</v>
      </c>
      <c r="C85" s="55">
        <v>1326</v>
      </c>
      <c r="D85" s="7">
        <v>10</v>
      </c>
      <c r="E85" s="25">
        <f t="shared" si="3"/>
        <v>10</v>
      </c>
      <c r="F85" s="25">
        <f t="shared" si="4"/>
        <v>0</v>
      </c>
      <c r="G85" s="47">
        <f t="shared" si="5"/>
        <v>1</v>
      </c>
      <c r="H85" s="52"/>
      <c r="I85" s="19"/>
      <c r="J85" s="15"/>
      <c r="K85"/>
      <c r="L85"/>
      <c r="M85"/>
      <c r="N85"/>
      <c r="O85"/>
    </row>
    <row r="86" spans="1:16" x14ac:dyDescent="0.25">
      <c r="A86" s="17">
        <v>69</v>
      </c>
      <c r="B86" s="34">
        <f>IF(N(C86)=0,"",IF(ISNUMBER(MATCH(C86,C$26:C85,)),INDEX(B$26:B85,MATCH(C86,C$26:C85,)),MAX(B$26:B85)+1))</f>
        <v>61</v>
      </c>
      <c r="C86" s="55">
        <v>1306</v>
      </c>
      <c r="D86" s="7">
        <v>10</v>
      </c>
      <c r="E86" s="25">
        <f t="shared" si="3"/>
        <v>10</v>
      </c>
      <c r="F86" s="25">
        <f t="shared" si="4"/>
        <v>0</v>
      </c>
      <c r="G86" s="47">
        <f t="shared" si="5"/>
        <v>1</v>
      </c>
      <c r="H86" s="52"/>
      <c r="I86" s="19"/>
      <c r="J86" s="15"/>
      <c r="K86"/>
      <c r="L86"/>
      <c r="M86"/>
      <c r="N86"/>
      <c r="O86"/>
    </row>
    <row r="87" spans="1:16" x14ac:dyDescent="0.25">
      <c r="A87" s="17">
        <v>70</v>
      </c>
      <c r="B87" s="34">
        <f>IF(N(C87)=0,"",IF(ISNUMBER(MATCH(C87,C$26:C86,)),INDEX(B$26:B86,MATCH(C87,C$26:C86,)),MAX(B$26:B86)+1))</f>
        <v>62</v>
      </c>
      <c r="C87" s="55">
        <v>1276</v>
      </c>
      <c r="D87" s="7">
        <v>2</v>
      </c>
      <c r="E87" s="25">
        <f t="shared" si="3"/>
        <v>2</v>
      </c>
      <c r="F87" s="25">
        <f t="shared" si="4"/>
        <v>0</v>
      </c>
      <c r="G87" s="47">
        <f t="shared" si="5"/>
        <v>1</v>
      </c>
      <c r="H87" s="52"/>
      <c r="I87" s="19"/>
      <c r="J87" s="15"/>
      <c r="K87"/>
      <c r="L87"/>
      <c r="M87"/>
      <c r="N87"/>
      <c r="O87"/>
    </row>
    <row r="88" spans="1:16" x14ac:dyDescent="0.25">
      <c r="A88" s="17">
        <v>71</v>
      </c>
      <c r="B88" s="34">
        <f>IF(N(C88)=0,"",IF(ISNUMBER(MATCH(C88,C$26:C87,)),INDEX(B$26:B87,MATCH(C88,C$26:C87,)),MAX(B$26:B87)+1))</f>
        <v>63</v>
      </c>
      <c r="C88" s="55">
        <v>866</v>
      </c>
      <c r="D88" s="7">
        <v>2</v>
      </c>
      <c r="E88" s="25">
        <f t="shared" si="3"/>
        <v>2</v>
      </c>
      <c r="F88" s="25">
        <f t="shared" si="4"/>
        <v>0</v>
      </c>
      <c r="G88" s="47">
        <f t="shared" si="5"/>
        <v>1</v>
      </c>
      <c r="H88" s="52"/>
      <c r="I88" s="19"/>
      <c r="J88" s="15"/>
      <c r="K88"/>
      <c r="L88"/>
      <c r="M88"/>
      <c r="N88"/>
      <c r="O88"/>
    </row>
    <row r="89" spans="1:16" x14ac:dyDescent="0.25">
      <c r="A89" s="17">
        <v>72</v>
      </c>
      <c r="B89" s="34">
        <f>IF(N(C89)=0,"",IF(ISNUMBER(MATCH(C89,C$26:C88,)),INDEX(B$26:B88,MATCH(C89,C$26:C88,)),MAX(B$26:B88)+1))</f>
        <v>64</v>
      </c>
      <c r="C89" s="55">
        <v>1256</v>
      </c>
      <c r="D89" s="7">
        <v>2</v>
      </c>
      <c r="E89" s="25">
        <f t="shared" si="3"/>
        <v>2</v>
      </c>
      <c r="F89" s="25">
        <f t="shared" si="4"/>
        <v>0</v>
      </c>
      <c r="G89" s="47">
        <f t="shared" si="5"/>
        <v>1</v>
      </c>
      <c r="H89" s="52"/>
      <c r="I89" s="19"/>
      <c r="J89" s="15"/>
      <c r="K89"/>
      <c r="L89"/>
      <c r="M89"/>
      <c r="N89"/>
      <c r="O89"/>
    </row>
    <row r="90" spans="1:16" x14ac:dyDescent="0.25">
      <c r="A90" s="17">
        <v>73</v>
      </c>
      <c r="B90" s="34">
        <f>IF(N(C90)=0,"",IF(ISNUMBER(MATCH(C90,C$26:C89,)),INDEX(B$26:B89,MATCH(C90,C$26:C89,)),MAX(B$26:B89)+1))</f>
        <v>65</v>
      </c>
      <c r="C90" s="55">
        <v>1126</v>
      </c>
      <c r="D90" s="7">
        <v>2</v>
      </c>
      <c r="E90" s="25">
        <f t="shared" ref="E90:E115" si="7">IF($K$3=0,0,IF(ISNA(VLOOKUP(C90,H$26:I$115,2,))*C90,D90,IF(C90="","",IF(D90="",TRUNC($C$3/C90)-VLOOKUP(C90,H$26:I$115,2,),D90-VLOOKUP(C90,H$26:I$115,2,)))))</f>
        <v>2</v>
      </c>
      <c r="F90" s="25">
        <f t="shared" ref="F90:F115" si="8">IF($K$3=0,"",IF(AND(C90&lt;&gt;"",D90&lt;&gt;""),D90-E90,IF(D90="","",TRUNC($C$3/C90)-VLOOKUP(C90,H$26:I$115,2,))))</f>
        <v>0</v>
      </c>
      <c r="G90" s="47">
        <f t="shared" si="5"/>
        <v>1</v>
      </c>
      <c r="H90" s="52"/>
      <c r="I90" s="19"/>
      <c r="J90" s="15"/>
      <c r="K90"/>
      <c r="L90"/>
      <c r="M90"/>
      <c r="N90"/>
      <c r="O90"/>
    </row>
    <row r="91" spans="1:16" x14ac:dyDescent="0.25">
      <c r="A91" s="17">
        <v>74</v>
      </c>
      <c r="B91" s="34">
        <f>IF(N(C91)=0,"",IF(ISNUMBER(MATCH(C91,C$26:C90,)),INDEX(B$26:B90,MATCH(C91,C$26:C90,)),MAX(B$26:B90)+1))</f>
        <v>66</v>
      </c>
      <c r="C91" s="55">
        <v>666</v>
      </c>
      <c r="D91" s="7">
        <v>2</v>
      </c>
      <c r="E91" s="25">
        <f t="shared" si="7"/>
        <v>2</v>
      </c>
      <c r="F91" s="25">
        <f t="shared" si="8"/>
        <v>0</v>
      </c>
      <c r="G91" s="47">
        <f t="shared" ref="G91:G114" si="9">--(C91+H91+K91&gt;0)</f>
        <v>1</v>
      </c>
      <c r="H91" s="52"/>
      <c r="I91" s="19"/>
      <c r="J91" s="15"/>
      <c r="K91"/>
      <c r="L91"/>
      <c r="M91"/>
      <c r="N91"/>
      <c r="O91"/>
    </row>
    <row r="92" spans="1:16" x14ac:dyDescent="0.25">
      <c r="A92" s="17">
        <v>75</v>
      </c>
      <c r="B92" s="34" t="str">
        <f>IF(N(C92)=0,"",IF(ISNUMBER(MATCH(C92,C$26:C91,)),INDEX(B$26:B91,MATCH(C92,C$26:C91,)),MAX(B$26:B91)+1))</f>
        <v/>
      </c>
      <c r="C92" s="55"/>
      <c r="D92" s="7"/>
      <c r="E92" s="25" t="str">
        <f t="shared" si="7"/>
        <v/>
      </c>
      <c r="F92" s="25" t="str">
        <f t="shared" si="8"/>
        <v/>
      </c>
      <c r="G92" s="47">
        <f t="shared" si="9"/>
        <v>0</v>
      </c>
      <c r="H92" s="52"/>
      <c r="I92" s="19"/>
      <c r="J92" s="15"/>
      <c r="K92"/>
      <c r="L92"/>
      <c r="M92"/>
      <c r="N92"/>
      <c r="O92"/>
    </row>
    <row r="93" spans="1:16" x14ac:dyDescent="0.25">
      <c r="A93" s="17">
        <v>76</v>
      </c>
      <c r="B93" s="34" t="str">
        <f>IF(N(C93)=0,"",IF(ISNUMBER(MATCH(C93,C$26:C92,)),INDEX(B$26:B92,MATCH(C93,C$26:C92,)),MAX(B$26:B92)+1))</f>
        <v/>
      </c>
      <c r="C93" s="55"/>
      <c r="D93" s="7"/>
      <c r="E93" s="25" t="str">
        <f t="shared" si="7"/>
        <v/>
      </c>
      <c r="F93" s="25" t="str">
        <f t="shared" si="8"/>
        <v/>
      </c>
      <c r="G93" s="47">
        <f t="shared" si="9"/>
        <v>0</v>
      </c>
      <c r="H93" s="52"/>
      <c r="I93" s="19"/>
      <c r="J93" s="15"/>
      <c r="K93"/>
      <c r="L93"/>
      <c r="M93"/>
      <c r="N93"/>
      <c r="O93"/>
    </row>
    <row r="94" spans="1:16" x14ac:dyDescent="0.25">
      <c r="A94" s="17">
        <v>77</v>
      </c>
      <c r="B94" s="34" t="str">
        <f>IF(N(C94)=0,"",IF(ISNUMBER(MATCH(C94,C$26:C93,)),INDEX(B$26:B93,MATCH(C94,C$26:C93,)),MAX(B$26:B93)+1))</f>
        <v/>
      </c>
      <c r="C94" s="55"/>
      <c r="D94" s="7"/>
      <c r="E94" s="25" t="str">
        <f t="shared" si="7"/>
        <v/>
      </c>
      <c r="F94" s="25" t="str">
        <f t="shared" si="8"/>
        <v/>
      </c>
      <c r="G94" s="47">
        <f t="shared" si="9"/>
        <v>0</v>
      </c>
      <c r="H94" s="52"/>
      <c r="I94" s="19"/>
      <c r="J94" s="15"/>
      <c r="K94"/>
      <c r="L94"/>
      <c r="M94"/>
      <c r="N94"/>
      <c r="O94"/>
    </row>
    <row r="95" spans="1:16" x14ac:dyDescent="0.25">
      <c r="A95" s="17">
        <v>78</v>
      </c>
      <c r="B95" s="34" t="str">
        <f>IF(N(C95)=0,"",IF(ISNUMBER(MATCH(C95,C$26:C94,)),INDEX(B$26:B94,MATCH(C95,C$26:C94,)),MAX(B$26:B94)+1))</f>
        <v/>
      </c>
      <c r="C95" s="55"/>
      <c r="D95" s="7"/>
      <c r="E95" s="25" t="str">
        <f t="shared" si="7"/>
        <v/>
      </c>
      <c r="F95" s="25" t="str">
        <f t="shared" si="8"/>
        <v/>
      </c>
      <c r="G95" s="47">
        <f t="shared" si="9"/>
        <v>0</v>
      </c>
      <c r="H95" s="52"/>
      <c r="I95" s="19"/>
      <c r="J95" s="15"/>
      <c r="K95"/>
      <c r="L95"/>
      <c r="M95"/>
      <c r="N95"/>
      <c r="O95"/>
    </row>
    <row r="96" spans="1:16" x14ac:dyDescent="0.25">
      <c r="A96" s="17">
        <v>79</v>
      </c>
      <c r="B96" s="34" t="str">
        <f>IF(N(C96)=0,"",IF(ISNUMBER(MATCH(C96,C$26:C95,)),INDEX(B$26:B95,MATCH(C96,C$26:C95,)),MAX(B$26:B95)+1))</f>
        <v/>
      </c>
      <c r="C96" s="55"/>
      <c r="D96" s="7"/>
      <c r="E96" s="25" t="str">
        <f t="shared" si="7"/>
        <v/>
      </c>
      <c r="F96" s="25" t="str">
        <f t="shared" si="8"/>
        <v/>
      </c>
      <c r="G96" s="47">
        <f t="shared" si="9"/>
        <v>0</v>
      </c>
      <c r="H96" s="52"/>
      <c r="I96" s="19"/>
      <c r="J96" s="15"/>
      <c r="K96"/>
      <c r="L96"/>
      <c r="M96"/>
      <c r="N96"/>
      <c r="O96"/>
    </row>
    <row r="97" spans="1:15" x14ac:dyDescent="0.25">
      <c r="A97" s="17">
        <v>80</v>
      </c>
      <c r="B97" s="34" t="str">
        <f>IF(N(C97)=0,"",IF(ISNUMBER(MATCH(C97,C$26:C96,)),INDEX(B$26:B96,MATCH(C97,C$26:C96,)),MAX(B$26:B96)+1))</f>
        <v/>
      </c>
      <c r="C97" s="55"/>
      <c r="D97" s="7"/>
      <c r="E97" s="25" t="str">
        <f t="shared" si="7"/>
        <v/>
      </c>
      <c r="F97" s="25" t="str">
        <f t="shared" si="8"/>
        <v/>
      </c>
      <c r="G97" s="47">
        <f t="shared" si="9"/>
        <v>0</v>
      </c>
      <c r="H97" s="52"/>
      <c r="I97" s="19"/>
      <c r="J97" s="17" t="s">
        <v>15</v>
      </c>
      <c r="K97"/>
      <c r="L97"/>
      <c r="M97"/>
      <c r="N97"/>
      <c r="O97"/>
    </row>
    <row r="98" spans="1:15" x14ac:dyDescent="0.25">
      <c r="A98" s="17">
        <v>81</v>
      </c>
      <c r="B98" s="34" t="str">
        <f>IF(N(C98)=0,"",IF(ISNUMBER(MATCH(C98,C$26:C97,)),INDEX(B$26:B97,MATCH(C98,C$26:C97,)),MAX(B$26:B97)+1))</f>
        <v/>
      </c>
      <c r="C98" s="55"/>
      <c r="D98" s="7"/>
      <c r="E98" s="25" t="str">
        <f t="shared" si="7"/>
        <v/>
      </c>
      <c r="F98" s="25" t="str">
        <f t="shared" si="8"/>
        <v/>
      </c>
      <c r="G98" s="47">
        <f t="shared" si="9"/>
        <v>0</v>
      </c>
      <c r="H98" s="52"/>
      <c r="I98" s="19"/>
      <c r="J98" s="17" t="s">
        <v>16</v>
      </c>
      <c r="K98"/>
      <c r="L98"/>
      <c r="M98"/>
      <c r="N98"/>
      <c r="O98"/>
    </row>
    <row r="99" spans="1:15" x14ac:dyDescent="0.25">
      <c r="A99" s="17">
        <v>82</v>
      </c>
      <c r="B99" s="34" t="str">
        <f>IF(N(C99)=0,"",IF(ISNUMBER(MATCH(C99,C$26:C98,)),INDEX(B$26:B98,MATCH(C99,C$26:C98,)),MAX(B$26:B98)+1))</f>
        <v/>
      </c>
      <c r="C99" s="55"/>
      <c r="D99" s="7"/>
      <c r="E99" s="25" t="str">
        <f t="shared" si="7"/>
        <v/>
      </c>
      <c r="F99" s="25" t="str">
        <f t="shared" si="8"/>
        <v/>
      </c>
      <c r="G99" s="47">
        <f t="shared" si="9"/>
        <v>0</v>
      </c>
      <c r="H99" s="52"/>
      <c r="I99" s="19"/>
      <c r="J99" s="15"/>
      <c r="K99"/>
      <c r="L99"/>
      <c r="M99"/>
      <c r="N99"/>
      <c r="O99"/>
    </row>
    <row r="100" spans="1:15" x14ac:dyDescent="0.25">
      <c r="A100" s="17">
        <v>83</v>
      </c>
      <c r="B100" s="34" t="str">
        <f>IF(N(C100)=0,"",IF(ISNUMBER(MATCH(C100,C$26:C99,)),INDEX(B$26:B99,MATCH(C100,C$26:C99,)),MAX(B$26:B99)+1))</f>
        <v/>
      </c>
      <c r="C100" s="55"/>
      <c r="D100" s="7"/>
      <c r="E100" s="25" t="str">
        <f t="shared" si="7"/>
        <v/>
      </c>
      <c r="F100" s="25" t="str">
        <f t="shared" si="8"/>
        <v/>
      </c>
      <c r="G100" s="47">
        <f t="shared" si="9"/>
        <v>0</v>
      </c>
      <c r="H100" s="52"/>
      <c r="I100" s="19"/>
      <c r="J100" s="15"/>
      <c r="K100"/>
      <c r="L100"/>
      <c r="M100"/>
      <c r="N100"/>
      <c r="O100"/>
    </row>
    <row r="101" spans="1:15" x14ac:dyDescent="0.25">
      <c r="A101" s="17">
        <v>84</v>
      </c>
      <c r="B101" s="34" t="str">
        <f>IF(N(C101)=0,"",IF(ISNUMBER(MATCH(C101,C$26:C100,)),INDEX(B$26:B100,MATCH(C101,C$26:C100,)),MAX(B$26:B100)+1))</f>
        <v/>
      </c>
      <c r="C101" s="55"/>
      <c r="D101" s="7"/>
      <c r="E101" s="25" t="str">
        <f t="shared" si="7"/>
        <v/>
      </c>
      <c r="F101" s="25" t="str">
        <f t="shared" si="8"/>
        <v/>
      </c>
      <c r="G101" s="47">
        <f t="shared" si="9"/>
        <v>0</v>
      </c>
      <c r="H101" s="52"/>
      <c r="I101" s="19"/>
      <c r="J101" s="15"/>
      <c r="K101"/>
      <c r="L101"/>
      <c r="M101"/>
      <c r="N101"/>
      <c r="O101"/>
    </row>
    <row r="102" spans="1:15" x14ac:dyDescent="0.25">
      <c r="A102" s="17">
        <v>85</v>
      </c>
      <c r="B102" s="34" t="str">
        <f>IF(N(C102)=0,"",IF(ISNUMBER(MATCH(C102,C$26:C101,)),INDEX(B$26:B101,MATCH(C102,C$26:C101,)),MAX(B$26:B101)+1))</f>
        <v/>
      </c>
      <c r="C102" s="55"/>
      <c r="D102" s="7"/>
      <c r="E102" s="25" t="str">
        <f t="shared" si="7"/>
        <v/>
      </c>
      <c r="F102" s="25" t="str">
        <f t="shared" si="8"/>
        <v/>
      </c>
      <c r="G102" s="47">
        <f t="shared" si="9"/>
        <v>0</v>
      </c>
      <c r="H102" s="52"/>
      <c r="I102" s="19"/>
      <c r="J102" s="15"/>
      <c r="K102"/>
      <c r="L102"/>
      <c r="M102"/>
      <c r="N102"/>
      <c r="O102"/>
    </row>
    <row r="103" spans="1:15" x14ac:dyDescent="0.25">
      <c r="A103" s="17">
        <v>86</v>
      </c>
      <c r="B103" s="34" t="str">
        <f>IF(N(C103)=0,"",IF(ISNUMBER(MATCH(C103,C$26:C102,)),INDEX(B$26:B102,MATCH(C103,C$26:C102,)),MAX(B$26:B102)+1))</f>
        <v/>
      </c>
      <c r="C103" s="55"/>
      <c r="D103" s="7"/>
      <c r="E103" s="25" t="str">
        <f t="shared" si="7"/>
        <v/>
      </c>
      <c r="F103" s="25" t="str">
        <f t="shared" si="8"/>
        <v/>
      </c>
      <c r="G103" s="47">
        <f t="shared" si="9"/>
        <v>0</v>
      </c>
      <c r="H103" s="52"/>
      <c r="I103" s="19"/>
      <c r="J103" s="15"/>
      <c r="K103"/>
      <c r="L103"/>
      <c r="M103"/>
      <c r="N103"/>
      <c r="O103"/>
    </row>
    <row r="104" spans="1:15" x14ac:dyDescent="0.25">
      <c r="A104" s="17">
        <v>87</v>
      </c>
      <c r="B104" s="34" t="str">
        <f>IF(N(C104)=0,"",IF(ISNUMBER(MATCH(C104,C$26:C103,)),INDEX(B$26:B103,MATCH(C104,C$26:C103,)),MAX(B$26:B103)+1))</f>
        <v/>
      </c>
      <c r="C104" s="55"/>
      <c r="D104" s="7"/>
      <c r="E104" s="25" t="str">
        <f t="shared" si="7"/>
        <v/>
      </c>
      <c r="F104" s="25" t="str">
        <f t="shared" si="8"/>
        <v/>
      </c>
      <c r="G104" s="47">
        <f t="shared" si="9"/>
        <v>0</v>
      </c>
      <c r="H104" s="52"/>
      <c r="I104" s="19"/>
      <c r="K104"/>
      <c r="L104"/>
      <c r="M104"/>
      <c r="N104"/>
      <c r="O104"/>
    </row>
    <row r="105" spans="1:15" x14ac:dyDescent="0.25">
      <c r="A105" s="17">
        <v>88</v>
      </c>
      <c r="B105" s="34" t="str">
        <f>IF(N(C105)=0,"",IF(ISNUMBER(MATCH(C105,C$26:C104,)),INDEX(B$26:B104,MATCH(C105,C$26:C104,)),MAX(B$26:B104)+1))</f>
        <v/>
      </c>
      <c r="C105" s="55"/>
      <c r="D105" s="7"/>
      <c r="E105" s="25" t="str">
        <f t="shared" si="7"/>
        <v/>
      </c>
      <c r="F105" s="25" t="str">
        <f t="shared" si="8"/>
        <v/>
      </c>
      <c r="G105" s="47">
        <f t="shared" si="9"/>
        <v>0</v>
      </c>
      <c r="H105" s="52"/>
      <c r="I105" s="19"/>
      <c r="K105"/>
      <c r="L105"/>
      <c r="M105"/>
      <c r="N105"/>
      <c r="O105"/>
    </row>
    <row r="106" spans="1:15" x14ac:dyDescent="0.25">
      <c r="A106" s="17">
        <v>89</v>
      </c>
      <c r="B106" s="34" t="str">
        <f>IF(N(C106)=0,"",IF(ISNUMBER(MATCH(C106,C$26:C105,)),INDEX(B$26:B105,MATCH(C106,C$26:C105,)),MAX(B$26:B105)+1))</f>
        <v/>
      </c>
      <c r="C106" s="55"/>
      <c r="D106" s="7"/>
      <c r="E106" s="25" t="str">
        <f t="shared" si="7"/>
        <v/>
      </c>
      <c r="F106" s="25" t="str">
        <f t="shared" si="8"/>
        <v/>
      </c>
      <c r="G106" s="47">
        <f t="shared" si="9"/>
        <v>0</v>
      </c>
      <c r="H106" s="52"/>
      <c r="I106" s="19"/>
      <c r="K106"/>
      <c r="L106"/>
      <c r="M106"/>
      <c r="N106"/>
      <c r="O106"/>
    </row>
    <row r="107" spans="1:15" x14ac:dyDescent="0.25">
      <c r="A107" s="17">
        <v>90</v>
      </c>
      <c r="B107" s="34" t="str">
        <f>IF(N(C107)=0,"",IF(ISNUMBER(MATCH(C107,C$26:C106,)),INDEX(B$26:B106,MATCH(C107,C$26:C106,)),MAX(B$26:B106)+1))</f>
        <v/>
      </c>
      <c r="C107" s="55"/>
      <c r="D107" s="7"/>
      <c r="E107" s="25" t="str">
        <f t="shared" si="7"/>
        <v/>
      </c>
      <c r="F107" s="25" t="str">
        <f t="shared" si="8"/>
        <v/>
      </c>
      <c r="G107" s="47">
        <f t="shared" si="9"/>
        <v>0</v>
      </c>
      <c r="H107" s="52"/>
      <c r="I107" s="19"/>
      <c r="K107"/>
      <c r="L107"/>
      <c r="M107"/>
      <c r="N107"/>
      <c r="O107"/>
    </row>
    <row r="108" spans="1:15" x14ac:dyDescent="0.25">
      <c r="A108" s="17">
        <v>91</v>
      </c>
      <c r="B108" s="34" t="str">
        <f>IF(N(C108)=0,"",IF(ISNUMBER(MATCH(C108,C$26:C107,)),INDEX(B$26:B107,MATCH(C108,C$26:C107,)),MAX(B$26:B107)+1))</f>
        <v/>
      </c>
      <c r="C108" s="55"/>
      <c r="D108" s="7"/>
      <c r="E108" s="25" t="str">
        <f t="shared" si="7"/>
        <v/>
      </c>
      <c r="F108" s="25" t="str">
        <f t="shared" si="8"/>
        <v/>
      </c>
      <c r="G108" s="47">
        <f t="shared" si="9"/>
        <v>0</v>
      </c>
      <c r="H108" s="52"/>
      <c r="I108" s="19"/>
      <c r="K108"/>
      <c r="L108"/>
      <c r="M108"/>
      <c r="N108"/>
      <c r="O108"/>
    </row>
    <row r="109" spans="1:15" x14ac:dyDescent="0.25">
      <c r="A109" s="17">
        <v>92</v>
      </c>
      <c r="B109" s="34" t="str">
        <f>IF(N(C109)=0,"",IF(ISNUMBER(MATCH(C109,C$26:C108,)),INDEX(B$26:B108,MATCH(C109,C$26:C108,)),MAX(B$26:B108)+1))</f>
        <v/>
      </c>
      <c r="C109" s="55"/>
      <c r="D109" s="7"/>
      <c r="E109" s="25" t="str">
        <f t="shared" si="7"/>
        <v/>
      </c>
      <c r="F109" s="25" t="str">
        <f t="shared" si="8"/>
        <v/>
      </c>
      <c r="G109" s="47">
        <f t="shared" si="9"/>
        <v>0</v>
      </c>
      <c r="H109" s="52"/>
      <c r="I109" s="19"/>
      <c r="K109"/>
      <c r="L109"/>
      <c r="M109"/>
      <c r="N109"/>
      <c r="O109"/>
    </row>
    <row r="110" spans="1:15" x14ac:dyDescent="0.25">
      <c r="A110" s="17">
        <v>93</v>
      </c>
      <c r="B110" s="34" t="str">
        <f>IF(N(C110)=0,"",IF(ISNUMBER(MATCH(C110,C$26:C109,)),INDEX(B$26:B109,MATCH(C110,C$26:C109,)),MAX(B$26:B109)+1))</f>
        <v/>
      </c>
      <c r="C110" s="55"/>
      <c r="D110" s="7"/>
      <c r="E110" s="25" t="str">
        <f t="shared" si="7"/>
        <v/>
      </c>
      <c r="F110" s="25" t="str">
        <f t="shared" si="8"/>
        <v/>
      </c>
      <c r="G110" s="47">
        <f t="shared" si="9"/>
        <v>0</v>
      </c>
      <c r="H110" s="52"/>
      <c r="I110" s="19"/>
      <c r="K110"/>
      <c r="L110"/>
      <c r="M110"/>
      <c r="N110"/>
      <c r="O110"/>
    </row>
    <row r="111" spans="1:15" x14ac:dyDescent="0.25">
      <c r="A111" s="17">
        <v>94</v>
      </c>
      <c r="B111" s="34" t="str">
        <f>IF(N(C111)=0,"",IF(ISNUMBER(MATCH(C111,C$26:C110,)),INDEX(B$26:B110,MATCH(C111,C$26:C110,)),MAX(B$26:B110)+1))</f>
        <v/>
      </c>
      <c r="C111" s="55"/>
      <c r="D111" s="7"/>
      <c r="E111" s="25" t="str">
        <f t="shared" si="7"/>
        <v/>
      </c>
      <c r="F111" s="25" t="str">
        <f t="shared" si="8"/>
        <v/>
      </c>
      <c r="G111" s="47">
        <f t="shared" si="9"/>
        <v>0</v>
      </c>
      <c r="H111" s="52"/>
      <c r="I111" s="19"/>
      <c r="K111"/>
      <c r="L111"/>
      <c r="M111"/>
      <c r="N111"/>
      <c r="O111"/>
    </row>
    <row r="112" spans="1:15" x14ac:dyDescent="0.25">
      <c r="A112" s="17">
        <v>95</v>
      </c>
      <c r="B112" s="34" t="str">
        <f>IF(N(C112)=0,"",IF(ISNUMBER(MATCH(C112,C$26:C111,)),INDEX(B$26:B111,MATCH(C112,C$26:C111,)),MAX(B$26:B111)+1))</f>
        <v/>
      </c>
      <c r="C112" s="55"/>
      <c r="D112" s="7"/>
      <c r="E112" s="25" t="str">
        <f t="shared" si="7"/>
        <v/>
      </c>
      <c r="F112" s="25" t="str">
        <f t="shared" si="8"/>
        <v/>
      </c>
      <c r="G112" s="47">
        <f t="shared" si="9"/>
        <v>0</v>
      </c>
      <c r="H112" s="52"/>
      <c r="I112" s="19"/>
      <c r="K112"/>
      <c r="L112"/>
      <c r="M112"/>
      <c r="N112"/>
      <c r="O112"/>
    </row>
    <row r="113" spans="1:15" x14ac:dyDescent="0.25">
      <c r="A113" s="17">
        <v>96</v>
      </c>
      <c r="B113" s="34" t="str">
        <f>IF(N(C113)=0,"",IF(ISNUMBER(MATCH(C113,C$26:C112,)),INDEX(B$26:B112,MATCH(C113,C$26:C112,)),MAX(B$26:B112)+1))</f>
        <v/>
      </c>
      <c r="C113" s="55"/>
      <c r="D113" s="7"/>
      <c r="E113" s="25" t="str">
        <f t="shared" si="7"/>
        <v/>
      </c>
      <c r="F113" s="25" t="str">
        <f t="shared" si="8"/>
        <v/>
      </c>
      <c r="G113" s="47">
        <f t="shared" si="9"/>
        <v>0</v>
      </c>
      <c r="H113" s="52"/>
      <c r="I113" s="19"/>
      <c r="K113"/>
      <c r="L113"/>
      <c r="M113"/>
      <c r="N113"/>
      <c r="O113"/>
    </row>
    <row r="114" spans="1:15" x14ac:dyDescent="0.25">
      <c r="A114" s="17">
        <v>97</v>
      </c>
      <c r="B114" s="34" t="str">
        <f>IF(N(C114)=0,"",IF(ISNUMBER(MATCH(C114,C$26:C113,)),INDEX(B$26:B113,MATCH(C114,C$26:C113,)),MAX(B$26:B113)+1))</f>
        <v/>
      </c>
      <c r="C114" s="55"/>
      <c r="D114" s="7"/>
      <c r="E114" s="25" t="str">
        <f t="shared" si="7"/>
        <v/>
      </c>
      <c r="F114" s="25" t="str">
        <f t="shared" si="8"/>
        <v/>
      </c>
      <c r="G114" s="47">
        <f t="shared" si="9"/>
        <v>0</v>
      </c>
      <c r="H114" s="52"/>
      <c r="I114" s="19"/>
      <c r="K114"/>
      <c r="L114"/>
      <c r="M114"/>
      <c r="N114"/>
      <c r="O114"/>
    </row>
    <row r="115" spans="1:15" x14ac:dyDescent="0.25">
      <c r="A115" s="17">
        <v>98</v>
      </c>
      <c r="B115" s="35" t="str">
        <f>IF(N(C115)=0,"",IF(ISNUMBER(MATCH(C115,C$26:C114,)),INDEX(B$26:B114,MATCH(C115,C$26:C114,)),MAX(B$26:B114)+1))</f>
        <v/>
      </c>
      <c r="C115" s="56"/>
      <c r="D115" s="8"/>
      <c r="E115" s="26" t="str">
        <f t="shared" si="7"/>
        <v/>
      </c>
      <c r="F115" s="26" t="str">
        <f t="shared" si="8"/>
        <v/>
      </c>
      <c r="G115" s="47">
        <v>1</v>
      </c>
      <c r="H115" s="53"/>
      <c r="I115" s="20"/>
      <c r="K115"/>
      <c r="L115"/>
      <c r="M115"/>
      <c r="N115"/>
      <c r="O115"/>
    </row>
    <row r="116" spans="1:15" x14ac:dyDescent="0.25">
      <c r="K116"/>
      <c r="L116"/>
      <c r="M116"/>
      <c r="N116"/>
      <c r="O116"/>
    </row>
    <row r="117" spans="1:15" x14ac:dyDescent="0.25">
      <c r="K117"/>
      <c r="L117"/>
      <c r="M117"/>
      <c r="N117"/>
      <c r="O117"/>
    </row>
    <row r="118" spans="1:15" x14ac:dyDescent="0.25">
      <c r="K118"/>
      <c r="L118"/>
      <c r="M118"/>
      <c r="N118"/>
      <c r="O118"/>
    </row>
    <row r="119" spans="1:15" x14ac:dyDescent="0.25">
      <c r="K119"/>
      <c r="L119"/>
      <c r="M119"/>
      <c r="N119"/>
      <c r="O119"/>
    </row>
    <row r="120" spans="1:15" x14ac:dyDescent="0.25">
      <c r="K120"/>
      <c r="L120"/>
      <c r="M120"/>
      <c r="N120"/>
      <c r="O120"/>
    </row>
    <row r="121" spans="1:15" x14ac:dyDescent="0.25">
      <c r="K121"/>
      <c r="L121"/>
      <c r="M121"/>
      <c r="N121"/>
      <c r="O121"/>
    </row>
    <row r="122" spans="1:15" x14ac:dyDescent="0.25">
      <c r="K122"/>
      <c r="L122"/>
      <c r="M122"/>
      <c r="N122"/>
      <c r="O122"/>
    </row>
    <row r="123" spans="1:15" x14ac:dyDescent="0.25">
      <c r="K123"/>
      <c r="L123"/>
      <c r="M123"/>
      <c r="N123"/>
      <c r="O123"/>
    </row>
    <row r="124" spans="1:15" x14ac:dyDescent="0.25">
      <c r="K124"/>
      <c r="L124"/>
      <c r="M124"/>
      <c r="N124"/>
      <c r="O124"/>
    </row>
    <row r="125" spans="1:15" x14ac:dyDescent="0.25">
      <c r="K125"/>
      <c r="L125"/>
      <c r="M125"/>
      <c r="N125"/>
      <c r="O125"/>
    </row>
    <row r="126" spans="1:15" x14ac:dyDescent="0.25">
      <c r="K126"/>
      <c r="L126"/>
      <c r="M126"/>
      <c r="N126"/>
      <c r="O126"/>
    </row>
    <row r="127" spans="1:15" x14ac:dyDescent="0.25">
      <c r="K127"/>
      <c r="L127"/>
      <c r="M127"/>
      <c r="N127"/>
      <c r="O127"/>
    </row>
    <row r="128" spans="1:15" x14ac:dyDescent="0.25">
      <c r="K128"/>
      <c r="L128"/>
      <c r="M128"/>
      <c r="N128"/>
      <c r="O128"/>
    </row>
    <row r="129" spans="11:15" x14ac:dyDescent="0.25">
      <c r="K129"/>
      <c r="L129"/>
      <c r="M129"/>
      <c r="N129"/>
      <c r="O129"/>
    </row>
    <row r="130" spans="11:15" x14ac:dyDescent="0.25">
      <c r="K130"/>
      <c r="L130"/>
      <c r="M130"/>
      <c r="N130"/>
      <c r="O130"/>
    </row>
    <row r="131" spans="11:15" x14ac:dyDescent="0.25">
      <c r="K131"/>
      <c r="L131"/>
      <c r="M131"/>
      <c r="N131"/>
      <c r="O131"/>
    </row>
    <row r="132" spans="11:15" x14ac:dyDescent="0.25">
      <c r="K132"/>
      <c r="L132"/>
      <c r="M132"/>
      <c r="N132"/>
      <c r="O132"/>
    </row>
    <row r="133" spans="11:15" x14ac:dyDescent="0.25">
      <c r="K133"/>
      <c r="L133"/>
      <c r="M133"/>
      <c r="N133"/>
      <c r="O133"/>
    </row>
    <row r="134" spans="11:15" x14ac:dyDescent="0.25">
      <c r="K134"/>
      <c r="L134"/>
      <c r="M134"/>
      <c r="N134"/>
      <c r="O134"/>
    </row>
    <row r="135" spans="11:15" x14ac:dyDescent="0.25">
      <c r="K135"/>
      <c r="L135"/>
      <c r="M135"/>
      <c r="N135"/>
      <c r="O135"/>
    </row>
    <row r="136" spans="11:15" x14ac:dyDescent="0.25">
      <c r="K136"/>
      <c r="L136"/>
      <c r="M136"/>
      <c r="N136"/>
      <c r="O136"/>
    </row>
    <row r="137" spans="11:15" x14ac:dyDescent="0.25">
      <c r="K137"/>
      <c r="L137"/>
      <c r="M137"/>
      <c r="N137"/>
      <c r="O137"/>
    </row>
    <row r="138" spans="11:15" x14ac:dyDescent="0.25">
      <c r="K138"/>
      <c r="L138"/>
      <c r="M138"/>
      <c r="N138"/>
      <c r="O138"/>
    </row>
    <row r="139" spans="11:15" x14ac:dyDescent="0.25">
      <c r="K139"/>
      <c r="L139"/>
      <c r="M139"/>
      <c r="N139"/>
      <c r="O139"/>
    </row>
    <row r="140" spans="11:15" x14ac:dyDescent="0.25">
      <c r="K140"/>
      <c r="L140"/>
      <c r="M140"/>
      <c r="N140"/>
      <c r="O140"/>
    </row>
    <row r="141" spans="11:15" x14ac:dyDescent="0.25">
      <c r="K141"/>
      <c r="L141"/>
      <c r="M141"/>
      <c r="N141"/>
      <c r="O141"/>
    </row>
    <row r="142" spans="11:15" x14ac:dyDescent="0.25">
      <c r="K142"/>
      <c r="L142"/>
      <c r="M142"/>
      <c r="N142"/>
      <c r="O142"/>
    </row>
    <row r="143" spans="11:15" x14ac:dyDescent="0.25">
      <c r="K143"/>
      <c r="L143"/>
      <c r="M143"/>
      <c r="N143"/>
      <c r="O143"/>
    </row>
    <row r="144" spans="11:15" x14ac:dyDescent="0.25">
      <c r="K144"/>
      <c r="L144"/>
      <c r="M144"/>
      <c r="N144"/>
      <c r="O144"/>
    </row>
    <row r="145" spans="11:15" x14ac:dyDescent="0.25">
      <c r="K145"/>
      <c r="L145"/>
      <c r="M145"/>
      <c r="N145"/>
      <c r="O145"/>
    </row>
    <row r="146" spans="11:15" x14ac:dyDescent="0.25">
      <c r="K146"/>
      <c r="L146"/>
      <c r="M146"/>
      <c r="N146"/>
      <c r="O146"/>
    </row>
    <row r="147" spans="11:15" x14ac:dyDescent="0.25">
      <c r="K147"/>
      <c r="L147"/>
      <c r="M147"/>
      <c r="N147"/>
      <c r="O147"/>
    </row>
    <row r="148" spans="11:15" x14ac:dyDescent="0.25">
      <c r="K148"/>
      <c r="L148"/>
      <c r="M148"/>
      <c r="N148"/>
      <c r="O148"/>
    </row>
    <row r="149" spans="11:15" x14ac:dyDescent="0.25">
      <c r="K149"/>
      <c r="L149"/>
      <c r="M149"/>
      <c r="N149"/>
      <c r="O149"/>
    </row>
    <row r="150" spans="11:15" x14ac:dyDescent="0.25">
      <c r="K150"/>
      <c r="L150"/>
      <c r="M150"/>
      <c r="N150"/>
      <c r="O150"/>
    </row>
    <row r="151" spans="11:15" x14ac:dyDescent="0.25">
      <c r="K151"/>
      <c r="L151"/>
      <c r="M151"/>
      <c r="N151"/>
      <c r="O151"/>
    </row>
    <row r="152" spans="11:15" x14ac:dyDescent="0.25">
      <c r="K152"/>
      <c r="L152"/>
      <c r="M152"/>
      <c r="N152"/>
      <c r="O152"/>
    </row>
    <row r="153" spans="11:15" x14ac:dyDescent="0.25">
      <c r="K153"/>
      <c r="L153"/>
      <c r="M153"/>
      <c r="N153"/>
      <c r="O153"/>
    </row>
    <row r="154" spans="11:15" x14ac:dyDescent="0.25">
      <c r="K154"/>
      <c r="L154"/>
      <c r="M154"/>
      <c r="N154"/>
      <c r="O154"/>
    </row>
    <row r="155" spans="11:15" x14ac:dyDescent="0.25">
      <c r="K155"/>
      <c r="L155"/>
      <c r="M155"/>
      <c r="N155"/>
      <c r="O155"/>
    </row>
    <row r="156" spans="11:15" x14ac:dyDescent="0.25">
      <c r="K156"/>
      <c r="L156"/>
      <c r="M156"/>
      <c r="N156"/>
      <c r="O156"/>
    </row>
    <row r="157" spans="11:15" x14ac:dyDescent="0.25">
      <c r="K157"/>
      <c r="L157"/>
      <c r="M157"/>
      <c r="N157"/>
      <c r="O157"/>
    </row>
    <row r="158" spans="11:15" x14ac:dyDescent="0.25">
      <c r="K158"/>
      <c r="L158"/>
      <c r="M158"/>
      <c r="N158"/>
      <c r="O158"/>
    </row>
    <row r="159" spans="11:15" x14ac:dyDescent="0.25">
      <c r="K159"/>
      <c r="L159"/>
      <c r="M159"/>
      <c r="N159"/>
      <c r="O159"/>
    </row>
    <row r="160" spans="11:15" x14ac:dyDescent="0.25">
      <c r="K160"/>
      <c r="L160"/>
      <c r="M160"/>
      <c r="N160"/>
      <c r="O160"/>
    </row>
    <row r="161" spans="11:15" x14ac:dyDescent="0.25">
      <c r="K161"/>
      <c r="L161"/>
      <c r="M161"/>
      <c r="N161"/>
      <c r="O161"/>
    </row>
    <row r="162" spans="11:15" x14ac:dyDescent="0.25">
      <c r="K162"/>
      <c r="L162"/>
      <c r="M162"/>
      <c r="N162"/>
      <c r="O162"/>
    </row>
    <row r="163" spans="11:15" x14ac:dyDescent="0.25">
      <c r="K163"/>
      <c r="L163"/>
      <c r="M163"/>
      <c r="N163"/>
      <c r="O163"/>
    </row>
    <row r="164" spans="11:15" x14ac:dyDescent="0.25">
      <c r="K164"/>
      <c r="L164"/>
      <c r="M164"/>
      <c r="N164"/>
      <c r="O164"/>
    </row>
    <row r="165" spans="11:15" x14ac:dyDescent="0.25">
      <c r="K165"/>
      <c r="L165"/>
      <c r="M165"/>
      <c r="N165"/>
      <c r="O165"/>
    </row>
    <row r="166" spans="11:15" x14ac:dyDescent="0.25">
      <c r="K166"/>
      <c r="L166"/>
      <c r="M166"/>
      <c r="N166"/>
      <c r="O166"/>
    </row>
    <row r="167" spans="11:15" x14ac:dyDescent="0.25">
      <c r="K167"/>
      <c r="L167"/>
      <c r="M167"/>
      <c r="N167"/>
      <c r="O167"/>
    </row>
    <row r="168" spans="11:15" x14ac:dyDescent="0.25">
      <c r="K168"/>
      <c r="L168"/>
      <c r="M168"/>
      <c r="N168"/>
      <c r="O168"/>
    </row>
    <row r="169" spans="11:15" x14ac:dyDescent="0.25">
      <c r="K169"/>
      <c r="L169"/>
      <c r="M169"/>
      <c r="N169"/>
      <c r="O169"/>
    </row>
    <row r="170" spans="11:15" x14ac:dyDescent="0.25">
      <c r="K170"/>
      <c r="L170"/>
      <c r="M170"/>
      <c r="N170"/>
      <c r="O170"/>
    </row>
    <row r="171" spans="11:15" x14ac:dyDescent="0.25">
      <c r="K171"/>
      <c r="L171"/>
      <c r="M171"/>
      <c r="N171"/>
      <c r="O171"/>
    </row>
    <row r="172" spans="11:15" x14ac:dyDescent="0.25">
      <c r="K172"/>
      <c r="L172"/>
      <c r="M172"/>
      <c r="N172"/>
      <c r="O172"/>
    </row>
    <row r="173" spans="11:15" x14ac:dyDescent="0.25">
      <c r="K173"/>
      <c r="L173"/>
      <c r="M173"/>
      <c r="N173"/>
      <c r="O173"/>
    </row>
    <row r="174" spans="11:15" x14ac:dyDescent="0.25">
      <c r="K174"/>
      <c r="L174"/>
      <c r="M174"/>
      <c r="N174"/>
      <c r="O174"/>
    </row>
    <row r="175" spans="11:15" x14ac:dyDescent="0.25">
      <c r="K175"/>
      <c r="L175"/>
      <c r="M175"/>
      <c r="N175"/>
      <c r="O175"/>
    </row>
    <row r="176" spans="11:15" x14ac:dyDescent="0.25">
      <c r="K176"/>
      <c r="L176"/>
      <c r="M176"/>
      <c r="N176"/>
      <c r="O176"/>
    </row>
    <row r="177" spans="11:15" x14ac:dyDescent="0.25">
      <c r="K177"/>
      <c r="L177"/>
      <c r="M177"/>
      <c r="N177"/>
      <c r="O177"/>
    </row>
    <row r="178" spans="11:15" x14ac:dyDescent="0.25">
      <c r="K178"/>
      <c r="L178"/>
      <c r="M178"/>
      <c r="N178"/>
      <c r="O178"/>
    </row>
    <row r="179" spans="11:15" x14ac:dyDescent="0.25">
      <c r="K179"/>
      <c r="L179"/>
      <c r="M179"/>
      <c r="N179"/>
      <c r="O179"/>
    </row>
    <row r="180" spans="11:15" x14ac:dyDescent="0.25">
      <c r="K180"/>
      <c r="L180"/>
      <c r="M180"/>
      <c r="N180"/>
      <c r="O180"/>
    </row>
    <row r="181" spans="11:15" x14ac:dyDescent="0.25">
      <c r="K181"/>
      <c r="L181"/>
      <c r="M181"/>
      <c r="N181"/>
      <c r="O181"/>
    </row>
    <row r="182" spans="11:15" x14ac:dyDescent="0.25">
      <c r="K182"/>
      <c r="L182"/>
      <c r="M182"/>
      <c r="N182"/>
      <c r="O182"/>
    </row>
    <row r="183" spans="11:15" x14ac:dyDescent="0.25">
      <c r="K183"/>
      <c r="L183"/>
      <c r="M183"/>
      <c r="N183"/>
      <c r="O183"/>
    </row>
    <row r="184" spans="11:15" x14ac:dyDescent="0.25">
      <c r="K184"/>
      <c r="L184"/>
      <c r="M184"/>
      <c r="N184"/>
      <c r="O184"/>
    </row>
    <row r="185" spans="11:15" x14ac:dyDescent="0.25">
      <c r="K185"/>
      <c r="L185"/>
      <c r="M185"/>
      <c r="N185"/>
      <c r="O185"/>
    </row>
    <row r="186" spans="11:15" x14ac:dyDescent="0.25">
      <c r="K186"/>
      <c r="L186"/>
      <c r="M186"/>
      <c r="N186"/>
      <c r="O186"/>
    </row>
    <row r="187" spans="11:15" x14ac:dyDescent="0.25">
      <c r="K187"/>
      <c r="L187"/>
      <c r="M187"/>
      <c r="N187"/>
      <c r="O187"/>
    </row>
    <row r="188" spans="11:15" x14ac:dyDescent="0.25">
      <c r="K188"/>
      <c r="L188"/>
      <c r="M188"/>
      <c r="N188"/>
      <c r="O188"/>
    </row>
    <row r="189" spans="11:15" x14ac:dyDescent="0.25">
      <c r="K189"/>
      <c r="L189"/>
      <c r="M189"/>
      <c r="N189"/>
      <c r="O189"/>
    </row>
    <row r="190" spans="11:15" x14ac:dyDescent="0.25">
      <c r="K190"/>
      <c r="L190"/>
      <c r="M190"/>
      <c r="N190"/>
      <c r="O190"/>
    </row>
    <row r="191" spans="11:15" x14ac:dyDescent="0.25">
      <c r="K191"/>
      <c r="L191"/>
      <c r="M191"/>
      <c r="N191"/>
      <c r="O191"/>
    </row>
    <row r="192" spans="11:15" x14ac:dyDescent="0.25">
      <c r="K192"/>
      <c r="L192"/>
      <c r="M192"/>
      <c r="N192"/>
      <c r="O192"/>
    </row>
    <row r="193" spans="11:15" x14ac:dyDescent="0.25">
      <c r="K193"/>
      <c r="L193"/>
      <c r="M193"/>
      <c r="N193"/>
      <c r="O193"/>
    </row>
    <row r="194" spans="11:15" x14ac:dyDescent="0.25">
      <c r="K194"/>
      <c r="L194"/>
      <c r="M194"/>
      <c r="N194"/>
      <c r="O194"/>
    </row>
    <row r="195" spans="11:15" x14ac:dyDescent="0.25">
      <c r="K195"/>
      <c r="L195"/>
      <c r="M195"/>
      <c r="N195"/>
      <c r="O195"/>
    </row>
    <row r="196" spans="11:15" x14ac:dyDescent="0.25">
      <c r="K196"/>
      <c r="L196"/>
      <c r="M196"/>
      <c r="N196"/>
      <c r="O196"/>
    </row>
    <row r="197" spans="11:15" x14ac:dyDescent="0.25">
      <c r="K197"/>
      <c r="L197"/>
      <c r="M197"/>
      <c r="N197"/>
      <c r="O197"/>
    </row>
    <row r="198" spans="11:15" x14ac:dyDescent="0.25">
      <c r="K198"/>
      <c r="L198"/>
      <c r="M198"/>
      <c r="N198"/>
      <c r="O198"/>
    </row>
    <row r="199" spans="11:15" x14ac:dyDescent="0.25">
      <c r="K199"/>
      <c r="L199"/>
      <c r="M199"/>
      <c r="N199"/>
      <c r="O199"/>
    </row>
    <row r="200" spans="11:15" x14ac:dyDescent="0.25">
      <c r="K200"/>
      <c r="L200"/>
      <c r="M200"/>
      <c r="N200"/>
      <c r="O200"/>
    </row>
    <row r="201" spans="11:15" x14ac:dyDescent="0.25">
      <c r="K201"/>
      <c r="L201"/>
      <c r="M201"/>
      <c r="N201"/>
      <c r="O201"/>
    </row>
    <row r="202" spans="11:15" x14ac:dyDescent="0.25">
      <c r="K202"/>
      <c r="L202"/>
      <c r="M202"/>
      <c r="N202"/>
      <c r="O202"/>
    </row>
    <row r="203" spans="11:15" x14ac:dyDescent="0.25">
      <c r="K203"/>
      <c r="L203"/>
      <c r="M203"/>
      <c r="N203"/>
      <c r="O203"/>
    </row>
    <row r="204" spans="11:15" x14ac:dyDescent="0.25">
      <c r="K204"/>
      <c r="L204"/>
      <c r="M204"/>
      <c r="N204"/>
      <c r="O204"/>
    </row>
    <row r="205" spans="11:15" x14ac:dyDescent="0.25">
      <c r="K205"/>
      <c r="L205"/>
      <c r="M205"/>
      <c r="N205"/>
      <c r="O205"/>
    </row>
    <row r="206" spans="11:15" x14ac:dyDescent="0.25">
      <c r="K206"/>
      <c r="L206"/>
      <c r="M206"/>
      <c r="N206"/>
      <c r="O206"/>
    </row>
    <row r="207" spans="11:15" x14ac:dyDescent="0.25">
      <c r="K207"/>
      <c r="L207"/>
      <c r="M207"/>
      <c r="N207"/>
      <c r="O207"/>
    </row>
    <row r="208" spans="11:15" x14ac:dyDescent="0.25">
      <c r="K208"/>
      <c r="L208"/>
      <c r="M208"/>
      <c r="N208"/>
      <c r="O208"/>
    </row>
    <row r="209" spans="11:15" x14ac:dyDescent="0.25">
      <c r="K209"/>
      <c r="L209"/>
      <c r="M209"/>
      <c r="N209"/>
      <c r="O209"/>
    </row>
    <row r="210" spans="11:15" x14ac:dyDescent="0.25">
      <c r="K210"/>
      <c r="L210"/>
      <c r="M210"/>
      <c r="N210"/>
      <c r="O210"/>
    </row>
    <row r="211" spans="11:15" x14ac:dyDescent="0.25">
      <c r="K211"/>
      <c r="L211"/>
      <c r="M211"/>
      <c r="N211"/>
      <c r="O211"/>
    </row>
    <row r="212" spans="11:15" x14ac:dyDescent="0.25">
      <c r="K212"/>
      <c r="L212"/>
      <c r="M212"/>
      <c r="N212"/>
      <c r="O212"/>
    </row>
    <row r="213" spans="11:15" x14ac:dyDescent="0.25">
      <c r="K213"/>
      <c r="L213"/>
      <c r="M213"/>
      <c r="N213"/>
      <c r="O213"/>
    </row>
    <row r="214" spans="11:15" x14ac:dyDescent="0.25">
      <c r="K214"/>
      <c r="L214"/>
      <c r="M214"/>
      <c r="N214"/>
      <c r="O214"/>
    </row>
    <row r="215" spans="11:15" x14ac:dyDescent="0.25">
      <c r="K215"/>
      <c r="L215"/>
      <c r="M215"/>
      <c r="N215"/>
      <c r="O215"/>
    </row>
    <row r="216" spans="11:15" x14ac:dyDescent="0.25">
      <c r="K216"/>
      <c r="L216"/>
      <c r="M216"/>
      <c r="N216"/>
      <c r="O216"/>
    </row>
    <row r="217" spans="11:15" x14ac:dyDescent="0.25">
      <c r="K217"/>
      <c r="L217"/>
      <c r="M217"/>
      <c r="N217"/>
      <c r="O217"/>
    </row>
    <row r="218" spans="11:15" x14ac:dyDescent="0.25">
      <c r="K218"/>
      <c r="L218"/>
      <c r="M218"/>
      <c r="N218"/>
      <c r="O218"/>
    </row>
    <row r="219" spans="11:15" x14ac:dyDescent="0.25">
      <c r="K219"/>
      <c r="L219"/>
      <c r="M219"/>
      <c r="N219"/>
      <c r="O219"/>
    </row>
    <row r="220" spans="11:15" x14ac:dyDescent="0.25">
      <c r="K220"/>
      <c r="L220"/>
      <c r="M220"/>
      <c r="N220"/>
      <c r="O220"/>
    </row>
    <row r="221" spans="11:15" x14ac:dyDescent="0.25">
      <c r="K221"/>
      <c r="L221"/>
      <c r="M221"/>
      <c r="N221"/>
      <c r="O221"/>
    </row>
    <row r="222" spans="11:15" x14ac:dyDescent="0.25">
      <c r="K222"/>
      <c r="L222"/>
      <c r="M222"/>
      <c r="N222"/>
      <c r="O222"/>
    </row>
    <row r="223" spans="11:15" x14ac:dyDescent="0.25">
      <c r="K223"/>
      <c r="L223"/>
      <c r="M223"/>
      <c r="N223"/>
      <c r="O223"/>
    </row>
    <row r="224" spans="11:15" x14ac:dyDescent="0.25">
      <c r="K224"/>
      <c r="L224"/>
      <c r="M224"/>
      <c r="N224"/>
      <c r="O224"/>
    </row>
    <row r="225" spans="11:15" x14ac:dyDescent="0.25">
      <c r="K225"/>
      <c r="L225"/>
      <c r="M225"/>
      <c r="N225"/>
      <c r="O225"/>
    </row>
    <row r="226" spans="11:15" x14ac:dyDescent="0.25">
      <c r="K226"/>
      <c r="L226"/>
      <c r="M226"/>
      <c r="N226"/>
      <c r="O226"/>
    </row>
    <row r="227" spans="11:15" x14ac:dyDescent="0.25">
      <c r="K227"/>
      <c r="L227"/>
      <c r="M227"/>
      <c r="N227"/>
      <c r="O227"/>
    </row>
    <row r="228" spans="11:15" x14ac:dyDescent="0.25">
      <c r="K228"/>
      <c r="L228"/>
      <c r="M228"/>
      <c r="N228"/>
      <c r="O228"/>
    </row>
    <row r="229" spans="11:15" x14ac:dyDescent="0.25">
      <c r="K229"/>
      <c r="L229"/>
      <c r="M229"/>
      <c r="N229"/>
      <c r="O229"/>
    </row>
    <row r="230" spans="11:15" x14ac:dyDescent="0.25">
      <c r="K230"/>
      <c r="L230"/>
      <c r="M230"/>
      <c r="N230"/>
      <c r="O230"/>
    </row>
    <row r="231" spans="11:15" x14ac:dyDescent="0.25">
      <c r="K231"/>
      <c r="L231"/>
      <c r="M231"/>
      <c r="N231"/>
      <c r="O231"/>
    </row>
    <row r="232" spans="11:15" x14ac:dyDescent="0.25">
      <c r="K232"/>
      <c r="L232"/>
      <c r="M232"/>
      <c r="N232"/>
      <c r="O232"/>
    </row>
    <row r="233" spans="11:15" x14ac:dyDescent="0.25">
      <c r="K233"/>
      <c r="L233"/>
      <c r="M233"/>
      <c r="N233"/>
      <c r="O233"/>
    </row>
    <row r="234" spans="11:15" x14ac:dyDescent="0.25">
      <c r="K234"/>
      <c r="L234"/>
      <c r="M234"/>
      <c r="N234"/>
      <c r="O234"/>
    </row>
    <row r="235" spans="11:15" x14ac:dyDescent="0.25">
      <c r="K235"/>
      <c r="L235"/>
      <c r="M235"/>
      <c r="N235"/>
      <c r="O235"/>
    </row>
    <row r="236" spans="11:15" x14ac:dyDescent="0.25">
      <c r="K236"/>
      <c r="L236"/>
      <c r="M236"/>
      <c r="N236"/>
      <c r="O236"/>
    </row>
    <row r="237" spans="11:15" x14ac:dyDescent="0.25">
      <c r="K237"/>
      <c r="L237"/>
      <c r="M237"/>
      <c r="N237"/>
      <c r="O237"/>
    </row>
    <row r="238" spans="11:15" x14ac:dyDescent="0.25">
      <c r="K238"/>
      <c r="L238"/>
      <c r="M238"/>
      <c r="N238"/>
      <c r="O238"/>
    </row>
    <row r="239" spans="11:15" x14ac:dyDescent="0.25">
      <c r="K239"/>
      <c r="L239"/>
      <c r="M239"/>
      <c r="N239"/>
      <c r="O239"/>
    </row>
    <row r="240" spans="11:15" x14ac:dyDescent="0.25">
      <c r="K240"/>
      <c r="L240"/>
      <c r="M240"/>
      <c r="N240"/>
      <c r="O240"/>
    </row>
    <row r="241" spans="11:15" x14ac:dyDescent="0.25">
      <c r="K241"/>
      <c r="L241"/>
      <c r="M241"/>
      <c r="N241"/>
      <c r="O241"/>
    </row>
    <row r="242" spans="11:15" x14ac:dyDescent="0.25">
      <c r="K242"/>
      <c r="L242"/>
      <c r="M242"/>
      <c r="N242"/>
      <c r="O242"/>
    </row>
    <row r="243" spans="11:15" x14ac:dyDescent="0.25">
      <c r="K243"/>
      <c r="L243"/>
      <c r="M243"/>
      <c r="N243"/>
      <c r="O243"/>
    </row>
    <row r="244" spans="11:15" x14ac:dyDescent="0.25">
      <c r="K244"/>
      <c r="L244"/>
      <c r="M244"/>
      <c r="N244"/>
      <c r="O244"/>
    </row>
    <row r="245" spans="11:15" x14ac:dyDescent="0.25">
      <c r="K245"/>
      <c r="L245"/>
      <c r="M245"/>
      <c r="N245"/>
      <c r="O245"/>
    </row>
    <row r="246" spans="11:15" x14ac:dyDescent="0.25">
      <c r="K246"/>
      <c r="L246"/>
      <c r="M246"/>
      <c r="N246"/>
      <c r="O246"/>
    </row>
    <row r="247" spans="11:15" x14ac:dyDescent="0.25">
      <c r="K247"/>
      <c r="L247"/>
      <c r="M247"/>
      <c r="N247"/>
      <c r="O247"/>
    </row>
    <row r="248" spans="11:15" x14ac:dyDescent="0.25">
      <c r="K248"/>
      <c r="L248"/>
      <c r="M248"/>
      <c r="N248"/>
      <c r="O248"/>
    </row>
    <row r="249" spans="11:15" x14ac:dyDescent="0.25">
      <c r="K249"/>
      <c r="L249"/>
      <c r="M249"/>
      <c r="N249"/>
      <c r="O249"/>
    </row>
    <row r="250" spans="11:15" x14ac:dyDescent="0.25">
      <c r="K250"/>
      <c r="L250"/>
      <c r="M250"/>
      <c r="N250"/>
      <c r="O250"/>
    </row>
    <row r="251" spans="11:15" x14ac:dyDescent="0.25">
      <c r="K251"/>
      <c r="L251"/>
      <c r="M251"/>
      <c r="N251"/>
      <c r="O251"/>
    </row>
    <row r="252" spans="11:15" x14ac:dyDescent="0.25">
      <c r="K252"/>
      <c r="L252"/>
      <c r="M252"/>
      <c r="N252"/>
      <c r="O252"/>
    </row>
    <row r="253" spans="11:15" x14ac:dyDescent="0.25">
      <c r="K253"/>
      <c r="L253"/>
      <c r="M253"/>
      <c r="N253"/>
      <c r="O253"/>
    </row>
    <row r="254" spans="11:15" x14ac:dyDescent="0.25">
      <c r="K254"/>
      <c r="L254"/>
      <c r="M254"/>
      <c r="N254"/>
      <c r="O254"/>
    </row>
    <row r="255" spans="11:15" x14ac:dyDescent="0.25">
      <c r="K255"/>
      <c r="L255"/>
      <c r="M255"/>
      <c r="N255"/>
      <c r="O255"/>
    </row>
    <row r="256" spans="11:15" x14ac:dyDescent="0.25">
      <c r="K256"/>
      <c r="L256"/>
      <c r="M256"/>
      <c r="N256"/>
      <c r="O256"/>
    </row>
    <row r="257" spans="11:15" x14ac:dyDescent="0.25">
      <c r="K257"/>
      <c r="L257"/>
      <c r="M257"/>
      <c r="N257"/>
      <c r="O257"/>
    </row>
    <row r="258" spans="11:15" x14ac:dyDescent="0.25">
      <c r="K258"/>
      <c r="L258"/>
      <c r="M258"/>
      <c r="N258"/>
      <c r="O258"/>
    </row>
    <row r="259" spans="11:15" x14ac:dyDescent="0.25">
      <c r="K259"/>
      <c r="L259"/>
      <c r="M259"/>
      <c r="N259"/>
      <c r="O259"/>
    </row>
    <row r="260" spans="11:15" x14ac:dyDescent="0.25">
      <c r="K260"/>
      <c r="L260"/>
      <c r="M260"/>
      <c r="N260"/>
      <c r="O260"/>
    </row>
    <row r="261" spans="11:15" x14ac:dyDescent="0.25">
      <c r="K261"/>
      <c r="L261"/>
      <c r="M261"/>
      <c r="N261"/>
      <c r="O261"/>
    </row>
    <row r="262" spans="11:15" x14ac:dyDescent="0.25">
      <c r="K262"/>
      <c r="L262"/>
      <c r="M262"/>
      <c r="N262"/>
      <c r="O262"/>
    </row>
    <row r="263" spans="11:15" x14ac:dyDescent="0.25">
      <c r="K263"/>
      <c r="L263"/>
      <c r="M263"/>
      <c r="N263"/>
      <c r="O263"/>
    </row>
    <row r="264" spans="11:15" x14ac:dyDescent="0.25">
      <c r="K264"/>
      <c r="L264"/>
      <c r="M264"/>
      <c r="N264"/>
      <c r="O264"/>
    </row>
    <row r="265" spans="11:15" x14ac:dyDescent="0.25">
      <c r="K265"/>
      <c r="L265"/>
      <c r="M265"/>
      <c r="N265"/>
      <c r="O265"/>
    </row>
    <row r="266" spans="11:15" x14ac:dyDescent="0.25">
      <c r="K266"/>
      <c r="L266"/>
      <c r="M266"/>
      <c r="N266"/>
      <c r="O266"/>
    </row>
    <row r="267" spans="11:15" x14ac:dyDescent="0.25">
      <c r="K267"/>
      <c r="L267"/>
      <c r="M267"/>
      <c r="N267"/>
      <c r="O267"/>
    </row>
    <row r="268" spans="11:15" x14ac:dyDescent="0.25">
      <c r="K268"/>
      <c r="L268"/>
      <c r="M268"/>
      <c r="N268"/>
      <c r="O268"/>
    </row>
    <row r="269" spans="11:15" x14ac:dyDescent="0.25">
      <c r="K269"/>
      <c r="L269"/>
      <c r="M269"/>
      <c r="N269"/>
      <c r="O269"/>
    </row>
    <row r="270" spans="11:15" x14ac:dyDescent="0.25">
      <c r="K270"/>
      <c r="L270"/>
      <c r="M270"/>
      <c r="N270"/>
      <c r="O270"/>
    </row>
    <row r="271" spans="11:15" x14ac:dyDescent="0.25">
      <c r="K271"/>
      <c r="L271"/>
      <c r="M271"/>
      <c r="N271"/>
      <c r="O271"/>
    </row>
    <row r="272" spans="11:15" x14ac:dyDescent="0.25">
      <c r="K272"/>
      <c r="L272"/>
      <c r="M272"/>
      <c r="N272"/>
      <c r="O272"/>
    </row>
    <row r="273" spans="11:15" x14ac:dyDescent="0.25">
      <c r="K273"/>
      <c r="L273"/>
      <c r="M273"/>
      <c r="N273"/>
      <c r="O273"/>
    </row>
    <row r="274" spans="11:15" x14ac:dyDescent="0.25">
      <c r="K274"/>
      <c r="L274"/>
      <c r="M274"/>
      <c r="N274"/>
      <c r="O274"/>
    </row>
    <row r="275" spans="11:15" x14ac:dyDescent="0.25">
      <c r="K275"/>
      <c r="L275"/>
      <c r="M275"/>
      <c r="N275"/>
      <c r="O275"/>
    </row>
    <row r="276" spans="11:15" x14ac:dyDescent="0.25">
      <c r="K276"/>
      <c r="L276"/>
      <c r="M276"/>
      <c r="N276"/>
      <c r="O276"/>
    </row>
    <row r="277" spans="11:15" x14ac:dyDescent="0.25">
      <c r="K277"/>
      <c r="L277"/>
      <c r="M277"/>
      <c r="N277"/>
      <c r="O277"/>
    </row>
    <row r="278" spans="11:15" x14ac:dyDescent="0.25">
      <c r="K278"/>
      <c r="L278"/>
      <c r="M278"/>
      <c r="N278"/>
      <c r="O278"/>
    </row>
    <row r="279" spans="11:15" x14ac:dyDescent="0.25">
      <c r="K279"/>
      <c r="L279"/>
      <c r="M279"/>
      <c r="N279"/>
      <c r="O279"/>
    </row>
    <row r="280" spans="11:15" x14ac:dyDescent="0.25">
      <c r="K280"/>
      <c r="L280"/>
      <c r="M280"/>
      <c r="N280"/>
      <c r="O280"/>
    </row>
    <row r="281" spans="11:15" x14ac:dyDescent="0.25">
      <c r="K281"/>
      <c r="L281"/>
      <c r="M281"/>
      <c r="N281"/>
      <c r="O281"/>
    </row>
    <row r="282" spans="11:15" x14ac:dyDescent="0.25">
      <c r="K282"/>
      <c r="L282"/>
      <c r="M282"/>
      <c r="N282"/>
      <c r="O282"/>
    </row>
    <row r="283" spans="11:15" x14ac:dyDescent="0.25">
      <c r="K283"/>
      <c r="L283"/>
      <c r="M283"/>
      <c r="N283"/>
      <c r="O283"/>
    </row>
    <row r="284" spans="11:15" x14ac:dyDescent="0.25">
      <c r="K284"/>
      <c r="L284"/>
      <c r="M284"/>
      <c r="N284"/>
      <c r="O284"/>
    </row>
    <row r="285" spans="11:15" x14ac:dyDescent="0.25">
      <c r="K285"/>
      <c r="L285"/>
      <c r="M285"/>
      <c r="N285"/>
      <c r="O285"/>
    </row>
    <row r="286" spans="11:15" x14ac:dyDescent="0.25">
      <c r="K286"/>
      <c r="L286"/>
      <c r="M286"/>
      <c r="N286"/>
      <c r="O286"/>
    </row>
    <row r="287" spans="11:15" x14ac:dyDescent="0.25">
      <c r="K287"/>
      <c r="L287"/>
      <c r="M287"/>
      <c r="N287"/>
      <c r="O287"/>
    </row>
    <row r="288" spans="11:15" x14ac:dyDescent="0.25">
      <c r="K288"/>
      <c r="L288"/>
      <c r="M288"/>
      <c r="N288"/>
      <c r="O288"/>
    </row>
    <row r="289" spans="11:15" x14ac:dyDescent="0.25">
      <c r="K289"/>
      <c r="L289"/>
      <c r="M289"/>
      <c r="N289"/>
      <c r="O289"/>
    </row>
    <row r="290" spans="11:15" x14ac:dyDescent="0.25">
      <c r="K290"/>
      <c r="L290"/>
      <c r="M290"/>
      <c r="N290"/>
      <c r="O290"/>
    </row>
    <row r="291" spans="11:15" x14ac:dyDescent="0.25">
      <c r="K291"/>
      <c r="L291"/>
      <c r="M291"/>
      <c r="N291"/>
      <c r="O291"/>
    </row>
    <row r="292" spans="11:15" x14ac:dyDescent="0.25">
      <c r="K292"/>
      <c r="L292"/>
      <c r="M292"/>
      <c r="N292"/>
      <c r="O292"/>
    </row>
    <row r="293" spans="11:15" x14ac:dyDescent="0.25">
      <c r="K293"/>
      <c r="L293"/>
      <c r="M293"/>
      <c r="N293"/>
      <c r="O293"/>
    </row>
    <row r="294" spans="11:15" x14ac:dyDescent="0.25">
      <c r="K294"/>
      <c r="L294"/>
      <c r="M294"/>
      <c r="N294"/>
      <c r="O294"/>
    </row>
    <row r="295" spans="11:15" x14ac:dyDescent="0.25">
      <c r="K295"/>
      <c r="L295"/>
      <c r="M295"/>
      <c r="N295"/>
      <c r="O295"/>
    </row>
    <row r="296" spans="11:15" x14ac:dyDescent="0.25">
      <c r="K296"/>
      <c r="L296"/>
      <c r="M296"/>
      <c r="N296"/>
      <c r="O296"/>
    </row>
    <row r="297" spans="11:15" x14ac:dyDescent="0.25">
      <c r="K297"/>
      <c r="L297"/>
      <c r="M297"/>
      <c r="N297"/>
      <c r="O297"/>
    </row>
    <row r="298" spans="11:15" x14ac:dyDescent="0.25">
      <c r="K298"/>
      <c r="L298"/>
      <c r="M298"/>
      <c r="N298"/>
      <c r="O298"/>
    </row>
    <row r="299" spans="11:15" x14ac:dyDescent="0.25">
      <c r="K299"/>
      <c r="L299"/>
      <c r="M299"/>
      <c r="N299"/>
      <c r="O299"/>
    </row>
    <row r="300" spans="11:15" x14ac:dyDescent="0.25">
      <c r="K300"/>
      <c r="L300"/>
      <c r="M300"/>
      <c r="N300"/>
      <c r="O300"/>
    </row>
    <row r="301" spans="11:15" x14ac:dyDescent="0.25">
      <c r="K301"/>
      <c r="L301"/>
      <c r="M301"/>
      <c r="N301"/>
      <c r="O301"/>
    </row>
    <row r="302" spans="11:15" x14ac:dyDescent="0.25">
      <c r="K302"/>
      <c r="L302"/>
      <c r="M302"/>
      <c r="N302"/>
      <c r="O302"/>
    </row>
    <row r="303" spans="11:15" x14ac:dyDescent="0.25">
      <c r="K303"/>
      <c r="L303"/>
      <c r="M303"/>
      <c r="N303"/>
      <c r="O303"/>
    </row>
    <row r="304" spans="11:15" x14ac:dyDescent="0.25">
      <c r="K304"/>
      <c r="L304"/>
      <c r="M304"/>
      <c r="N304"/>
      <c r="O304"/>
    </row>
    <row r="305" spans="11:15" x14ac:dyDescent="0.25">
      <c r="K305"/>
      <c r="L305"/>
      <c r="M305"/>
      <c r="N305"/>
      <c r="O305"/>
    </row>
    <row r="306" spans="11:15" x14ac:dyDescent="0.25">
      <c r="K306"/>
      <c r="L306"/>
      <c r="M306"/>
      <c r="N306"/>
      <c r="O306"/>
    </row>
    <row r="307" spans="11:15" x14ac:dyDescent="0.25">
      <c r="K307"/>
      <c r="L307"/>
      <c r="M307"/>
      <c r="N307"/>
      <c r="O307"/>
    </row>
    <row r="308" spans="11:15" x14ac:dyDescent="0.25">
      <c r="K308"/>
      <c r="L308"/>
      <c r="M308"/>
      <c r="N308"/>
      <c r="O308"/>
    </row>
    <row r="309" spans="11:15" x14ac:dyDescent="0.25">
      <c r="K309"/>
      <c r="L309"/>
      <c r="M309"/>
      <c r="N309"/>
      <c r="O309"/>
    </row>
    <row r="310" spans="11:15" x14ac:dyDescent="0.25">
      <c r="K310"/>
      <c r="L310"/>
      <c r="M310"/>
      <c r="N310"/>
      <c r="O310"/>
    </row>
    <row r="311" spans="11:15" x14ac:dyDescent="0.25">
      <c r="K311"/>
      <c r="L311"/>
      <c r="M311"/>
      <c r="N311"/>
      <c r="O311"/>
    </row>
    <row r="312" spans="11:15" x14ac:dyDescent="0.25">
      <c r="K312"/>
      <c r="L312"/>
      <c r="M312"/>
      <c r="N312"/>
      <c r="O312"/>
    </row>
    <row r="313" spans="11:15" x14ac:dyDescent="0.25">
      <c r="K313"/>
      <c r="L313"/>
      <c r="M313"/>
      <c r="N313"/>
      <c r="O313"/>
    </row>
    <row r="314" spans="11:15" x14ac:dyDescent="0.25">
      <c r="K314"/>
      <c r="L314"/>
      <c r="M314"/>
      <c r="N314"/>
      <c r="O314"/>
    </row>
    <row r="315" spans="11:15" x14ac:dyDescent="0.25">
      <c r="K315"/>
      <c r="L315"/>
      <c r="M315"/>
      <c r="N315"/>
      <c r="O315"/>
    </row>
    <row r="316" spans="11:15" x14ac:dyDescent="0.25">
      <c r="K316"/>
      <c r="L316"/>
      <c r="M316"/>
      <c r="N316"/>
      <c r="O316"/>
    </row>
    <row r="317" spans="11:15" x14ac:dyDescent="0.25">
      <c r="K317"/>
      <c r="L317"/>
      <c r="M317"/>
      <c r="N317"/>
      <c r="O317"/>
    </row>
    <row r="318" spans="11:15" x14ac:dyDescent="0.25">
      <c r="K318"/>
      <c r="L318"/>
      <c r="M318"/>
      <c r="N318"/>
      <c r="O318"/>
    </row>
    <row r="319" spans="11:15" x14ac:dyDescent="0.25">
      <c r="K319"/>
      <c r="L319"/>
      <c r="M319"/>
      <c r="N319"/>
      <c r="O319"/>
    </row>
    <row r="320" spans="11:15" x14ac:dyDescent="0.25">
      <c r="K320"/>
      <c r="L320"/>
      <c r="M320"/>
      <c r="N320"/>
      <c r="O320"/>
    </row>
    <row r="321" spans="11:15" x14ac:dyDescent="0.25">
      <c r="K321"/>
      <c r="L321"/>
      <c r="M321"/>
      <c r="N321"/>
      <c r="O321"/>
    </row>
    <row r="322" spans="11:15" x14ac:dyDescent="0.25">
      <c r="K322"/>
      <c r="L322"/>
      <c r="M322"/>
      <c r="N322"/>
      <c r="O322"/>
    </row>
    <row r="323" spans="11:15" x14ac:dyDescent="0.25">
      <c r="K323"/>
      <c r="L323"/>
      <c r="M323"/>
      <c r="N323"/>
      <c r="O323"/>
    </row>
    <row r="324" spans="11:15" x14ac:dyDescent="0.25">
      <c r="K324"/>
      <c r="L324"/>
      <c r="M324"/>
      <c r="N324"/>
      <c r="O324"/>
    </row>
    <row r="325" spans="11:15" x14ac:dyDescent="0.25">
      <c r="K325"/>
      <c r="L325"/>
      <c r="M325"/>
      <c r="N325"/>
      <c r="O325"/>
    </row>
    <row r="326" spans="11:15" x14ac:dyDescent="0.25">
      <c r="K326"/>
      <c r="L326"/>
      <c r="M326"/>
      <c r="N326"/>
      <c r="O326"/>
    </row>
    <row r="327" spans="11:15" x14ac:dyDescent="0.25">
      <c r="K327"/>
      <c r="L327"/>
      <c r="M327"/>
      <c r="N327"/>
      <c r="O327"/>
    </row>
    <row r="328" spans="11:15" x14ac:dyDescent="0.25">
      <c r="K328"/>
      <c r="L328"/>
      <c r="M328"/>
      <c r="N328"/>
      <c r="O328"/>
    </row>
    <row r="329" spans="11:15" x14ac:dyDescent="0.25">
      <c r="K329"/>
      <c r="L329"/>
      <c r="M329"/>
      <c r="N329"/>
      <c r="O329"/>
    </row>
    <row r="330" spans="11:15" x14ac:dyDescent="0.25">
      <c r="K330"/>
      <c r="L330"/>
      <c r="M330"/>
      <c r="N330"/>
      <c r="O330"/>
    </row>
    <row r="331" spans="11:15" x14ac:dyDescent="0.25">
      <c r="K331"/>
      <c r="L331"/>
      <c r="M331"/>
      <c r="N331"/>
      <c r="O331"/>
    </row>
    <row r="332" spans="11:15" x14ac:dyDescent="0.25">
      <c r="K332"/>
      <c r="L332"/>
      <c r="M332"/>
      <c r="N332"/>
      <c r="O332"/>
    </row>
    <row r="333" spans="11:15" x14ac:dyDescent="0.25">
      <c r="K333"/>
      <c r="L333"/>
      <c r="M333"/>
      <c r="N333"/>
      <c r="O333"/>
    </row>
    <row r="334" spans="11:15" x14ac:dyDescent="0.25">
      <c r="K334"/>
      <c r="L334"/>
      <c r="M334"/>
      <c r="N334"/>
      <c r="O334"/>
    </row>
    <row r="335" spans="11:15" x14ac:dyDescent="0.25">
      <c r="K335"/>
      <c r="L335"/>
      <c r="M335"/>
      <c r="N335"/>
      <c r="O335"/>
    </row>
    <row r="336" spans="11:15" x14ac:dyDescent="0.25">
      <c r="K336"/>
      <c r="L336"/>
      <c r="M336"/>
      <c r="N336"/>
      <c r="O336"/>
    </row>
    <row r="337" spans="11:15" x14ac:dyDescent="0.25">
      <c r="K337"/>
      <c r="L337"/>
      <c r="M337"/>
      <c r="N337"/>
      <c r="O337"/>
    </row>
    <row r="338" spans="11:15" x14ac:dyDescent="0.25">
      <c r="K338"/>
      <c r="L338"/>
      <c r="M338"/>
      <c r="N338"/>
      <c r="O338"/>
    </row>
    <row r="339" spans="11:15" x14ac:dyDescent="0.25">
      <c r="K339"/>
      <c r="L339"/>
      <c r="M339"/>
      <c r="N339"/>
      <c r="O339"/>
    </row>
    <row r="340" spans="11:15" x14ac:dyDescent="0.25">
      <c r="K340"/>
      <c r="L340"/>
      <c r="M340"/>
      <c r="N340"/>
      <c r="O340"/>
    </row>
    <row r="341" spans="11:15" x14ac:dyDescent="0.25">
      <c r="K341"/>
      <c r="L341"/>
      <c r="M341"/>
      <c r="N341"/>
      <c r="O341"/>
    </row>
    <row r="342" spans="11:15" x14ac:dyDescent="0.25">
      <c r="K342"/>
      <c r="L342"/>
      <c r="M342"/>
      <c r="N342"/>
      <c r="O342"/>
    </row>
    <row r="343" spans="11:15" x14ac:dyDescent="0.25">
      <c r="K343"/>
      <c r="L343"/>
      <c r="M343"/>
      <c r="N343"/>
      <c r="O343"/>
    </row>
    <row r="344" spans="11:15" x14ac:dyDescent="0.25">
      <c r="K344"/>
      <c r="L344"/>
      <c r="M344"/>
      <c r="N344"/>
      <c r="O344"/>
    </row>
    <row r="345" spans="11:15" x14ac:dyDescent="0.25">
      <c r="K345"/>
      <c r="L345"/>
      <c r="M345"/>
      <c r="N345"/>
      <c r="O345"/>
    </row>
    <row r="346" spans="11:15" x14ac:dyDescent="0.25">
      <c r="K346"/>
      <c r="L346"/>
      <c r="M346"/>
      <c r="N346"/>
      <c r="O346"/>
    </row>
    <row r="347" spans="11:15" x14ac:dyDescent="0.25">
      <c r="K347"/>
      <c r="L347"/>
      <c r="M347"/>
      <c r="N347"/>
      <c r="O347"/>
    </row>
    <row r="348" spans="11:15" x14ac:dyDescent="0.25">
      <c r="K348"/>
      <c r="L348"/>
      <c r="M348"/>
      <c r="N348"/>
      <c r="O348"/>
    </row>
    <row r="349" spans="11:15" x14ac:dyDescent="0.25">
      <c r="K349"/>
      <c r="L349"/>
      <c r="M349"/>
      <c r="N349"/>
      <c r="O349"/>
    </row>
    <row r="350" spans="11:15" x14ac:dyDescent="0.25">
      <c r="K350"/>
      <c r="L350"/>
      <c r="M350"/>
      <c r="N350"/>
      <c r="O350"/>
    </row>
    <row r="351" spans="11:15" x14ac:dyDescent="0.25">
      <c r="K351"/>
      <c r="L351"/>
      <c r="M351"/>
      <c r="N351"/>
      <c r="O351"/>
    </row>
    <row r="352" spans="11:15" x14ac:dyDescent="0.25">
      <c r="K352"/>
      <c r="L352"/>
      <c r="M352"/>
      <c r="N352"/>
      <c r="O352"/>
    </row>
    <row r="353" spans="11:15" x14ac:dyDescent="0.25">
      <c r="K353"/>
      <c r="L353"/>
      <c r="M353"/>
      <c r="N353"/>
      <c r="O353"/>
    </row>
    <row r="354" spans="11:15" x14ac:dyDescent="0.25">
      <c r="K354"/>
      <c r="L354"/>
      <c r="M354"/>
      <c r="N354"/>
      <c r="O354"/>
    </row>
    <row r="355" spans="11:15" x14ac:dyDescent="0.25">
      <c r="K355"/>
      <c r="L355"/>
      <c r="M355"/>
      <c r="N355"/>
      <c r="O355"/>
    </row>
    <row r="356" spans="11:15" x14ac:dyDescent="0.25">
      <c r="K356"/>
      <c r="L356"/>
      <c r="M356"/>
      <c r="N356"/>
      <c r="O356"/>
    </row>
    <row r="357" spans="11:15" x14ac:dyDescent="0.25">
      <c r="K357"/>
      <c r="L357"/>
      <c r="M357"/>
      <c r="N357"/>
      <c r="O357"/>
    </row>
    <row r="358" spans="11:15" x14ac:dyDescent="0.25">
      <c r="K358"/>
      <c r="L358"/>
      <c r="M358"/>
      <c r="N358"/>
      <c r="O358"/>
    </row>
    <row r="359" spans="11:15" x14ac:dyDescent="0.25">
      <c r="K359"/>
      <c r="L359"/>
      <c r="M359"/>
      <c r="N359"/>
      <c r="O359"/>
    </row>
    <row r="360" spans="11:15" x14ac:dyDescent="0.25">
      <c r="K360"/>
      <c r="L360"/>
      <c r="M360"/>
      <c r="N360"/>
      <c r="O360"/>
    </row>
    <row r="361" spans="11:15" x14ac:dyDescent="0.25">
      <c r="K361"/>
      <c r="L361"/>
      <c r="M361"/>
      <c r="N361"/>
      <c r="O361"/>
    </row>
    <row r="362" spans="11:15" x14ac:dyDescent="0.25">
      <c r="K362"/>
      <c r="L362"/>
      <c r="M362"/>
      <c r="N362"/>
      <c r="O362"/>
    </row>
    <row r="363" spans="11:15" x14ac:dyDescent="0.25">
      <c r="K363"/>
      <c r="L363"/>
      <c r="M363"/>
      <c r="N363"/>
      <c r="O363"/>
    </row>
    <row r="364" spans="11:15" x14ac:dyDescent="0.25">
      <c r="K364"/>
      <c r="L364"/>
      <c r="M364"/>
      <c r="N364"/>
      <c r="O364"/>
    </row>
    <row r="365" spans="11:15" x14ac:dyDescent="0.25">
      <c r="K365"/>
      <c r="L365"/>
      <c r="M365"/>
      <c r="N365"/>
      <c r="O365"/>
    </row>
    <row r="366" spans="11:15" x14ac:dyDescent="0.25">
      <c r="K366"/>
      <c r="L366"/>
      <c r="M366"/>
      <c r="N366"/>
      <c r="O366"/>
    </row>
    <row r="367" spans="11:15" x14ac:dyDescent="0.25">
      <c r="K367"/>
      <c r="L367"/>
      <c r="M367"/>
      <c r="N367"/>
      <c r="O367"/>
    </row>
    <row r="368" spans="11:15" x14ac:dyDescent="0.25">
      <c r="K368"/>
      <c r="L368"/>
      <c r="M368"/>
      <c r="N368"/>
      <c r="O368"/>
    </row>
    <row r="369" spans="11:15" x14ac:dyDescent="0.25">
      <c r="K369"/>
      <c r="L369"/>
      <c r="M369"/>
      <c r="N369"/>
      <c r="O369"/>
    </row>
    <row r="370" spans="11:15" x14ac:dyDescent="0.25">
      <c r="K370"/>
      <c r="L370"/>
      <c r="M370"/>
      <c r="N370"/>
      <c r="O370"/>
    </row>
    <row r="371" spans="11:15" x14ac:dyDescent="0.25">
      <c r="K371"/>
      <c r="L371"/>
      <c r="M371"/>
      <c r="N371"/>
      <c r="O371"/>
    </row>
    <row r="372" spans="11:15" x14ac:dyDescent="0.25">
      <c r="K372"/>
      <c r="L372"/>
      <c r="M372"/>
      <c r="N372"/>
      <c r="O372"/>
    </row>
    <row r="373" spans="11:15" x14ac:dyDescent="0.25">
      <c r="K373"/>
      <c r="L373"/>
      <c r="M373"/>
      <c r="N373"/>
      <c r="O373"/>
    </row>
    <row r="374" spans="11:15" x14ac:dyDescent="0.25">
      <c r="K374"/>
      <c r="L374"/>
      <c r="M374"/>
      <c r="N374"/>
      <c r="O374"/>
    </row>
    <row r="375" spans="11:15" x14ac:dyDescent="0.25">
      <c r="K375"/>
      <c r="L375"/>
      <c r="M375"/>
      <c r="N375"/>
      <c r="O375"/>
    </row>
    <row r="376" spans="11:15" x14ac:dyDescent="0.25">
      <c r="K376"/>
      <c r="L376"/>
      <c r="M376"/>
      <c r="N376"/>
      <c r="O376"/>
    </row>
    <row r="377" spans="11:15" x14ac:dyDescent="0.25">
      <c r="K377"/>
      <c r="L377"/>
      <c r="M377"/>
      <c r="N377"/>
      <c r="O377"/>
    </row>
    <row r="378" spans="11:15" x14ac:dyDescent="0.25">
      <c r="K378"/>
      <c r="L378"/>
      <c r="M378"/>
      <c r="N378"/>
      <c r="O378"/>
    </row>
    <row r="379" spans="11:15" x14ac:dyDescent="0.25">
      <c r="K379"/>
      <c r="L379"/>
      <c r="M379"/>
      <c r="N379"/>
      <c r="O379"/>
    </row>
    <row r="380" spans="11:15" x14ac:dyDescent="0.25">
      <c r="K380"/>
      <c r="L380"/>
      <c r="M380"/>
      <c r="N380"/>
      <c r="O380"/>
    </row>
    <row r="381" spans="11:15" x14ac:dyDescent="0.25">
      <c r="K381"/>
      <c r="L381"/>
      <c r="M381"/>
      <c r="N381"/>
      <c r="O381"/>
    </row>
    <row r="382" spans="11:15" x14ac:dyDescent="0.25">
      <c r="K382"/>
      <c r="L382"/>
      <c r="M382"/>
      <c r="N382"/>
      <c r="O382"/>
    </row>
    <row r="383" spans="11:15" x14ac:dyDescent="0.25">
      <c r="K383"/>
      <c r="L383"/>
      <c r="M383"/>
      <c r="N383"/>
      <c r="O383"/>
    </row>
    <row r="384" spans="11:15" x14ac:dyDescent="0.25">
      <c r="K384"/>
      <c r="L384"/>
      <c r="M384"/>
      <c r="N384"/>
      <c r="O384"/>
    </row>
    <row r="385" spans="11:15" x14ac:dyDescent="0.25">
      <c r="K385"/>
      <c r="L385"/>
      <c r="M385"/>
      <c r="N385"/>
      <c r="O385"/>
    </row>
    <row r="386" spans="11:15" x14ac:dyDescent="0.25">
      <c r="K386"/>
      <c r="L386"/>
      <c r="M386"/>
      <c r="N386"/>
      <c r="O386"/>
    </row>
    <row r="387" spans="11:15" x14ac:dyDescent="0.25">
      <c r="K387"/>
      <c r="L387"/>
      <c r="M387"/>
      <c r="N387"/>
      <c r="O387"/>
    </row>
    <row r="388" spans="11:15" x14ac:dyDescent="0.25">
      <c r="K388"/>
      <c r="L388"/>
      <c r="M388"/>
      <c r="N388"/>
      <c r="O388"/>
    </row>
    <row r="389" spans="11:15" x14ac:dyDescent="0.25">
      <c r="K389"/>
      <c r="L389"/>
      <c r="M389"/>
      <c r="N389"/>
      <c r="O389"/>
    </row>
    <row r="390" spans="11:15" x14ac:dyDescent="0.25">
      <c r="K390"/>
      <c r="L390"/>
      <c r="M390"/>
      <c r="N390"/>
      <c r="O390"/>
    </row>
    <row r="391" spans="11:15" x14ac:dyDescent="0.25">
      <c r="K391"/>
      <c r="L391"/>
      <c r="M391"/>
      <c r="N391"/>
      <c r="O391"/>
    </row>
    <row r="392" spans="11:15" x14ac:dyDescent="0.25">
      <c r="K392"/>
      <c r="L392"/>
      <c r="M392"/>
      <c r="N392"/>
      <c r="O392"/>
    </row>
    <row r="393" spans="11:15" x14ac:dyDescent="0.25">
      <c r="K393"/>
      <c r="L393"/>
      <c r="M393"/>
      <c r="N393"/>
      <c r="O393"/>
    </row>
    <row r="394" spans="11:15" x14ac:dyDescent="0.25">
      <c r="K394"/>
      <c r="L394"/>
      <c r="M394"/>
      <c r="N394"/>
      <c r="O394"/>
    </row>
    <row r="395" spans="11:15" x14ac:dyDescent="0.25">
      <c r="K395"/>
      <c r="L395"/>
      <c r="M395"/>
      <c r="N395"/>
      <c r="O395"/>
    </row>
    <row r="396" spans="11:15" x14ac:dyDescent="0.25">
      <c r="K396"/>
      <c r="L396"/>
      <c r="M396"/>
      <c r="N396"/>
      <c r="O396"/>
    </row>
    <row r="397" spans="11:15" x14ac:dyDescent="0.25">
      <c r="K397"/>
      <c r="L397"/>
      <c r="M397"/>
      <c r="N397"/>
      <c r="O397"/>
    </row>
    <row r="398" spans="11:15" x14ac:dyDescent="0.25">
      <c r="K398"/>
      <c r="L398"/>
      <c r="M398"/>
      <c r="N398"/>
      <c r="O398"/>
    </row>
    <row r="399" spans="11:15" x14ac:dyDescent="0.25">
      <c r="K399"/>
      <c r="L399"/>
      <c r="M399"/>
      <c r="N399"/>
      <c r="O399"/>
    </row>
    <row r="400" spans="11:15" x14ac:dyDescent="0.25">
      <c r="K400"/>
      <c r="L400"/>
      <c r="M400"/>
      <c r="N400"/>
      <c r="O400"/>
    </row>
    <row r="401" spans="11:15" x14ac:dyDescent="0.25">
      <c r="K401"/>
      <c r="L401"/>
      <c r="M401"/>
      <c r="N401"/>
      <c r="O401"/>
    </row>
    <row r="402" spans="11:15" x14ac:dyDescent="0.25">
      <c r="K402"/>
      <c r="L402"/>
      <c r="M402"/>
      <c r="N402"/>
      <c r="O402"/>
    </row>
    <row r="403" spans="11:15" x14ac:dyDescent="0.25">
      <c r="K403"/>
      <c r="L403"/>
      <c r="M403"/>
      <c r="N403"/>
      <c r="O403"/>
    </row>
    <row r="404" spans="11:15" x14ac:dyDescent="0.25">
      <c r="K404"/>
      <c r="L404"/>
      <c r="M404"/>
      <c r="N404"/>
      <c r="O404"/>
    </row>
    <row r="405" spans="11:15" x14ac:dyDescent="0.25">
      <c r="K405"/>
      <c r="L405"/>
      <c r="M405"/>
      <c r="N405"/>
      <c r="O405"/>
    </row>
    <row r="406" spans="11:15" x14ac:dyDescent="0.25">
      <c r="K406"/>
      <c r="L406"/>
      <c r="M406"/>
      <c r="N406"/>
      <c r="O406"/>
    </row>
    <row r="407" spans="11:15" x14ac:dyDescent="0.25">
      <c r="K407"/>
      <c r="L407"/>
      <c r="M407"/>
      <c r="N407"/>
      <c r="O407"/>
    </row>
    <row r="408" spans="11:15" x14ac:dyDescent="0.25">
      <c r="K408"/>
      <c r="L408"/>
      <c r="M408"/>
      <c r="N408"/>
      <c r="O408"/>
    </row>
    <row r="409" spans="11:15" x14ac:dyDescent="0.25">
      <c r="K409"/>
      <c r="L409"/>
      <c r="M409"/>
      <c r="N409"/>
      <c r="O409"/>
    </row>
    <row r="410" spans="11:15" x14ac:dyDescent="0.25">
      <c r="K410"/>
      <c r="L410"/>
      <c r="M410"/>
      <c r="N410"/>
      <c r="O410"/>
    </row>
    <row r="411" spans="11:15" x14ac:dyDescent="0.25">
      <c r="K411"/>
      <c r="L411"/>
      <c r="M411"/>
      <c r="N411"/>
      <c r="O411"/>
    </row>
    <row r="412" spans="11:15" x14ac:dyDescent="0.25">
      <c r="K412"/>
      <c r="L412"/>
      <c r="M412"/>
      <c r="N412"/>
      <c r="O412"/>
    </row>
    <row r="413" spans="11:15" x14ac:dyDescent="0.25">
      <c r="K413"/>
      <c r="L413"/>
      <c r="M413"/>
      <c r="N413"/>
      <c r="O413"/>
    </row>
    <row r="414" spans="11:15" x14ac:dyDescent="0.25">
      <c r="K414"/>
      <c r="L414"/>
      <c r="M414"/>
      <c r="N414"/>
      <c r="O414"/>
    </row>
    <row r="415" spans="11:15" x14ac:dyDescent="0.25">
      <c r="K415"/>
      <c r="L415"/>
      <c r="M415"/>
      <c r="N415"/>
      <c r="O415"/>
    </row>
    <row r="416" spans="11:15" x14ac:dyDescent="0.25">
      <c r="K416"/>
      <c r="L416"/>
      <c r="M416"/>
      <c r="N416"/>
      <c r="O416"/>
    </row>
    <row r="417" spans="11:15" x14ac:dyDescent="0.25">
      <c r="K417"/>
      <c r="L417"/>
      <c r="M417"/>
      <c r="N417"/>
      <c r="O417"/>
    </row>
    <row r="418" spans="11:15" x14ac:dyDescent="0.25">
      <c r="K418"/>
      <c r="L418"/>
      <c r="M418"/>
      <c r="N418"/>
      <c r="O418"/>
    </row>
    <row r="419" spans="11:15" x14ac:dyDescent="0.25">
      <c r="K419"/>
      <c r="L419"/>
      <c r="M419"/>
      <c r="N419"/>
      <c r="O419"/>
    </row>
    <row r="420" spans="11:15" x14ac:dyDescent="0.25">
      <c r="K420"/>
      <c r="L420"/>
      <c r="M420"/>
      <c r="N420"/>
      <c r="O420"/>
    </row>
    <row r="421" spans="11:15" x14ac:dyDescent="0.25">
      <c r="K421"/>
      <c r="L421"/>
      <c r="M421"/>
      <c r="N421"/>
      <c r="O421"/>
    </row>
    <row r="422" spans="11:15" x14ac:dyDescent="0.25">
      <c r="K422"/>
      <c r="L422"/>
      <c r="M422"/>
      <c r="N422"/>
      <c r="O422"/>
    </row>
    <row r="423" spans="11:15" x14ac:dyDescent="0.25">
      <c r="K423"/>
      <c r="L423"/>
      <c r="M423"/>
      <c r="N423"/>
      <c r="O423"/>
    </row>
    <row r="424" spans="11:15" x14ac:dyDescent="0.25">
      <c r="K424"/>
      <c r="L424"/>
      <c r="M424"/>
      <c r="N424"/>
      <c r="O424"/>
    </row>
    <row r="425" spans="11:15" x14ac:dyDescent="0.25">
      <c r="K425"/>
      <c r="L425"/>
      <c r="M425"/>
      <c r="N425"/>
      <c r="O425"/>
    </row>
    <row r="426" spans="11:15" x14ac:dyDescent="0.25">
      <c r="K426"/>
      <c r="L426"/>
      <c r="M426"/>
      <c r="N426"/>
      <c r="O426"/>
    </row>
    <row r="427" spans="11:15" x14ac:dyDescent="0.25">
      <c r="K427"/>
      <c r="L427"/>
      <c r="M427"/>
      <c r="N427"/>
      <c r="O427"/>
    </row>
    <row r="428" spans="11:15" x14ac:dyDescent="0.25">
      <c r="K428"/>
      <c r="L428"/>
      <c r="M428"/>
      <c r="N428"/>
      <c r="O428"/>
    </row>
    <row r="429" spans="11:15" x14ac:dyDescent="0.25">
      <c r="K429"/>
      <c r="L429"/>
      <c r="M429"/>
      <c r="N429"/>
      <c r="O429"/>
    </row>
    <row r="430" spans="11:15" x14ac:dyDescent="0.25">
      <c r="K430"/>
      <c r="L430"/>
      <c r="M430"/>
      <c r="N430"/>
      <c r="O430"/>
    </row>
    <row r="431" spans="11:15" x14ac:dyDescent="0.25">
      <c r="K431"/>
      <c r="L431"/>
      <c r="M431"/>
      <c r="N431"/>
      <c r="O431"/>
    </row>
    <row r="432" spans="11:15" x14ac:dyDescent="0.25">
      <c r="K432"/>
      <c r="L432"/>
      <c r="M432"/>
      <c r="N432"/>
      <c r="O432"/>
    </row>
    <row r="433" spans="11:15" x14ac:dyDescent="0.25">
      <c r="K433"/>
      <c r="L433"/>
      <c r="M433"/>
      <c r="N433"/>
      <c r="O433"/>
    </row>
    <row r="434" spans="11:15" x14ac:dyDescent="0.25">
      <c r="K434"/>
      <c r="L434"/>
      <c r="M434"/>
      <c r="N434"/>
      <c r="O434"/>
    </row>
    <row r="435" spans="11:15" x14ac:dyDescent="0.25">
      <c r="K435"/>
      <c r="L435"/>
      <c r="M435"/>
      <c r="N435"/>
      <c r="O435"/>
    </row>
    <row r="436" spans="11:15" x14ac:dyDescent="0.25">
      <c r="K436"/>
      <c r="L436"/>
      <c r="M436"/>
      <c r="N436"/>
      <c r="O436"/>
    </row>
    <row r="437" spans="11:15" x14ac:dyDescent="0.25">
      <c r="K437"/>
      <c r="L437"/>
      <c r="M437"/>
      <c r="N437"/>
      <c r="O437"/>
    </row>
    <row r="438" spans="11:15" x14ac:dyDescent="0.25">
      <c r="K438"/>
      <c r="L438"/>
      <c r="M438"/>
      <c r="N438"/>
      <c r="O438"/>
    </row>
    <row r="439" spans="11:15" x14ac:dyDescent="0.25">
      <c r="K439"/>
      <c r="L439"/>
      <c r="M439"/>
      <c r="N439"/>
      <c r="O439"/>
    </row>
    <row r="440" spans="11:15" x14ac:dyDescent="0.25">
      <c r="K440"/>
      <c r="L440"/>
      <c r="M440"/>
      <c r="N440"/>
      <c r="O440"/>
    </row>
    <row r="441" spans="11:15" x14ac:dyDescent="0.25">
      <c r="K441"/>
      <c r="L441"/>
      <c r="M441"/>
      <c r="N441"/>
      <c r="O441"/>
    </row>
    <row r="442" spans="11:15" x14ac:dyDescent="0.25">
      <c r="K442"/>
      <c r="L442"/>
      <c r="M442"/>
      <c r="N442"/>
      <c r="O442"/>
    </row>
    <row r="443" spans="11:15" x14ac:dyDescent="0.25">
      <c r="K443"/>
      <c r="L443"/>
      <c r="M443"/>
      <c r="N443"/>
      <c r="O443"/>
    </row>
    <row r="444" spans="11:15" x14ac:dyDescent="0.25">
      <c r="K444"/>
      <c r="L444"/>
      <c r="M444"/>
      <c r="N444"/>
      <c r="O444"/>
    </row>
    <row r="445" spans="11:15" x14ac:dyDescent="0.25">
      <c r="K445"/>
      <c r="L445"/>
      <c r="M445"/>
      <c r="N445"/>
      <c r="O445"/>
    </row>
    <row r="446" spans="11:15" x14ac:dyDescent="0.25">
      <c r="K446"/>
      <c r="L446"/>
      <c r="M446"/>
      <c r="N446"/>
      <c r="O446"/>
    </row>
    <row r="447" spans="11:15" x14ac:dyDescent="0.25">
      <c r="K447"/>
      <c r="L447"/>
      <c r="M447"/>
      <c r="N447"/>
      <c r="O447"/>
    </row>
    <row r="448" spans="11:15" x14ac:dyDescent="0.25">
      <c r="K448"/>
      <c r="L448"/>
      <c r="M448"/>
      <c r="N448"/>
      <c r="O448"/>
    </row>
    <row r="449" spans="11:15" x14ac:dyDescent="0.25">
      <c r="K449"/>
      <c r="L449"/>
      <c r="M449"/>
      <c r="N449"/>
      <c r="O449"/>
    </row>
    <row r="450" spans="11:15" x14ac:dyDescent="0.25">
      <c r="K450"/>
      <c r="L450"/>
      <c r="M450"/>
      <c r="N450"/>
      <c r="O450"/>
    </row>
    <row r="451" spans="11:15" x14ac:dyDescent="0.25">
      <c r="K451"/>
      <c r="L451"/>
      <c r="M451"/>
      <c r="N451"/>
      <c r="O451"/>
    </row>
    <row r="452" spans="11:15" x14ac:dyDescent="0.25">
      <c r="K452"/>
      <c r="L452"/>
      <c r="M452"/>
      <c r="N452"/>
      <c r="O452"/>
    </row>
    <row r="453" spans="11:15" x14ac:dyDescent="0.25">
      <c r="K453"/>
      <c r="L453"/>
      <c r="M453"/>
      <c r="N453"/>
      <c r="O453"/>
    </row>
    <row r="454" spans="11:15" x14ac:dyDescent="0.25">
      <c r="K454"/>
      <c r="L454"/>
      <c r="M454"/>
      <c r="N454"/>
      <c r="O454"/>
    </row>
    <row r="455" spans="11:15" x14ac:dyDescent="0.25">
      <c r="K455"/>
      <c r="L455"/>
      <c r="M455"/>
      <c r="N455"/>
      <c r="O455"/>
    </row>
    <row r="456" spans="11:15" x14ac:dyDescent="0.25">
      <c r="K456"/>
      <c r="L456"/>
      <c r="M456"/>
      <c r="N456"/>
      <c r="O456"/>
    </row>
    <row r="457" spans="11:15" x14ac:dyDescent="0.25">
      <c r="K457"/>
      <c r="L457"/>
      <c r="M457"/>
      <c r="N457"/>
      <c r="O457"/>
    </row>
    <row r="458" spans="11:15" x14ac:dyDescent="0.25">
      <c r="K458"/>
      <c r="L458"/>
      <c r="M458"/>
      <c r="N458"/>
      <c r="O458"/>
    </row>
    <row r="459" spans="11:15" x14ac:dyDescent="0.25">
      <c r="K459"/>
      <c r="L459"/>
      <c r="M459"/>
      <c r="N459"/>
      <c r="O459"/>
    </row>
    <row r="460" spans="11:15" x14ac:dyDescent="0.25">
      <c r="K460"/>
      <c r="L460"/>
      <c r="M460"/>
      <c r="N460"/>
      <c r="O460"/>
    </row>
    <row r="461" spans="11:15" x14ac:dyDescent="0.25">
      <c r="K461"/>
      <c r="L461"/>
      <c r="M461"/>
      <c r="N461"/>
      <c r="O461"/>
    </row>
    <row r="462" spans="11:15" x14ac:dyDescent="0.25">
      <c r="K462"/>
      <c r="L462"/>
      <c r="M462"/>
      <c r="N462"/>
      <c r="O462"/>
    </row>
    <row r="463" spans="11:15" x14ac:dyDescent="0.25">
      <c r="K463"/>
      <c r="L463"/>
      <c r="M463"/>
      <c r="N463"/>
      <c r="O463"/>
    </row>
    <row r="464" spans="11:15" x14ac:dyDescent="0.25">
      <c r="K464"/>
      <c r="L464"/>
      <c r="M464"/>
      <c r="N464"/>
      <c r="O464"/>
    </row>
    <row r="465" spans="11:15" x14ac:dyDescent="0.25">
      <c r="K465"/>
      <c r="L465"/>
      <c r="M465"/>
      <c r="N465"/>
      <c r="O465"/>
    </row>
    <row r="466" spans="11:15" x14ac:dyDescent="0.25">
      <c r="K466"/>
      <c r="L466"/>
      <c r="M466"/>
      <c r="N466"/>
      <c r="O466"/>
    </row>
    <row r="467" spans="11:15" x14ac:dyDescent="0.25">
      <c r="K467"/>
      <c r="L467"/>
      <c r="M467"/>
      <c r="N467"/>
      <c r="O467"/>
    </row>
    <row r="468" spans="11:15" x14ac:dyDescent="0.25">
      <c r="K468"/>
      <c r="L468"/>
      <c r="M468"/>
      <c r="N468"/>
      <c r="O468"/>
    </row>
    <row r="469" spans="11:15" x14ac:dyDescent="0.25">
      <c r="K469"/>
      <c r="L469"/>
      <c r="M469"/>
      <c r="N469"/>
      <c r="O469"/>
    </row>
    <row r="470" spans="11:15" x14ac:dyDescent="0.25">
      <c r="K470"/>
      <c r="L470"/>
      <c r="M470"/>
      <c r="N470"/>
      <c r="O470"/>
    </row>
    <row r="471" spans="11:15" x14ac:dyDescent="0.25">
      <c r="K471"/>
      <c r="L471"/>
      <c r="M471"/>
      <c r="N471"/>
      <c r="O471"/>
    </row>
    <row r="472" spans="11:15" x14ac:dyDescent="0.25">
      <c r="K472"/>
      <c r="L472"/>
      <c r="M472"/>
      <c r="N472"/>
      <c r="O472"/>
    </row>
    <row r="473" spans="11:15" x14ac:dyDescent="0.25">
      <c r="K473"/>
      <c r="L473"/>
      <c r="M473"/>
      <c r="N473"/>
      <c r="O473"/>
    </row>
    <row r="474" spans="11:15" x14ac:dyDescent="0.25">
      <c r="K474"/>
      <c r="L474"/>
      <c r="M474"/>
      <c r="N474"/>
      <c r="O474"/>
    </row>
    <row r="475" spans="11:15" x14ac:dyDescent="0.25">
      <c r="K475"/>
      <c r="L475"/>
      <c r="M475"/>
      <c r="N475"/>
      <c r="O475"/>
    </row>
    <row r="476" spans="11:15" x14ac:dyDescent="0.25">
      <c r="K476"/>
      <c r="L476"/>
      <c r="M476"/>
      <c r="N476"/>
      <c r="O476"/>
    </row>
    <row r="477" spans="11:15" x14ac:dyDescent="0.25">
      <c r="K477"/>
      <c r="L477"/>
      <c r="M477"/>
      <c r="N477"/>
      <c r="O477"/>
    </row>
    <row r="478" spans="11:15" x14ac:dyDescent="0.25">
      <c r="K478"/>
      <c r="L478"/>
      <c r="M478"/>
      <c r="N478"/>
      <c r="O478"/>
    </row>
    <row r="479" spans="11:15" x14ac:dyDescent="0.25">
      <c r="K479"/>
      <c r="L479"/>
      <c r="M479"/>
      <c r="N479"/>
      <c r="O479"/>
    </row>
    <row r="480" spans="11:15" x14ac:dyDescent="0.25">
      <c r="K480"/>
      <c r="L480"/>
      <c r="M480"/>
      <c r="N480"/>
      <c r="O480"/>
    </row>
    <row r="481" spans="11:15" x14ac:dyDescent="0.25">
      <c r="K481"/>
      <c r="L481"/>
      <c r="M481"/>
      <c r="N481"/>
      <c r="O481"/>
    </row>
    <row r="482" spans="11:15" x14ac:dyDescent="0.25">
      <c r="K482"/>
      <c r="L482"/>
      <c r="M482"/>
      <c r="N482"/>
      <c r="O482"/>
    </row>
    <row r="483" spans="11:15" x14ac:dyDescent="0.25">
      <c r="K483"/>
      <c r="L483"/>
      <c r="M483"/>
      <c r="N483"/>
      <c r="O483"/>
    </row>
    <row r="484" spans="11:15" x14ac:dyDescent="0.25">
      <c r="K484"/>
      <c r="L484"/>
      <c r="M484"/>
      <c r="N484"/>
      <c r="O484"/>
    </row>
    <row r="485" spans="11:15" x14ac:dyDescent="0.25">
      <c r="K485"/>
      <c r="L485"/>
      <c r="M485"/>
      <c r="N485"/>
      <c r="O485"/>
    </row>
    <row r="486" spans="11:15" x14ac:dyDescent="0.25">
      <c r="K486"/>
      <c r="L486"/>
      <c r="M486"/>
      <c r="N486"/>
      <c r="O486"/>
    </row>
    <row r="487" spans="11:15" x14ac:dyDescent="0.25">
      <c r="K487"/>
      <c r="L487"/>
      <c r="M487"/>
      <c r="N487"/>
      <c r="O487"/>
    </row>
    <row r="488" spans="11:15" x14ac:dyDescent="0.25">
      <c r="K488"/>
      <c r="L488"/>
      <c r="M488"/>
      <c r="N488"/>
      <c r="O488"/>
    </row>
    <row r="489" spans="11:15" x14ac:dyDescent="0.25">
      <c r="K489"/>
      <c r="L489"/>
      <c r="M489"/>
      <c r="N489"/>
      <c r="O489"/>
    </row>
    <row r="490" spans="11:15" x14ac:dyDescent="0.25">
      <c r="K490"/>
      <c r="L490"/>
      <c r="M490"/>
      <c r="N490"/>
      <c r="O490"/>
    </row>
    <row r="491" spans="11:15" x14ac:dyDescent="0.25">
      <c r="K491"/>
      <c r="L491"/>
      <c r="M491"/>
      <c r="N491"/>
      <c r="O491"/>
    </row>
    <row r="492" spans="11:15" x14ac:dyDescent="0.25">
      <c r="K492"/>
      <c r="L492"/>
      <c r="M492"/>
      <c r="N492"/>
      <c r="O492"/>
    </row>
    <row r="493" spans="11:15" x14ac:dyDescent="0.25">
      <c r="K493"/>
      <c r="L493"/>
      <c r="M493"/>
      <c r="N493"/>
      <c r="O493"/>
    </row>
    <row r="494" spans="11:15" x14ac:dyDescent="0.25">
      <c r="K494"/>
      <c r="L494"/>
      <c r="M494"/>
      <c r="N494"/>
      <c r="O494"/>
    </row>
    <row r="495" spans="11:15" x14ac:dyDescent="0.25">
      <c r="K495"/>
      <c r="L495"/>
      <c r="M495"/>
      <c r="N495"/>
      <c r="O495"/>
    </row>
    <row r="496" spans="11:15" x14ac:dyDescent="0.25">
      <c r="K496"/>
      <c r="L496"/>
      <c r="M496"/>
      <c r="N496"/>
      <c r="O496"/>
    </row>
    <row r="497" spans="11:15" x14ac:dyDescent="0.25">
      <c r="K497"/>
      <c r="L497"/>
      <c r="M497"/>
      <c r="N497"/>
      <c r="O497"/>
    </row>
    <row r="498" spans="11:15" x14ac:dyDescent="0.25">
      <c r="K498"/>
      <c r="L498"/>
      <c r="M498"/>
      <c r="N498"/>
      <c r="O498"/>
    </row>
    <row r="499" spans="11:15" x14ac:dyDescent="0.25">
      <c r="K499"/>
      <c r="L499"/>
      <c r="M499"/>
      <c r="N499"/>
      <c r="O499"/>
    </row>
    <row r="500" spans="11:15" x14ac:dyDescent="0.25">
      <c r="K500"/>
      <c r="L500"/>
      <c r="M500"/>
      <c r="N500"/>
      <c r="O500"/>
    </row>
    <row r="501" spans="11:15" x14ac:dyDescent="0.25">
      <c r="K501"/>
      <c r="L501"/>
      <c r="M501"/>
      <c r="N501"/>
      <c r="O501"/>
    </row>
    <row r="502" spans="11:15" x14ac:dyDescent="0.25">
      <c r="K502"/>
      <c r="L502"/>
      <c r="M502"/>
      <c r="N502"/>
      <c r="O502"/>
    </row>
    <row r="503" spans="11:15" x14ac:dyDescent="0.25">
      <c r="K503"/>
      <c r="L503"/>
      <c r="M503"/>
      <c r="N503"/>
      <c r="O503"/>
    </row>
    <row r="504" spans="11:15" x14ac:dyDescent="0.25">
      <c r="K504"/>
      <c r="L504"/>
      <c r="M504"/>
      <c r="N504"/>
      <c r="O504"/>
    </row>
    <row r="505" spans="11:15" x14ac:dyDescent="0.25">
      <c r="K505"/>
      <c r="L505"/>
      <c r="M505"/>
      <c r="N505"/>
      <c r="O505"/>
    </row>
    <row r="506" spans="11:15" x14ac:dyDescent="0.25">
      <c r="K506"/>
      <c r="L506"/>
      <c r="M506"/>
      <c r="N506"/>
      <c r="O506"/>
    </row>
    <row r="507" spans="11:15" x14ac:dyDescent="0.25">
      <c r="K507"/>
      <c r="L507"/>
      <c r="M507"/>
      <c r="N507"/>
      <c r="O507"/>
    </row>
    <row r="508" spans="11:15" x14ac:dyDescent="0.25">
      <c r="K508"/>
      <c r="L508"/>
      <c r="M508"/>
      <c r="N508"/>
      <c r="O508"/>
    </row>
    <row r="509" spans="11:15" x14ac:dyDescent="0.25">
      <c r="K509"/>
      <c r="L509"/>
      <c r="M509"/>
      <c r="N509"/>
      <c r="O509"/>
    </row>
    <row r="510" spans="11:15" x14ac:dyDescent="0.25">
      <c r="K510"/>
      <c r="L510"/>
      <c r="M510"/>
      <c r="N510"/>
      <c r="O510"/>
    </row>
    <row r="511" spans="11:15" x14ac:dyDescent="0.25">
      <c r="K511"/>
      <c r="L511"/>
      <c r="M511"/>
      <c r="N511"/>
      <c r="O511"/>
    </row>
    <row r="512" spans="11:15" x14ac:dyDescent="0.25">
      <c r="K512"/>
      <c r="L512"/>
      <c r="M512"/>
      <c r="N512"/>
      <c r="O512"/>
    </row>
    <row r="513" spans="11:15" x14ac:dyDescent="0.25">
      <c r="K513"/>
      <c r="L513"/>
      <c r="M513"/>
      <c r="N513"/>
      <c r="O513"/>
    </row>
    <row r="514" spans="11:15" x14ac:dyDescent="0.25">
      <c r="K514"/>
      <c r="L514"/>
      <c r="M514"/>
      <c r="N514"/>
      <c r="O514"/>
    </row>
    <row r="515" spans="11:15" x14ac:dyDescent="0.25">
      <c r="K515"/>
      <c r="L515"/>
      <c r="M515"/>
      <c r="N515"/>
      <c r="O515"/>
    </row>
    <row r="516" spans="11:15" x14ac:dyDescent="0.25">
      <c r="K516"/>
      <c r="L516"/>
      <c r="M516"/>
      <c r="N516"/>
      <c r="O516"/>
    </row>
    <row r="517" spans="11:15" x14ac:dyDescent="0.25">
      <c r="K517"/>
      <c r="L517"/>
      <c r="M517"/>
      <c r="N517"/>
      <c r="O517"/>
    </row>
    <row r="518" spans="11:15" x14ac:dyDescent="0.25">
      <c r="K518"/>
      <c r="L518"/>
      <c r="M518"/>
      <c r="N518"/>
      <c r="O518"/>
    </row>
    <row r="519" spans="11:15" x14ac:dyDescent="0.25">
      <c r="K519"/>
      <c r="L519"/>
      <c r="M519"/>
      <c r="N519"/>
      <c r="O519"/>
    </row>
    <row r="520" spans="11:15" x14ac:dyDescent="0.25">
      <c r="K520"/>
      <c r="L520"/>
      <c r="M520"/>
      <c r="N520"/>
      <c r="O520"/>
    </row>
    <row r="521" spans="11:15" x14ac:dyDescent="0.25">
      <c r="K521"/>
      <c r="L521"/>
      <c r="M521"/>
      <c r="N521"/>
      <c r="O521"/>
    </row>
    <row r="522" spans="11:15" x14ac:dyDescent="0.25">
      <c r="K522"/>
      <c r="L522"/>
      <c r="M522"/>
      <c r="N522"/>
      <c r="O522"/>
    </row>
    <row r="523" spans="11:15" x14ac:dyDescent="0.25">
      <c r="K523"/>
      <c r="L523"/>
      <c r="M523"/>
      <c r="N523"/>
      <c r="O523"/>
    </row>
    <row r="524" spans="11:15" x14ac:dyDescent="0.25">
      <c r="K524"/>
      <c r="L524"/>
      <c r="M524"/>
      <c r="N524"/>
      <c r="O524"/>
    </row>
    <row r="525" spans="11:15" x14ac:dyDescent="0.25">
      <c r="K525"/>
      <c r="L525"/>
      <c r="M525"/>
      <c r="N525"/>
      <c r="O525"/>
    </row>
    <row r="526" spans="11:15" x14ac:dyDescent="0.25">
      <c r="K526"/>
      <c r="L526"/>
      <c r="M526"/>
      <c r="N526"/>
      <c r="O526"/>
    </row>
    <row r="527" spans="11:15" x14ac:dyDescent="0.25">
      <c r="K527"/>
      <c r="L527"/>
      <c r="M527"/>
      <c r="N527"/>
      <c r="O527"/>
    </row>
    <row r="528" spans="11:15" x14ac:dyDescent="0.25">
      <c r="K528"/>
      <c r="L528"/>
      <c r="M528"/>
      <c r="N528"/>
      <c r="O528"/>
    </row>
    <row r="529" spans="11:15" x14ac:dyDescent="0.25">
      <c r="K529"/>
      <c r="L529"/>
      <c r="M529"/>
      <c r="N529"/>
      <c r="O529"/>
    </row>
    <row r="530" spans="11:15" x14ac:dyDescent="0.25">
      <c r="K530"/>
      <c r="L530"/>
      <c r="M530"/>
      <c r="N530"/>
      <c r="O530"/>
    </row>
    <row r="531" spans="11:15" x14ac:dyDescent="0.25">
      <c r="K531"/>
      <c r="L531"/>
      <c r="M531"/>
      <c r="N531"/>
      <c r="O531"/>
    </row>
    <row r="532" spans="11:15" x14ac:dyDescent="0.25">
      <c r="K532"/>
      <c r="L532"/>
      <c r="M532"/>
      <c r="N532"/>
      <c r="O532"/>
    </row>
    <row r="533" spans="11:15" x14ac:dyDescent="0.25">
      <c r="K533"/>
      <c r="L533"/>
      <c r="M533"/>
      <c r="N533"/>
      <c r="O533"/>
    </row>
    <row r="534" spans="11:15" x14ac:dyDescent="0.25">
      <c r="K534"/>
      <c r="L534"/>
      <c r="M534"/>
      <c r="N534"/>
      <c r="O534"/>
    </row>
    <row r="535" spans="11:15" x14ac:dyDescent="0.25">
      <c r="K535"/>
      <c r="L535"/>
      <c r="M535"/>
      <c r="N535"/>
      <c r="O535"/>
    </row>
    <row r="536" spans="11:15" x14ac:dyDescent="0.25">
      <c r="K536"/>
      <c r="L536"/>
      <c r="M536"/>
      <c r="N536"/>
      <c r="O536"/>
    </row>
    <row r="537" spans="11:15" x14ac:dyDescent="0.25">
      <c r="K537"/>
      <c r="L537"/>
      <c r="M537"/>
      <c r="N537"/>
      <c r="O537"/>
    </row>
    <row r="538" spans="11:15" x14ac:dyDescent="0.25">
      <c r="K538"/>
      <c r="L538"/>
      <c r="M538"/>
      <c r="N538"/>
      <c r="O538"/>
    </row>
    <row r="539" spans="11:15" x14ac:dyDescent="0.25">
      <c r="K539"/>
      <c r="L539"/>
      <c r="M539"/>
      <c r="N539"/>
      <c r="O539"/>
    </row>
    <row r="540" spans="11:15" x14ac:dyDescent="0.25">
      <c r="K540"/>
      <c r="L540"/>
      <c r="M540"/>
      <c r="N540"/>
      <c r="O540"/>
    </row>
    <row r="541" spans="11:15" x14ac:dyDescent="0.25">
      <c r="K541"/>
      <c r="L541"/>
      <c r="M541"/>
      <c r="N541"/>
      <c r="O541"/>
    </row>
    <row r="542" spans="11:15" x14ac:dyDescent="0.25">
      <c r="K542"/>
      <c r="L542"/>
      <c r="M542"/>
      <c r="N542"/>
      <c r="O542"/>
    </row>
    <row r="543" spans="11:15" x14ac:dyDescent="0.25">
      <c r="K543"/>
      <c r="L543"/>
      <c r="M543"/>
      <c r="N543"/>
      <c r="O543"/>
    </row>
    <row r="544" spans="11:15" x14ac:dyDescent="0.25">
      <c r="K544"/>
      <c r="L544"/>
      <c r="M544"/>
      <c r="N544"/>
      <c r="O544"/>
    </row>
    <row r="545" spans="11:15" x14ac:dyDescent="0.25">
      <c r="K545"/>
      <c r="L545"/>
      <c r="M545"/>
      <c r="N545"/>
      <c r="O545"/>
    </row>
    <row r="546" spans="11:15" x14ac:dyDescent="0.25">
      <c r="K546"/>
      <c r="L546"/>
      <c r="M546"/>
      <c r="N546"/>
      <c r="O546"/>
    </row>
    <row r="547" spans="11:15" x14ac:dyDescent="0.25">
      <c r="K547"/>
      <c r="L547"/>
      <c r="M547"/>
      <c r="N547"/>
      <c r="O547"/>
    </row>
    <row r="548" spans="11:15" x14ac:dyDescent="0.25">
      <c r="K548"/>
      <c r="L548"/>
      <c r="M548"/>
      <c r="N548"/>
      <c r="O548"/>
    </row>
    <row r="549" spans="11:15" x14ac:dyDescent="0.25">
      <c r="K549"/>
      <c r="L549"/>
      <c r="M549"/>
      <c r="N549"/>
      <c r="O549"/>
    </row>
    <row r="550" spans="11:15" x14ac:dyDescent="0.25">
      <c r="K550"/>
      <c r="L550"/>
      <c r="M550"/>
      <c r="N550"/>
      <c r="O550"/>
    </row>
    <row r="551" spans="11:15" x14ac:dyDescent="0.25">
      <c r="K551"/>
      <c r="L551"/>
      <c r="M551"/>
      <c r="N551"/>
      <c r="O551"/>
    </row>
    <row r="552" spans="11:15" x14ac:dyDescent="0.25">
      <c r="K552"/>
      <c r="L552"/>
      <c r="M552"/>
      <c r="N552"/>
      <c r="O552"/>
    </row>
    <row r="553" spans="11:15" x14ac:dyDescent="0.25">
      <c r="K553"/>
      <c r="L553"/>
      <c r="M553"/>
      <c r="N553"/>
      <c r="O553"/>
    </row>
    <row r="554" spans="11:15" x14ac:dyDescent="0.25">
      <c r="K554"/>
      <c r="L554"/>
      <c r="M554"/>
      <c r="N554"/>
      <c r="O554"/>
    </row>
    <row r="555" spans="11:15" x14ac:dyDescent="0.25">
      <c r="K555"/>
      <c r="L555"/>
      <c r="M555"/>
      <c r="N555"/>
      <c r="O555"/>
    </row>
    <row r="556" spans="11:15" x14ac:dyDescent="0.25">
      <c r="K556"/>
      <c r="L556"/>
      <c r="M556"/>
      <c r="N556"/>
      <c r="O556"/>
    </row>
    <row r="557" spans="11:15" x14ac:dyDescent="0.25">
      <c r="K557"/>
      <c r="L557"/>
      <c r="M557"/>
      <c r="N557"/>
      <c r="O557"/>
    </row>
    <row r="558" spans="11:15" x14ac:dyDescent="0.25">
      <c r="K558"/>
      <c r="L558"/>
      <c r="M558"/>
      <c r="N558"/>
      <c r="O558"/>
    </row>
    <row r="559" spans="11:15" x14ac:dyDescent="0.25">
      <c r="K559"/>
      <c r="L559"/>
      <c r="M559"/>
      <c r="N559"/>
      <c r="O559"/>
    </row>
    <row r="560" spans="11:15" x14ac:dyDescent="0.25">
      <c r="K560"/>
      <c r="L560"/>
      <c r="M560"/>
      <c r="N560"/>
      <c r="O560"/>
    </row>
    <row r="561" spans="11:15" x14ac:dyDescent="0.25">
      <c r="K561"/>
      <c r="L561"/>
      <c r="M561"/>
      <c r="N561"/>
      <c r="O561"/>
    </row>
    <row r="562" spans="11:15" x14ac:dyDescent="0.25">
      <c r="K562"/>
      <c r="L562"/>
      <c r="M562"/>
      <c r="N562"/>
      <c r="O562"/>
    </row>
    <row r="563" spans="11:15" x14ac:dyDescent="0.25">
      <c r="K563"/>
      <c r="L563"/>
      <c r="M563"/>
      <c r="N563"/>
      <c r="O563"/>
    </row>
    <row r="564" spans="11:15" x14ac:dyDescent="0.25">
      <c r="K564"/>
      <c r="L564"/>
      <c r="M564"/>
      <c r="N564"/>
      <c r="O564"/>
    </row>
    <row r="565" spans="11:15" x14ac:dyDescent="0.25">
      <c r="K565"/>
      <c r="L565"/>
      <c r="M565"/>
      <c r="N565"/>
      <c r="O565"/>
    </row>
    <row r="566" spans="11:15" x14ac:dyDescent="0.25">
      <c r="K566"/>
      <c r="L566"/>
      <c r="M566"/>
      <c r="N566"/>
      <c r="O566"/>
    </row>
    <row r="567" spans="11:15" x14ac:dyDescent="0.25">
      <c r="K567"/>
      <c r="L567"/>
      <c r="M567"/>
      <c r="N567"/>
      <c r="O567"/>
    </row>
    <row r="568" spans="11:15" x14ac:dyDescent="0.25">
      <c r="K568"/>
      <c r="L568"/>
      <c r="M568"/>
      <c r="N568"/>
      <c r="O568"/>
    </row>
    <row r="569" spans="11:15" x14ac:dyDescent="0.25">
      <c r="K569"/>
      <c r="L569"/>
      <c r="M569"/>
      <c r="N569"/>
      <c r="O569"/>
    </row>
    <row r="570" spans="11:15" x14ac:dyDescent="0.25">
      <c r="K570"/>
      <c r="L570"/>
      <c r="M570"/>
      <c r="N570"/>
      <c r="O570"/>
    </row>
    <row r="571" spans="11:15" x14ac:dyDescent="0.25">
      <c r="K571"/>
      <c r="L571"/>
      <c r="M571"/>
      <c r="N571"/>
      <c r="O571"/>
    </row>
    <row r="572" spans="11:15" x14ac:dyDescent="0.25">
      <c r="K572"/>
      <c r="L572"/>
      <c r="M572"/>
      <c r="N572"/>
      <c r="O572"/>
    </row>
    <row r="573" spans="11:15" x14ac:dyDescent="0.25">
      <c r="K573"/>
      <c r="L573"/>
      <c r="M573"/>
      <c r="N573"/>
      <c r="O573"/>
    </row>
    <row r="574" spans="11:15" x14ac:dyDescent="0.25">
      <c r="K574"/>
      <c r="L574"/>
      <c r="M574"/>
      <c r="N574"/>
      <c r="O574"/>
    </row>
    <row r="575" spans="11:15" x14ac:dyDescent="0.25">
      <c r="K575"/>
      <c r="L575"/>
      <c r="M575"/>
      <c r="N575"/>
      <c r="O575"/>
    </row>
    <row r="576" spans="11:15" x14ac:dyDescent="0.25">
      <c r="K576"/>
      <c r="L576"/>
      <c r="M576"/>
      <c r="N576"/>
      <c r="O576"/>
    </row>
    <row r="577" spans="11:15" x14ac:dyDescent="0.25">
      <c r="K577"/>
      <c r="L577"/>
      <c r="M577"/>
      <c r="N577"/>
      <c r="O577"/>
    </row>
    <row r="578" spans="11:15" x14ac:dyDescent="0.25">
      <c r="K578"/>
      <c r="L578"/>
      <c r="M578"/>
      <c r="N578"/>
      <c r="O578"/>
    </row>
    <row r="579" spans="11:15" x14ac:dyDescent="0.25">
      <c r="K579"/>
      <c r="L579"/>
      <c r="M579"/>
      <c r="N579"/>
      <c r="O579"/>
    </row>
    <row r="580" spans="11:15" x14ac:dyDescent="0.25">
      <c r="K580"/>
      <c r="L580"/>
      <c r="M580"/>
      <c r="N580"/>
      <c r="O580"/>
    </row>
    <row r="581" spans="11:15" x14ac:dyDescent="0.25">
      <c r="K581"/>
      <c r="L581"/>
      <c r="M581"/>
      <c r="N581"/>
      <c r="O581"/>
    </row>
    <row r="582" spans="11:15" x14ac:dyDescent="0.25">
      <c r="K582"/>
      <c r="L582"/>
      <c r="M582"/>
      <c r="N582"/>
      <c r="O582"/>
    </row>
    <row r="583" spans="11:15" x14ac:dyDescent="0.25">
      <c r="K583"/>
      <c r="L583"/>
      <c r="M583"/>
      <c r="N583"/>
      <c r="O583"/>
    </row>
    <row r="584" spans="11:15" x14ac:dyDescent="0.25">
      <c r="K584"/>
      <c r="L584"/>
      <c r="M584"/>
      <c r="N584"/>
      <c r="O584"/>
    </row>
    <row r="585" spans="11:15" x14ac:dyDescent="0.25">
      <c r="K585"/>
      <c r="L585"/>
      <c r="M585"/>
      <c r="N585"/>
      <c r="O585"/>
    </row>
    <row r="586" spans="11:15" x14ac:dyDescent="0.25">
      <c r="K586"/>
      <c r="L586"/>
      <c r="M586"/>
      <c r="N586"/>
      <c r="O586"/>
    </row>
    <row r="587" spans="11:15" x14ac:dyDescent="0.25">
      <c r="K587"/>
      <c r="L587"/>
      <c r="M587"/>
      <c r="N587"/>
      <c r="O587"/>
    </row>
    <row r="588" spans="11:15" x14ac:dyDescent="0.25">
      <c r="K588"/>
      <c r="L588"/>
      <c r="M588"/>
      <c r="N588"/>
      <c r="O588"/>
    </row>
    <row r="589" spans="11:15" x14ac:dyDescent="0.25">
      <c r="K589"/>
      <c r="L589"/>
      <c r="M589"/>
      <c r="N589"/>
      <c r="O589"/>
    </row>
    <row r="590" spans="11:15" x14ac:dyDescent="0.25">
      <c r="K590"/>
      <c r="L590"/>
      <c r="M590"/>
      <c r="N590"/>
      <c r="O590"/>
    </row>
    <row r="591" spans="11:15" x14ac:dyDescent="0.25">
      <c r="K591"/>
      <c r="L591"/>
      <c r="M591"/>
      <c r="N591"/>
      <c r="O591"/>
    </row>
    <row r="592" spans="11:15" x14ac:dyDescent="0.25">
      <c r="K592"/>
      <c r="L592"/>
      <c r="M592"/>
      <c r="N592"/>
      <c r="O592"/>
    </row>
    <row r="593" spans="11:15" x14ac:dyDescent="0.25">
      <c r="K593"/>
      <c r="L593"/>
      <c r="M593"/>
      <c r="N593"/>
      <c r="O593"/>
    </row>
    <row r="594" spans="11:15" x14ac:dyDescent="0.25">
      <c r="K594"/>
      <c r="L594"/>
      <c r="M594"/>
      <c r="N594"/>
      <c r="O594"/>
    </row>
    <row r="595" spans="11:15" x14ac:dyDescent="0.25">
      <c r="K595"/>
      <c r="L595"/>
      <c r="M595"/>
      <c r="N595"/>
      <c r="O595"/>
    </row>
    <row r="596" spans="11:15" x14ac:dyDescent="0.25">
      <c r="K596"/>
      <c r="L596"/>
      <c r="M596"/>
      <c r="N596"/>
      <c r="O596"/>
    </row>
    <row r="597" spans="11:15" x14ac:dyDescent="0.25">
      <c r="K597"/>
      <c r="L597"/>
      <c r="M597"/>
      <c r="N597"/>
      <c r="O597"/>
    </row>
    <row r="598" spans="11:15" x14ac:dyDescent="0.25">
      <c r="K598"/>
      <c r="L598"/>
      <c r="M598"/>
      <c r="N598"/>
      <c r="O598"/>
    </row>
    <row r="599" spans="11:15" x14ac:dyDescent="0.25">
      <c r="K599"/>
      <c r="L599"/>
      <c r="M599"/>
      <c r="N599"/>
      <c r="O599"/>
    </row>
    <row r="600" spans="11:15" x14ac:dyDescent="0.25">
      <c r="K600"/>
      <c r="L600"/>
      <c r="M600"/>
      <c r="N600"/>
      <c r="O600"/>
    </row>
    <row r="601" spans="11:15" x14ac:dyDescent="0.25">
      <c r="K601"/>
      <c r="L601"/>
      <c r="M601"/>
      <c r="N601"/>
      <c r="O601"/>
    </row>
    <row r="602" spans="11:15" x14ac:dyDescent="0.25">
      <c r="K602"/>
      <c r="L602"/>
      <c r="M602"/>
      <c r="N602"/>
      <c r="O602"/>
    </row>
    <row r="603" spans="11:15" x14ac:dyDescent="0.25">
      <c r="K603"/>
      <c r="L603"/>
      <c r="M603"/>
      <c r="N603"/>
      <c r="O603"/>
    </row>
    <row r="604" spans="11:15" x14ac:dyDescent="0.25">
      <c r="K604"/>
      <c r="L604"/>
      <c r="M604"/>
      <c r="N604"/>
      <c r="O604"/>
    </row>
    <row r="605" spans="11:15" x14ac:dyDescent="0.25">
      <c r="K605"/>
      <c r="L605"/>
      <c r="M605"/>
      <c r="N605"/>
      <c r="O605"/>
    </row>
    <row r="606" spans="11:15" x14ac:dyDescent="0.25">
      <c r="K606"/>
      <c r="L606"/>
      <c r="M606"/>
      <c r="N606"/>
      <c r="O606"/>
    </row>
    <row r="607" spans="11:15" x14ac:dyDescent="0.25">
      <c r="K607"/>
      <c r="L607"/>
      <c r="M607"/>
      <c r="N607"/>
      <c r="O607"/>
    </row>
    <row r="608" spans="11:15" x14ac:dyDescent="0.25">
      <c r="K608"/>
      <c r="L608"/>
      <c r="M608"/>
      <c r="N608"/>
      <c r="O608"/>
    </row>
    <row r="609" spans="11:15" x14ac:dyDescent="0.25">
      <c r="K609"/>
      <c r="L609"/>
      <c r="M609"/>
      <c r="N609"/>
      <c r="O609"/>
    </row>
    <row r="610" spans="11:15" x14ac:dyDescent="0.25">
      <c r="K610"/>
      <c r="L610"/>
      <c r="M610"/>
      <c r="N610"/>
      <c r="O610"/>
    </row>
    <row r="611" spans="11:15" x14ac:dyDescent="0.25">
      <c r="K611"/>
      <c r="L611"/>
      <c r="M611"/>
      <c r="N611"/>
      <c r="O611"/>
    </row>
    <row r="612" spans="11:15" x14ac:dyDescent="0.25">
      <c r="K612"/>
      <c r="L612"/>
      <c r="M612"/>
      <c r="N612"/>
      <c r="O612"/>
    </row>
    <row r="613" spans="11:15" x14ac:dyDescent="0.25">
      <c r="K613"/>
      <c r="L613"/>
      <c r="M613"/>
      <c r="N613"/>
      <c r="O613"/>
    </row>
    <row r="614" spans="11:15" x14ac:dyDescent="0.25">
      <c r="K614"/>
      <c r="L614"/>
      <c r="M614"/>
      <c r="N614"/>
      <c r="O614"/>
    </row>
    <row r="615" spans="11:15" x14ac:dyDescent="0.25">
      <c r="K615"/>
      <c r="L615"/>
      <c r="M615"/>
      <c r="N615"/>
      <c r="O615"/>
    </row>
    <row r="616" spans="11:15" x14ac:dyDescent="0.25">
      <c r="K616"/>
      <c r="L616"/>
      <c r="M616"/>
      <c r="N616"/>
      <c r="O616"/>
    </row>
    <row r="617" spans="11:15" x14ac:dyDescent="0.25">
      <c r="K617"/>
      <c r="L617"/>
      <c r="M617"/>
      <c r="N617"/>
      <c r="O617"/>
    </row>
    <row r="618" spans="11:15" x14ac:dyDescent="0.25">
      <c r="K618"/>
      <c r="L618"/>
      <c r="M618"/>
      <c r="N618"/>
      <c r="O618"/>
    </row>
    <row r="619" spans="11:15" x14ac:dyDescent="0.25">
      <c r="K619"/>
      <c r="L619"/>
      <c r="M619"/>
      <c r="N619"/>
      <c r="O619"/>
    </row>
    <row r="620" spans="11:15" x14ac:dyDescent="0.25">
      <c r="K620"/>
      <c r="L620"/>
      <c r="M620"/>
      <c r="N620"/>
      <c r="O620"/>
    </row>
    <row r="621" spans="11:15" x14ac:dyDescent="0.25">
      <c r="K621"/>
      <c r="L621"/>
      <c r="M621"/>
      <c r="N621"/>
      <c r="O621"/>
    </row>
    <row r="622" spans="11:15" x14ac:dyDescent="0.25">
      <c r="K622"/>
      <c r="L622"/>
      <c r="M622"/>
      <c r="N622"/>
      <c r="O622"/>
    </row>
    <row r="623" spans="11:15" x14ac:dyDescent="0.25">
      <c r="K623"/>
      <c r="L623"/>
      <c r="M623"/>
      <c r="N623"/>
      <c r="O623"/>
    </row>
    <row r="624" spans="11:15" x14ac:dyDescent="0.25">
      <c r="K624"/>
      <c r="L624"/>
      <c r="M624"/>
      <c r="N624"/>
      <c r="O624"/>
    </row>
    <row r="625" spans="11:15" x14ac:dyDescent="0.25">
      <c r="K625"/>
      <c r="L625"/>
      <c r="M625"/>
      <c r="N625"/>
      <c r="O625"/>
    </row>
    <row r="626" spans="11:15" x14ac:dyDescent="0.25">
      <c r="K626"/>
      <c r="L626"/>
      <c r="M626"/>
      <c r="N626"/>
      <c r="O626"/>
    </row>
    <row r="627" spans="11:15" x14ac:dyDescent="0.25">
      <c r="K627"/>
      <c r="L627"/>
      <c r="M627"/>
      <c r="N627"/>
      <c r="O627"/>
    </row>
    <row r="628" spans="11:15" x14ac:dyDescent="0.25">
      <c r="K628"/>
      <c r="L628"/>
      <c r="M628"/>
      <c r="N628"/>
      <c r="O628"/>
    </row>
    <row r="629" spans="11:15" x14ac:dyDescent="0.25">
      <c r="K629"/>
      <c r="L629"/>
      <c r="M629"/>
      <c r="N629"/>
      <c r="O629"/>
    </row>
    <row r="630" spans="11:15" x14ac:dyDescent="0.25">
      <c r="K630"/>
      <c r="L630"/>
      <c r="M630"/>
      <c r="N630"/>
      <c r="O630"/>
    </row>
    <row r="631" spans="11:15" x14ac:dyDescent="0.25">
      <c r="K631"/>
      <c r="L631"/>
      <c r="M631"/>
      <c r="N631"/>
      <c r="O631"/>
    </row>
    <row r="632" spans="11:15" x14ac:dyDescent="0.25">
      <c r="K632"/>
      <c r="L632"/>
      <c r="M632"/>
      <c r="N632"/>
      <c r="O632"/>
    </row>
    <row r="633" spans="11:15" x14ac:dyDescent="0.25">
      <c r="K633"/>
      <c r="L633"/>
      <c r="M633"/>
      <c r="N633"/>
      <c r="O633"/>
    </row>
    <row r="634" spans="11:15" x14ac:dyDescent="0.25">
      <c r="K634"/>
      <c r="L634"/>
      <c r="M634"/>
      <c r="N634"/>
      <c r="O634"/>
    </row>
    <row r="635" spans="11:15" x14ac:dyDescent="0.25">
      <c r="K635"/>
      <c r="L635"/>
      <c r="M635"/>
      <c r="N635"/>
      <c r="O635"/>
    </row>
    <row r="636" spans="11:15" x14ac:dyDescent="0.25">
      <c r="K636"/>
      <c r="L636"/>
      <c r="M636"/>
      <c r="N636"/>
      <c r="O636"/>
    </row>
    <row r="637" spans="11:15" x14ac:dyDescent="0.25">
      <c r="K637"/>
      <c r="L637"/>
      <c r="M637"/>
      <c r="N637"/>
      <c r="O637"/>
    </row>
    <row r="638" spans="11:15" x14ac:dyDescent="0.25">
      <c r="K638"/>
      <c r="L638"/>
      <c r="M638"/>
      <c r="N638"/>
      <c r="O638"/>
    </row>
    <row r="639" spans="11:15" x14ac:dyDescent="0.25">
      <c r="K639"/>
      <c r="L639"/>
      <c r="M639"/>
      <c r="N639"/>
      <c r="O639"/>
    </row>
    <row r="640" spans="11:15" x14ac:dyDescent="0.25">
      <c r="K640"/>
      <c r="L640"/>
      <c r="M640"/>
      <c r="N640"/>
      <c r="O640"/>
    </row>
    <row r="641" spans="11:15" x14ac:dyDescent="0.25">
      <c r="K641"/>
      <c r="L641"/>
      <c r="M641"/>
      <c r="N641"/>
      <c r="O641"/>
    </row>
    <row r="642" spans="11:15" x14ac:dyDescent="0.25">
      <c r="K642"/>
      <c r="L642"/>
      <c r="M642"/>
      <c r="N642"/>
      <c r="O642"/>
    </row>
    <row r="643" spans="11:15" x14ac:dyDescent="0.25">
      <c r="K643"/>
      <c r="L643"/>
      <c r="M643"/>
      <c r="N643"/>
      <c r="O643"/>
    </row>
    <row r="644" spans="11:15" x14ac:dyDescent="0.25">
      <c r="K644"/>
      <c r="L644"/>
      <c r="M644"/>
      <c r="N644"/>
      <c r="O644"/>
    </row>
    <row r="645" spans="11:15" x14ac:dyDescent="0.25">
      <c r="K645"/>
      <c r="L645"/>
      <c r="M645"/>
      <c r="N645"/>
      <c r="O645"/>
    </row>
    <row r="646" spans="11:15" x14ac:dyDescent="0.25">
      <c r="K646"/>
      <c r="L646"/>
      <c r="M646"/>
      <c r="N646"/>
      <c r="O646"/>
    </row>
    <row r="647" spans="11:15" x14ac:dyDescent="0.25">
      <c r="K647"/>
      <c r="L647"/>
      <c r="M647"/>
      <c r="N647"/>
      <c r="O647"/>
    </row>
    <row r="648" spans="11:15" x14ac:dyDescent="0.25">
      <c r="K648"/>
      <c r="L648"/>
      <c r="M648"/>
      <c r="N648"/>
      <c r="O648"/>
    </row>
    <row r="649" spans="11:15" x14ac:dyDescent="0.25">
      <c r="K649"/>
      <c r="L649"/>
      <c r="M649"/>
      <c r="N649"/>
      <c r="O649"/>
    </row>
    <row r="650" spans="11:15" x14ac:dyDescent="0.25">
      <c r="K650"/>
      <c r="L650"/>
      <c r="M650"/>
      <c r="N650"/>
      <c r="O650"/>
    </row>
    <row r="651" spans="11:15" x14ac:dyDescent="0.25">
      <c r="K651"/>
      <c r="L651"/>
      <c r="M651"/>
      <c r="N651"/>
      <c r="O651"/>
    </row>
    <row r="652" spans="11:15" x14ac:dyDescent="0.25">
      <c r="K652"/>
      <c r="L652"/>
      <c r="M652"/>
      <c r="N652"/>
      <c r="O652"/>
    </row>
    <row r="653" spans="11:15" x14ac:dyDescent="0.25">
      <c r="K653"/>
      <c r="L653"/>
      <c r="M653"/>
      <c r="N653"/>
      <c r="O653"/>
    </row>
    <row r="654" spans="11:15" x14ac:dyDescent="0.25">
      <c r="K654"/>
      <c r="L654"/>
      <c r="M654"/>
      <c r="N654"/>
      <c r="O654"/>
    </row>
    <row r="655" spans="11:15" x14ac:dyDescent="0.25">
      <c r="K655"/>
      <c r="L655"/>
      <c r="M655"/>
      <c r="N655"/>
      <c r="O655"/>
    </row>
    <row r="656" spans="11:15" x14ac:dyDescent="0.25">
      <c r="K656"/>
      <c r="L656"/>
      <c r="M656"/>
      <c r="N656"/>
      <c r="O656"/>
    </row>
    <row r="657" spans="11:15" x14ac:dyDescent="0.25">
      <c r="K657"/>
      <c r="L657"/>
      <c r="M657"/>
      <c r="N657"/>
      <c r="O657"/>
    </row>
    <row r="658" spans="11:15" x14ac:dyDescent="0.25">
      <c r="K658"/>
      <c r="L658"/>
      <c r="M658"/>
      <c r="N658"/>
      <c r="O658"/>
    </row>
    <row r="659" spans="11:15" x14ac:dyDescent="0.25">
      <c r="K659"/>
      <c r="L659"/>
      <c r="M659"/>
      <c r="N659"/>
      <c r="O659"/>
    </row>
    <row r="660" spans="11:15" x14ac:dyDescent="0.25">
      <c r="K660"/>
      <c r="L660"/>
      <c r="M660"/>
      <c r="N660"/>
      <c r="O660"/>
    </row>
    <row r="661" spans="11:15" x14ac:dyDescent="0.25">
      <c r="K661"/>
      <c r="L661"/>
      <c r="M661"/>
      <c r="N661"/>
      <c r="O661"/>
    </row>
    <row r="662" spans="11:15" x14ac:dyDescent="0.25">
      <c r="K662"/>
      <c r="L662"/>
      <c r="M662"/>
      <c r="N662"/>
      <c r="O662"/>
    </row>
    <row r="663" spans="11:15" x14ac:dyDescent="0.25">
      <c r="K663"/>
      <c r="L663"/>
      <c r="M663"/>
      <c r="N663"/>
      <c r="O663"/>
    </row>
    <row r="664" spans="11:15" x14ac:dyDescent="0.25">
      <c r="K664"/>
      <c r="L664"/>
      <c r="M664"/>
      <c r="N664"/>
      <c r="O664"/>
    </row>
    <row r="665" spans="11:15" x14ac:dyDescent="0.25">
      <c r="K665"/>
      <c r="L665"/>
      <c r="M665"/>
      <c r="N665"/>
      <c r="O665"/>
    </row>
    <row r="666" spans="11:15" x14ac:dyDescent="0.25">
      <c r="K666"/>
      <c r="L666"/>
      <c r="M666"/>
      <c r="N666"/>
      <c r="O666"/>
    </row>
    <row r="667" spans="11:15" x14ac:dyDescent="0.25">
      <c r="K667"/>
      <c r="L667"/>
      <c r="M667"/>
      <c r="N667"/>
      <c r="O667"/>
    </row>
    <row r="668" spans="11:15" x14ac:dyDescent="0.25">
      <c r="K668"/>
      <c r="L668"/>
      <c r="M668"/>
      <c r="N668"/>
      <c r="O668"/>
    </row>
    <row r="669" spans="11:15" x14ac:dyDescent="0.25">
      <c r="K669"/>
      <c r="L669"/>
      <c r="M669"/>
      <c r="N669"/>
      <c r="O669"/>
    </row>
    <row r="670" spans="11:15" x14ac:dyDescent="0.25">
      <c r="K670"/>
      <c r="L670"/>
      <c r="M670"/>
      <c r="N670"/>
      <c r="O670"/>
    </row>
    <row r="671" spans="11:15" x14ac:dyDescent="0.25">
      <c r="K671"/>
      <c r="L671"/>
      <c r="M671"/>
      <c r="N671"/>
      <c r="O671"/>
    </row>
    <row r="672" spans="11:15" x14ac:dyDescent="0.25">
      <c r="K672"/>
      <c r="L672"/>
      <c r="M672"/>
      <c r="N672"/>
      <c r="O672"/>
    </row>
    <row r="673" spans="11:15" x14ac:dyDescent="0.25">
      <c r="K673"/>
      <c r="L673"/>
      <c r="M673"/>
      <c r="N673"/>
      <c r="O673"/>
    </row>
    <row r="674" spans="11:15" x14ac:dyDescent="0.25">
      <c r="K674"/>
      <c r="L674"/>
      <c r="M674"/>
      <c r="N674"/>
      <c r="O674"/>
    </row>
    <row r="675" spans="11:15" x14ac:dyDescent="0.25">
      <c r="K675"/>
      <c r="L675"/>
      <c r="M675"/>
      <c r="N675"/>
      <c r="O675"/>
    </row>
    <row r="676" spans="11:15" x14ac:dyDescent="0.25">
      <c r="K676"/>
      <c r="L676"/>
      <c r="M676"/>
      <c r="N676"/>
      <c r="O676"/>
    </row>
    <row r="677" spans="11:15" x14ac:dyDescent="0.25">
      <c r="K677"/>
      <c r="L677"/>
      <c r="M677"/>
      <c r="N677"/>
      <c r="O677"/>
    </row>
    <row r="678" spans="11:15" x14ac:dyDescent="0.25">
      <c r="K678"/>
      <c r="L678"/>
      <c r="M678"/>
      <c r="N678"/>
      <c r="O678"/>
    </row>
    <row r="679" spans="11:15" x14ac:dyDescent="0.25">
      <c r="K679"/>
      <c r="L679"/>
      <c r="M679"/>
      <c r="N679"/>
      <c r="O679"/>
    </row>
    <row r="680" spans="11:15" x14ac:dyDescent="0.25">
      <c r="K680"/>
      <c r="L680"/>
      <c r="M680"/>
      <c r="N680"/>
      <c r="O680"/>
    </row>
    <row r="681" spans="11:15" x14ac:dyDescent="0.25">
      <c r="K681"/>
      <c r="L681"/>
      <c r="M681"/>
      <c r="N681"/>
      <c r="O681"/>
    </row>
    <row r="682" spans="11:15" x14ac:dyDescent="0.25">
      <c r="K682"/>
      <c r="L682"/>
      <c r="M682"/>
      <c r="N682"/>
      <c r="O682"/>
    </row>
    <row r="683" spans="11:15" x14ac:dyDescent="0.25">
      <c r="K683"/>
      <c r="L683"/>
      <c r="M683"/>
      <c r="N683"/>
      <c r="O683"/>
    </row>
    <row r="684" spans="11:15" x14ac:dyDescent="0.25">
      <c r="K684"/>
      <c r="L684"/>
      <c r="M684"/>
      <c r="N684"/>
      <c r="O684"/>
    </row>
    <row r="685" spans="11:15" x14ac:dyDescent="0.25">
      <c r="K685"/>
      <c r="L685"/>
      <c r="M685"/>
      <c r="N685"/>
      <c r="O685"/>
    </row>
    <row r="686" spans="11:15" x14ac:dyDescent="0.25">
      <c r="K686"/>
      <c r="L686"/>
      <c r="M686"/>
      <c r="N686"/>
      <c r="O686"/>
    </row>
    <row r="687" spans="11:15" x14ac:dyDescent="0.25">
      <c r="K687"/>
      <c r="L687"/>
      <c r="M687"/>
      <c r="N687"/>
      <c r="O687"/>
    </row>
    <row r="688" spans="11:15" x14ac:dyDescent="0.25">
      <c r="K688"/>
      <c r="L688"/>
      <c r="M688"/>
      <c r="N688"/>
      <c r="O688"/>
    </row>
    <row r="689" spans="11:15" x14ac:dyDescent="0.25">
      <c r="K689"/>
      <c r="L689"/>
      <c r="M689"/>
      <c r="N689"/>
      <c r="O689"/>
    </row>
    <row r="690" spans="11:15" x14ac:dyDescent="0.25">
      <c r="K690"/>
      <c r="L690"/>
      <c r="M690"/>
      <c r="N690"/>
      <c r="O690"/>
    </row>
    <row r="691" spans="11:15" x14ac:dyDescent="0.25">
      <c r="K691"/>
      <c r="L691"/>
      <c r="M691"/>
      <c r="N691"/>
      <c r="O691"/>
    </row>
    <row r="692" spans="11:15" x14ac:dyDescent="0.25">
      <c r="K692"/>
      <c r="L692"/>
      <c r="M692"/>
      <c r="N692"/>
      <c r="O692"/>
    </row>
    <row r="693" spans="11:15" x14ac:dyDescent="0.25">
      <c r="K693"/>
      <c r="L693"/>
      <c r="M693"/>
      <c r="N693"/>
      <c r="O693"/>
    </row>
    <row r="694" spans="11:15" x14ac:dyDescent="0.25">
      <c r="K694"/>
      <c r="L694"/>
      <c r="M694"/>
      <c r="N694"/>
      <c r="O694"/>
    </row>
    <row r="695" spans="11:15" x14ac:dyDescent="0.25">
      <c r="K695"/>
      <c r="L695"/>
      <c r="M695"/>
      <c r="N695"/>
      <c r="O695"/>
    </row>
    <row r="696" spans="11:15" x14ac:dyDescent="0.25">
      <c r="K696"/>
      <c r="L696"/>
      <c r="M696"/>
      <c r="N696"/>
      <c r="O696"/>
    </row>
    <row r="697" spans="11:15" x14ac:dyDescent="0.25">
      <c r="K697"/>
      <c r="L697"/>
      <c r="M697"/>
      <c r="N697"/>
      <c r="O697"/>
    </row>
    <row r="698" spans="11:15" x14ac:dyDescent="0.25">
      <c r="K698"/>
      <c r="L698"/>
      <c r="M698"/>
      <c r="N698"/>
      <c r="O698"/>
    </row>
    <row r="699" spans="11:15" x14ac:dyDescent="0.25">
      <c r="K699"/>
      <c r="L699"/>
      <c r="M699"/>
      <c r="N699"/>
      <c r="O699"/>
    </row>
    <row r="700" spans="11:15" x14ac:dyDescent="0.25">
      <c r="K700"/>
      <c r="L700"/>
      <c r="M700"/>
      <c r="N700"/>
      <c r="O700"/>
    </row>
    <row r="701" spans="11:15" x14ac:dyDescent="0.25">
      <c r="K701"/>
      <c r="L701"/>
      <c r="M701"/>
      <c r="N701"/>
      <c r="O701"/>
    </row>
    <row r="702" spans="11:15" x14ac:dyDescent="0.25">
      <c r="K702"/>
      <c r="L702"/>
      <c r="M702"/>
      <c r="N702"/>
      <c r="O702"/>
    </row>
    <row r="703" spans="11:15" x14ac:dyDescent="0.25">
      <c r="K703"/>
      <c r="L703"/>
      <c r="M703"/>
      <c r="N703"/>
      <c r="O703"/>
    </row>
    <row r="704" spans="11:15" x14ac:dyDescent="0.25">
      <c r="K704"/>
      <c r="L704"/>
      <c r="M704"/>
      <c r="N704"/>
      <c r="O704"/>
    </row>
    <row r="705" spans="11:15" x14ac:dyDescent="0.25">
      <c r="K705"/>
      <c r="L705"/>
      <c r="M705"/>
      <c r="N705"/>
      <c r="O705"/>
    </row>
    <row r="706" spans="11:15" x14ac:dyDescent="0.25">
      <c r="K706"/>
      <c r="L706"/>
      <c r="M706"/>
      <c r="N706"/>
      <c r="O706"/>
    </row>
    <row r="707" spans="11:15" x14ac:dyDescent="0.25">
      <c r="K707"/>
      <c r="L707"/>
      <c r="M707"/>
      <c r="N707"/>
      <c r="O707"/>
    </row>
    <row r="708" spans="11:15" x14ac:dyDescent="0.25">
      <c r="K708"/>
      <c r="L708"/>
      <c r="M708"/>
      <c r="N708"/>
      <c r="O708"/>
    </row>
    <row r="709" spans="11:15" x14ac:dyDescent="0.25">
      <c r="K709"/>
      <c r="L709"/>
      <c r="M709"/>
      <c r="N709"/>
      <c r="O709"/>
    </row>
    <row r="710" spans="11:15" x14ac:dyDescent="0.25">
      <c r="K710"/>
      <c r="L710"/>
      <c r="M710"/>
      <c r="N710"/>
      <c r="O710"/>
    </row>
    <row r="711" spans="11:15" x14ac:dyDescent="0.25">
      <c r="K711"/>
      <c r="L711"/>
      <c r="M711"/>
      <c r="N711"/>
      <c r="O711"/>
    </row>
    <row r="712" spans="11:15" x14ac:dyDescent="0.25">
      <c r="K712"/>
      <c r="L712"/>
      <c r="M712"/>
      <c r="N712"/>
      <c r="O712"/>
    </row>
    <row r="713" spans="11:15" x14ac:dyDescent="0.25">
      <c r="K713"/>
      <c r="L713"/>
      <c r="M713"/>
      <c r="N713"/>
      <c r="O713"/>
    </row>
    <row r="714" spans="11:15" x14ac:dyDescent="0.25">
      <c r="K714"/>
      <c r="L714"/>
      <c r="M714"/>
      <c r="N714"/>
      <c r="O714"/>
    </row>
    <row r="715" spans="11:15" x14ac:dyDescent="0.25">
      <c r="K715"/>
      <c r="L715"/>
      <c r="M715"/>
      <c r="N715"/>
      <c r="O715"/>
    </row>
    <row r="716" spans="11:15" x14ac:dyDescent="0.25">
      <c r="K716"/>
      <c r="L716"/>
      <c r="M716"/>
      <c r="N716"/>
      <c r="O716"/>
    </row>
    <row r="717" spans="11:15" x14ac:dyDescent="0.25">
      <c r="K717"/>
      <c r="L717"/>
      <c r="M717"/>
      <c r="N717"/>
      <c r="O717"/>
    </row>
    <row r="718" spans="11:15" x14ac:dyDescent="0.25">
      <c r="K718"/>
      <c r="L718"/>
      <c r="M718"/>
      <c r="N718"/>
      <c r="O718"/>
    </row>
    <row r="719" spans="11:15" x14ac:dyDescent="0.25">
      <c r="K719"/>
      <c r="L719"/>
      <c r="M719"/>
      <c r="N719"/>
      <c r="O719"/>
    </row>
    <row r="720" spans="11:15" x14ac:dyDescent="0.25">
      <c r="K720"/>
      <c r="L720"/>
      <c r="M720"/>
      <c r="N720"/>
      <c r="O720"/>
    </row>
    <row r="721" spans="11:15" x14ac:dyDescent="0.25">
      <c r="K721"/>
      <c r="L721"/>
      <c r="M721"/>
      <c r="N721"/>
      <c r="O721"/>
    </row>
    <row r="722" spans="11:15" x14ac:dyDescent="0.25">
      <c r="K722"/>
      <c r="L722"/>
      <c r="M722"/>
      <c r="N722"/>
      <c r="O722"/>
    </row>
    <row r="723" spans="11:15" x14ac:dyDescent="0.25">
      <c r="K723"/>
      <c r="L723"/>
      <c r="M723"/>
      <c r="N723"/>
      <c r="O723"/>
    </row>
    <row r="724" spans="11:15" x14ac:dyDescent="0.25">
      <c r="K724"/>
      <c r="L724"/>
      <c r="M724"/>
      <c r="N724"/>
      <c r="O724"/>
    </row>
    <row r="725" spans="11:15" x14ac:dyDescent="0.25">
      <c r="K725"/>
      <c r="L725"/>
      <c r="M725"/>
      <c r="N725"/>
      <c r="O725"/>
    </row>
    <row r="726" spans="11:15" x14ac:dyDescent="0.25">
      <c r="K726"/>
      <c r="L726"/>
      <c r="M726"/>
      <c r="N726"/>
      <c r="O726"/>
    </row>
    <row r="727" spans="11:15" x14ac:dyDescent="0.25">
      <c r="K727"/>
      <c r="L727"/>
      <c r="M727"/>
      <c r="N727"/>
      <c r="O727"/>
    </row>
    <row r="728" spans="11:15" x14ac:dyDescent="0.25">
      <c r="K728"/>
      <c r="L728"/>
      <c r="M728"/>
      <c r="N728"/>
      <c r="O728"/>
    </row>
    <row r="729" spans="11:15" x14ac:dyDescent="0.25">
      <c r="K729"/>
      <c r="L729"/>
      <c r="M729"/>
      <c r="N729"/>
      <c r="O729"/>
    </row>
    <row r="730" spans="11:15" x14ac:dyDescent="0.25">
      <c r="K730"/>
      <c r="L730"/>
      <c r="M730"/>
      <c r="N730"/>
      <c r="O730"/>
    </row>
    <row r="731" spans="11:15" x14ac:dyDescent="0.25">
      <c r="K731"/>
      <c r="L731"/>
      <c r="M731"/>
      <c r="N731"/>
      <c r="O731"/>
    </row>
    <row r="732" spans="11:15" x14ac:dyDescent="0.25">
      <c r="K732"/>
      <c r="L732"/>
      <c r="M732"/>
      <c r="N732"/>
      <c r="O732"/>
    </row>
    <row r="733" spans="11:15" x14ac:dyDescent="0.25">
      <c r="K733"/>
      <c r="L733"/>
      <c r="M733"/>
      <c r="N733"/>
      <c r="O733"/>
    </row>
    <row r="734" spans="11:15" x14ac:dyDescent="0.25">
      <c r="K734"/>
      <c r="L734"/>
      <c r="M734"/>
      <c r="N734"/>
      <c r="O734"/>
    </row>
    <row r="735" spans="11:15" x14ac:dyDescent="0.25">
      <c r="K735"/>
      <c r="L735"/>
      <c r="M735"/>
      <c r="N735"/>
      <c r="O735"/>
    </row>
    <row r="736" spans="11:15" x14ac:dyDescent="0.25">
      <c r="K736"/>
      <c r="L736"/>
      <c r="M736"/>
      <c r="N736"/>
      <c r="O736"/>
    </row>
    <row r="737" spans="11:15" x14ac:dyDescent="0.25">
      <c r="K737"/>
      <c r="L737"/>
      <c r="M737"/>
      <c r="N737"/>
      <c r="O737"/>
    </row>
    <row r="738" spans="11:15" x14ac:dyDescent="0.25">
      <c r="K738"/>
      <c r="L738"/>
      <c r="M738"/>
      <c r="N738"/>
      <c r="O738"/>
    </row>
    <row r="739" spans="11:15" x14ac:dyDescent="0.25">
      <c r="K739"/>
      <c r="L739"/>
      <c r="M739"/>
      <c r="N739"/>
      <c r="O739"/>
    </row>
    <row r="740" spans="11:15" x14ac:dyDescent="0.25">
      <c r="K740"/>
      <c r="L740"/>
      <c r="M740"/>
      <c r="N740"/>
      <c r="O740"/>
    </row>
    <row r="741" spans="11:15" x14ac:dyDescent="0.25">
      <c r="K741"/>
      <c r="L741"/>
      <c r="M741"/>
      <c r="N741"/>
      <c r="O741"/>
    </row>
    <row r="742" spans="11:15" x14ac:dyDescent="0.25">
      <c r="K742"/>
      <c r="L742"/>
      <c r="M742"/>
      <c r="N742"/>
      <c r="O742"/>
    </row>
    <row r="743" spans="11:15" x14ac:dyDescent="0.25">
      <c r="K743"/>
      <c r="L743"/>
      <c r="M743"/>
      <c r="N743"/>
      <c r="O743"/>
    </row>
    <row r="744" spans="11:15" x14ac:dyDescent="0.25">
      <c r="K744"/>
      <c r="L744"/>
      <c r="M744"/>
      <c r="N744"/>
      <c r="O744"/>
    </row>
    <row r="745" spans="11:15" x14ac:dyDescent="0.25">
      <c r="K745"/>
      <c r="L745"/>
      <c r="M745"/>
      <c r="N745"/>
      <c r="O745"/>
    </row>
    <row r="746" spans="11:15" x14ac:dyDescent="0.25">
      <c r="K746"/>
      <c r="L746"/>
      <c r="M746"/>
      <c r="N746"/>
      <c r="O746"/>
    </row>
    <row r="747" spans="11:15" x14ac:dyDescent="0.25">
      <c r="K747"/>
      <c r="L747"/>
      <c r="M747"/>
      <c r="N747"/>
      <c r="O747"/>
    </row>
    <row r="748" spans="11:15" x14ac:dyDescent="0.25">
      <c r="K748"/>
      <c r="L748"/>
      <c r="M748"/>
      <c r="N748"/>
      <c r="O748"/>
    </row>
    <row r="749" spans="11:15" x14ac:dyDescent="0.25">
      <c r="K749"/>
      <c r="L749"/>
      <c r="M749"/>
      <c r="N749"/>
      <c r="O749"/>
    </row>
    <row r="750" spans="11:15" x14ac:dyDescent="0.25">
      <c r="K750"/>
      <c r="L750"/>
      <c r="M750"/>
      <c r="N750"/>
      <c r="O750"/>
    </row>
    <row r="751" spans="11:15" x14ac:dyDescent="0.25">
      <c r="K751"/>
      <c r="L751"/>
      <c r="M751"/>
      <c r="N751"/>
      <c r="O751"/>
    </row>
    <row r="752" spans="11:15" x14ac:dyDescent="0.25">
      <c r="K752"/>
      <c r="L752"/>
      <c r="M752"/>
      <c r="N752"/>
      <c r="O752"/>
    </row>
    <row r="753" spans="11:15" x14ac:dyDescent="0.25">
      <c r="K753"/>
      <c r="L753"/>
      <c r="M753"/>
      <c r="N753"/>
      <c r="O753"/>
    </row>
    <row r="754" spans="11:15" x14ac:dyDescent="0.25">
      <c r="K754"/>
      <c r="L754"/>
      <c r="M754"/>
      <c r="N754"/>
      <c r="O754"/>
    </row>
    <row r="755" spans="11:15" x14ac:dyDescent="0.25">
      <c r="K755"/>
      <c r="L755"/>
      <c r="M755"/>
      <c r="N755"/>
      <c r="O755"/>
    </row>
    <row r="756" spans="11:15" x14ac:dyDescent="0.25">
      <c r="K756"/>
      <c r="L756"/>
      <c r="M756"/>
      <c r="N756"/>
      <c r="O756"/>
    </row>
    <row r="757" spans="11:15" x14ac:dyDescent="0.25">
      <c r="K757"/>
      <c r="L757"/>
      <c r="M757"/>
      <c r="N757"/>
      <c r="O757"/>
    </row>
    <row r="758" spans="11:15" x14ac:dyDescent="0.25">
      <c r="K758"/>
      <c r="L758"/>
      <c r="M758"/>
      <c r="N758"/>
      <c r="O758"/>
    </row>
    <row r="759" spans="11:15" x14ac:dyDescent="0.25">
      <c r="K759"/>
      <c r="L759"/>
      <c r="M759"/>
      <c r="N759"/>
      <c r="O759"/>
    </row>
    <row r="760" spans="11:15" x14ac:dyDescent="0.25">
      <c r="K760"/>
      <c r="L760"/>
      <c r="M760"/>
      <c r="N760"/>
      <c r="O760"/>
    </row>
    <row r="761" spans="11:15" x14ac:dyDescent="0.25">
      <c r="K761"/>
      <c r="L761"/>
      <c r="M761"/>
      <c r="N761"/>
      <c r="O761"/>
    </row>
    <row r="762" spans="11:15" x14ac:dyDescent="0.25">
      <c r="K762"/>
      <c r="L762"/>
      <c r="M762"/>
      <c r="N762"/>
      <c r="O762"/>
    </row>
    <row r="763" spans="11:15" x14ac:dyDescent="0.25">
      <c r="K763"/>
      <c r="L763"/>
      <c r="M763"/>
      <c r="N763"/>
      <c r="O763"/>
    </row>
    <row r="764" spans="11:15" x14ac:dyDescent="0.25">
      <c r="K764"/>
      <c r="L764"/>
      <c r="M764"/>
      <c r="N764"/>
      <c r="O764"/>
    </row>
    <row r="765" spans="11:15" x14ac:dyDescent="0.25">
      <c r="K765"/>
      <c r="L765"/>
      <c r="M765"/>
      <c r="N765"/>
      <c r="O765"/>
    </row>
    <row r="766" spans="11:15" x14ac:dyDescent="0.25">
      <c r="K766"/>
      <c r="L766"/>
      <c r="M766"/>
      <c r="N766"/>
      <c r="O766"/>
    </row>
    <row r="767" spans="11:15" x14ac:dyDescent="0.25">
      <c r="K767"/>
      <c r="L767"/>
      <c r="M767"/>
      <c r="N767"/>
      <c r="O767"/>
    </row>
    <row r="768" spans="11:15" x14ac:dyDescent="0.25">
      <c r="K768"/>
      <c r="L768"/>
      <c r="M768"/>
      <c r="N768"/>
      <c r="O768"/>
    </row>
    <row r="769" spans="11:15" x14ac:dyDescent="0.25">
      <c r="K769"/>
      <c r="L769"/>
      <c r="M769"/>
      <c r="N769"/>
      <c r="O769"/>
    </row>
    <row r="770" spans="11:15" x14ac:dyDescent="0.25">
      <c r="K770"/>
      <c r="L770"/>
      <c r="M770"/>
      <c r="N770"/>
      <c r="O770"/>
    </row>
    <row r="771" spans="11:15" x14ac:dyDescent="0.25">
      <c r="K771"/>
      <c r="L771"/>
      <c r="M771"/>
      <c r="N771"/>
      <c r="O771"/>
    </row>
    <row r="772" spans="11:15" x14ac:dyDescent="0.25">
      <c r="K772"/>
      <c r="L772"/>
      <c r="M772"/>
      <c r="N772"/>
      <c r="O772"/>
    </row>
    <row r="773" spans="11:15" x14ac:dyDescent="0.25">
      <c r="K773"/>
      <c r="L773"/>
      <c r="M773"/>
      <c r="N773"/>
      <c r="O773"/>
    </row>
    <row r="774" spans="11:15" x14ac:dyDescent="0.25">
      <c r="K774"/>
      <c r="L774"/>
      <c r="M774"/>
      <c r="N774"/>
      <c r="O774"/>
    </row>
    <row r="775" spans="11:15" x14ac:dyDescent="0.25">
      <c r="K775"/>
      <c r="L775"/>
      <c r="M775"/>
      <c r="N775"/>
      <c r="O775"/>
    </row>
    <row r="776" spans="11:15" x14ac:dyDescent="0.25">
      <c r="K776"/>
      <c r="L776"/>
      <c r="M776"/>
      <c r="N776"/>
      <c r="O776"/>
    </row>
    <row r="777" spans="11:15" x14ac:dyDescent="0.25">
      <c r="K777"/>
      <c r="L777"/>
      <c r="M777"/>
      <c r="N777"/>
      <c r="O777"/>
    </row>
    <row r="778" spans="11:15" x14ac:dyDescent="0.25">
      <c r="K778"/>
      <c r="L778"/>
      <c r="M778"/>
      <c r="N778"/>
      <c r="O778"/>
    </row>
    <row r="779" spans="11:15" x14ac:dyDescent="0.25">
      <c r="K779"/>
      <c r="L779"/>
      <c r="M779"/>
      <c r="N779"/>
      <c r="O779"/>
    </row>
    <row r="780" spans="11:15" x14ac:dyDescent="0.25">
      <c r="K780"/>
      <c r="L780"/>
      <c r="M780"/>
      <c r="N780"/>
      <c r="O780"/>
    </row>
    <row r="781" spans="11:15" x14ac:dyDescent="0.25">
      <c r="K781"/>
      <c r="L781"/>
      <c r="M781"/>
      <c r="N781"/>
      <c r="O781"/>
    </row>
    <row r="782" spans="11:15" x14ac:dyDescent="0.25">
      <c r="K782"/>
      <c r="L782"/>
      <c r="M782"/>
      <c r="N782"/>
      <c r="O782"/>
    </row>
    <row r="783" spans="11:15" x14ac:dyDescent="0.25">
      <c r="K783"/>
      <c r="L783"/>
      <c r="M783"/>
      <c r="N783"/>
      <c r="O783"/>
    </row>
    <row r="784" spans="11:15" x14ac:dyDescent="0.25">
      <c r="K784"/>
      <c r="L784"/>
      <c r="M784"/>
      <c r="N784"/>
      <c r="O784"/>
    </row>
    <row r="785" spans="11:15" x14ac:dyDescent="0.25">
      <c r="K785"/>
      <c r="L785"/>
      <c r="M785"/>
      <c r="N785"/>
      <c r="O785"/>
    </row>
    <row r="786" spans="11:15" x14ac:dyDescent="0.25">
      <c r="K786"/>
      <c r="L786"/>
      <c r="M786"/>
      <c r="N786"/>
      <c r="O786"/>
    </row>
    <row r="787" spans="11:15" x14ac:dyDescent="0.25">
      <c r="K787"/>
      <c r="L787"/>
      <c r="M787"/>
      <c r="N787"/>
      <c r="O787"/>
    </row>
    <row r="788" spans="11:15" x14ac:dyDescent="0.25">
      <c r="K788"/>
      <c r="L788"/>
      <c r="M788"/>
      <c r="N788"/>
      <c r="O788"/>
    </row>
    <row r="789" spans="11:15" x14ac:dyDescent="0.25">
      <c r="K789"/>
      <c r="L789"/>
      <c r="M789"/>
      <c r="N789"/>
      <c r="O789"/>
    </row>
    <row r="790" spans="11:15" x14ac:dyDescent="0.25">
      <c r="K790"/>
      <c r="L790"/>
      <c r="M790"/>
      <c r="N790"/>
      <c r="O790"/>
    </row>
    <row r="791" spans="11:15" x14ac:dyDescent="0.25">
      <c r="K791"/>
      <c r="L791"/>
      <c r="M791"/>
      <c r="N791"/>
      <c r="O791"/>
    </row>
    <row r="792" spans="11:15" x14ac:dyDescent="0.25">
      <c r="K792"/>
      <c r="L792"/>
      <c r="M792"/>
      <c r="N792"/>
      <c r="O792"/>
    </row>
    <row r="793" spans="11:15" x14ac:dyDescent="0.25">
      <c r="K793"/>
      <c r="L793"/>
      <c r="M793"/>
      <c r="N793"/>
      <c r="O793"/>
    </row>
    <row r="794" spans="11:15" x14ac:dyDescent="0.25">
      <c r="K794"/>
      <c r="L794"/>
      <c r="M794"/>
      <c r="N794"/>
      <c r="O794"/>
    </row>
    <row r="795" spans="11:15" x14ac:dyDescent="0.25">
      <c r="K795"/>
      <c r="L795"/>
      <c r="M795"/>
      <c r="N795"/>
      <c r="O795"/>
    </row>
    <row r="796" spans="11:15" x14ac:dyDescent="0.25">
      <c r="K796"/>
      <c r="L796"/>
      <c r="M796"/>
      <c r="N796"/>
      <c r="O796"/>
    </row>
    <row r="797" spans="11:15" x14ac:dyDescent="0.25">
      <c r="K797"/>
      <c r="L797"/>
      <c r="M797"/>
      <c r="N797"/>
      <c r="O797"/>
    </row>
    <row r="798" spans="11:15" x14ac:dyDescent="0.25">
      <c r="K798"/>
      <c r="L798"/>
      <c r="M798"/>
      <c r="N798"/>
      <c r="O798"/>
    </row>
    <row r="799" spans="11:15" x14ac:dyDescent="0.25">
      <c r="K799"/>
      <c r="L799"/>
      <c r="M799"/>
      <c r="N799"/>
      <c r="O799"/>
    </row>
    <row r="800" spans="11:15" x14ac:dyDescent="0.25">
      <c r="K800"/>
      <c r="L800"/>
      <c r="M800"/>
      <c r="N800"/>
      <c r="O800"/>
    </row>
    <row r="801" spans="11:15" x14ac:dyDescent="0.25">
      <c r="K801"/>
      <c r="L801"/>
      <c r="M801"/>
      <c r="N801"/>
      <c r="O801"/>
    </row>
    <row r="802" spans="11:15" x14ac:dyDescent="0.25">
      <c r="K802"/>
      <c r="L802"/>
      <c r="M802"/>
      <c r="N802"/>
      <c r="O802"/>
    </row>
    <row r="803" spans="11:15" x14ac:dyDescent="0.25">
      <c r="K803"/>
      <c r="L803"/>
      <c r="M803"/>
      <c r="N803"/>
      <c r="O803"/>
    </row>
    <row r="804" spans="11:15" x14ac:dyDescent="0.25">
      <c r="K804"/>
      <c r="L804"/>
      <c r="M804"/>
      <c r="N804"/>
      <c r="O804"/>
    </row>
    <row r="805" spans="11:15" x14ac:dyDescent="0.25">
      <c r="K805"/>
      <c r="L805"/>
      <c r="M805"/>
      <c r="N805"/>
      <c r="O805"/>
    </row>
    <row r="806" spans="11:15" x14ac:dyDescent="0.25">
      <c r="K806"/>
      <c r="L806"/>
      <c r="M806"/>
      <c r="N806"/>
      <c r="O806"/>
    </row>
    <row r="807" spans="11:15" x14ac:dyDescent="0.25">
      <c r="K807"/>
      <c r="L807"/>
      <c r="M807"/>
      <c r="N807"/>
      <c r="O807"/>
    </row>
    <row r="808" spans="11:15" x14ac:dyDescent="0.25">
      <c r="K808"/>
      <c r="L808"/>
      <c r="M808"/>
      <c r="N808"/>
      <c r="O808"/>
    </row>
    <row r="809" spans="11:15" x14ac:dyDescent="0.25">
      <c r="K809"/>
      <c r="L809"/>
      <c r="M809"/>
      <c r="N809"/>
      <c r="O809"/>
    </row>
    <row r="810" spans="11:15" x14ac:dyDescent="0.25">
      <c r="K810"/>
      <c r="L810"/>
      <c r="M810"/>
      <c r="N810"/>
      <c r="O810"/>
    </row>
    <row r="811" spans="11:15" x14ac:dyDescent="0.25">
      <c r="K811"/>
      <c r="L811"/>
      <c r="M811"/>
      <c r="N811"/>
      <c r="O811"/>
    </row>
    <row r="812" spans="11:15" x14ac:dyDescent="0.25">
      <c r="K812"/>
      <c r="L812"/>
      <c r="M812"/>
      <c r="N812"/>
      <c r="O812"/>
    </row>
    <row r="813" spans="11:15" x14ac:dyDescent="0.25">
      <c r="K813"/>
      <c r="L813"/>
      <c r="M813"/>
      <c r="N813"/>
      <c r="O813"/>
    </row>
    <row r="814" spans="11:15" x14ac:dyDescent="0.25">
      <c r="K814"/>
      <c r="L814"/>
      <c r="M814"/>
      <c r="N814"/>
      <c r="O814"/>
    </row>
    <row r="815" spans="11:15" x14ac:dyDescent="0.25">
      <c r="K815"/>
      <c r="L815"/>
      <c r="M815"/>
      <c r="N815"/>
      <c r="O815"/>
    </row>
    <row r="816" spans="11:15" x14ac:dyDescent="0.25">
      <c r="K816"/>
      <c r="L816"/>
      <c r="M816"/>
      <c r="N816"/>
      <c r="O816"/>
    </row>
    <row r="817" spans="11:15" x14ac:dyDescent="0.25">
      <c r="K817"/>
      <c r="L817"/>
      <c r="M817"/>
      <c r="N817"/>
      <c r="O817"/>
    </row>
    <row r="818" spans="11:15" x14ac:dyDescent="0.25">
      <c r="K818"/>
      <c r="L818"/>
      <c r="M818"/>
      <c r="N818"/>
      <c r="O818"/>
    </row>
    <row r="819" spans="11:15" x14ac:dyDescent="0.25">
      <c r="K819"/>
      <c r="L819"/>
      <c r="M819"/>
      <c r="N819"/>
      <c r="O819"/>
    </row>
    <row r="820" spans="11:15" x14ac:dyDescent="0.25">
      <c r="K820"/>
      <c r="L820"/>
      <c r="M820"/>
      <c r="N820"/>
      <c r="O820"/>
    </row>
    <row r="821" spans="11:15" x14ac:dyDescent="0.25">
      <c r="K821"/>
      <c r="L821"/>
      <c r="M821"/>
      <c r="N821"/>
      <c r="O821"/>
    </row>
    <row r="822" spans="11:15" x14ac:dyDescent="0.25">
      <c r="K822"/>
      <c r="L822"/>
      <c r="M822"/>
      <c r="N822"/>
      <c r="O822"/>
    </row>
    <row r="823" spans="11:15" x14ac:dyDescent="0.25">
      <c r="K823"/>
      <c r="L823"/>
      <c r="M823"/>
      <c r="N823"/>
      <c r="O823"/>
    </row>
    <row r="824" spans="11:15" x14ac:dyDescent="0.25">
      <c r="K824"/>
      <c r="L824"/>
      <c r="M824"/>
      <c r="N824"/>
      <c r="O824"/>
    </row>
    <row r="825" spans="11:15" x14ac:dyDescent="0.25">
      <c r="K825"/>
      <c r="L825"/>
      <c r="M825"/>
      <c r="N825"/>
      <c r="O825"/>
    </row>
    <row r="826" spans="11:15" x14ac:dyDescent="0.25">
      <c r="K826"/>
      <c r="L826"/>
      <c r="M826"/>
      <c r="N826"/>
      <c r="O826"/>
    </row>
    <row r="827" spans="11:15" x14ac:dyDescent="0.25">
      <c r="K827"/>
      <c r="L827"/>
      <c r="M827"/>
      <c r="N827"/>
      <c r="O827"/>
    </row>
    <row r="828" spans="11:15" x14ac:dyDescent="0.25">
      <c r="K828"/>
      <c r="L828"/>
      <c r="M828"/>
      <c r="N828"/>
      <c r="O828"/>
    </row>
    <row r="829" spans="11:15" x14ac:dyDescent="0.25">
      <c r="K829"/>
      <c r="L829"/>
      <c r="M829"/>
      <c r="N829"/>
      <c r="O829"/>
    </row>
    <row r="830" spans="11:15" x14ac:dyDescent="0.25">
      <c r="K830"/>
      <c r="L830"/>
      <c r="M830"/>
      <c r="N830"/>
      <c r="O830"/>
    </row>
    <row r="831" spans="11:15" x14ac:dyDescent="0.25">
      <c r="K831"/>
      <c r="L831"/>
      <c r="M831"/>
      <c r="N831"/>
      <c r="O831"/>
    </row>
    <row r="832" spans="11:15" x14ac:dyDescent="0.25">
      <c r="K832"/>
      <c r="L832"/>
      <c r="M832"/>
      <c r="N832"/>
      <c r="O832"/>
    </row>
    <row r="833" spans="11:15" x14ac:dyDescent="0.25">
      <c r="K833"/>
      <c r="L833"/>
      <c r="M833"/>
      <c r="N833"/>
      <c r="O833"/>
    </row>
    <row r="834" spans="11:15" x14ac:dyDescent="0.25">
      <c r="K834"/>
      <c r="L834"/>
      <c r="M834"/>
      <c r="N834"/>
      <c r="O834"/>
    </row>
    <row r="835" spans="11:15" x14ac:dyDescent="0.25">
      <c r="K835"/>
      <c r="L835"/>
      <c r="M835"/>
      <c r="N835"/>
      <c r="O835"/>
    </row>
    <row r="836" spans="11:15" x14ac:dyDescent="0.25">
      <c r="K836"/>
      <c r="L836"/>
      <c r="M836"/>
      <c r="N836"/>
      <c r="O836"/>
    </row>
    <row r="837" spans="11:15" x14ac:dyDescent="0.25">
      <c r="K837"/>
      <c r="L837"/>
      <c r="M837"/>
      <c r="N837"/>
      <c r="O837"/>
    </row>
    <row r="838" spans="11:15" x14ac:dyDescent="0.25">
      <c r="K838"/>
      <c r="L838"/>
      <c r="M838"/>
      <c r="N838"/>
      <c r="O838"/>
    </row>
    <row r="839" spans="11:15" x14ac:dyDescent="0.25">
      <c r="K839"/>
      <c r="L839"/>
      <c r="M839"/>
      <c r="N839"/>
      <c r="O839"/>
    </row>
    <row r="840" spans="11:15" x14ac:dyDescent="0.25">
      <c r="K840"/>
      <c r="L840"/>
      <c r="M840"/>
      <c r="N840"/>
      <c r="O840"/>
    </row>
    <row r="841" spans="11:15" x14ac:dyDescent="0.25">
      <c r="K841"/>
      <c r="L841"/>
      <c r="M841"/>
      <c r="N841"/>
      <c r="O841"/>
    </row>
    <row r="842" spans="11:15" x14ac:dyDescent="0.25">
      <c r="K842"/>
      <c r="L842"/>
      <c r="M842"/>
      <c r="N842"/>
      <c r="O842"/>
    </row>
    <row r="843" spans="11:15" x14ac:dyDescent="0.25">
      <c r="K843"/>
      <c r="L843"/>
      <c r="M843"/>
      <c r="N843"/>
      <c r="O843"/>
    </row>
    <row r="844" spans="11:15" x14ac:dyDescent="0.25">
      <c r="K844"/>
      <c r="L844"/>
      <c r="M844"/>
      <c r="N844"/>
      <c r="O844"/>
    </row>
    <row r="845" spans="11:15" x14ac:dyDescent="0.25">
      <c r="K845"/>
      <c r="L845"/>
      <c r="M845"/>
      <c r="N845"/>
      <c r="O845"/>
    </row>
    <row r="846" spans="11:15" x14ac:dyDescent="0.25">
      <c r="K846"/>
      <c r="L846"/>
      <c r="M846"/>
      <c r="N846"/>
      <c r="O846"/>
    </row>
    <row r="847" spans="11:15" x14ac:dyDescent="0.25">
      <c r="K847"/>
      <c r="L847"/>
      <c r="M847"/>
      <c r="N847"/>
      <c r="O847"/>
    </row>
    <row r="848" spans="11:15" x14ac:dyDescent="0.25">
      <c r="K848"/>
      <c r="L848"/>
      <c r="M848"/>
      <c r="N848"/>
      <c r="O848"/>
    </row>
    <row r="849" spans="11:15" x14ac:dyDescent="0.25">
      <c r="K849"/>
      <c r="L849"/>
      <c r="M849"/>
      <c r="N849"/>
      <c r="O849"/>
    </row>
    <row r="850" spans="11:15" x14ac:dyDescent="0.25">
      <c r="K850"/>
      <c r="L850"/>
      <c r="M850"/>
      <c r="N850"/>
      <c r="O850"/>
    </row>
    <row r="851" spans="11:15" x14ac:dyDescent="0.25">
      <c r="K851"/>
      <c r="L851"/>
      <c r="M851"/>
      <c r="N851"/>
      <c r="O851"/>
    </row>
    <row r="852" spans="11:15" x14ac:dyDescent="0.25">
      <c r="K852"/>
      <c r="L852"/>
      <c r="M852"/>
      <c r="N852"/>
      <c r="O852"/>
    </row>
    <row r="853" spans="11:15" x14ac:dyDescent="0.25">
      <c r="K853"/>
      <c r="L853"/>
      <c r="M853"/>
      <c r="N853"/>
      <c r="O853"/>
    </row>
    <row r="854" spans="11:15" x14ac:dyDescent="0.25">
      <c r="K854"/>
      <c r="L854"/>
      <c r="M854"/>
      <c r="N854"/>
      <c r="O854"/>
    </row>
    <row r="855" spans="11:15" x14ac:dyDescent="0.25">
      <c r="K855"/>
      <c r="L855"/>
      <c r="M855"/>
      <c r="N855"/>
      <c r="O855"/>
    </row>
    <row r="856" spans="11:15" x14ac:dyDescent="0.25">
      <c r="K856"/>
      <c r="L856"/>
      <c r="M856"/>
      <c r="N856"/>
      <c r="O856"/>
    </row>
    <row r="857" spans="11:15" x14ac:dyDescent="0.25">
      <c r="K857"/>
      <c r="L857"/>
      <c r="M857"/>
      <c r="N857"/>
      <c r="O857"/>
    </row>
    <row r="858" spans="11:15" x14ac:dyDescent="0.25">
      <c r="K858"/>
      <c r="L858"/>
      <c r="M858"/>
      <c r="N858"/>
      <c r="O858"/>
    </row>
    <row r="859" spans="11:15" x14ac:dyDescent="0.25">
      <c r="K859"/>
      <c r="L859"/>
      <c r="M859"/>
      <c r="N859"/>
      <c r="O859"/>
    </row>
    <row r="860" spans="11:15" x14ac:dyDescent="0.25">
      <c r="K860"/>
      <c r="L860"/>
      <c r="M860"/>
      <c r="N860"/>
      <c r="O860"/>
    </row>
    <row r="861" spans="11:15" x14ac:dyDescent="0.25">
      <c r="K861"/>
      <c r="L861"/>
      <c r="M861"/>
      <c r="N861"/>
      <c r="O861"/>
    </row>
    <row r="862" spans="11:15" x14ac:dyDescent="0.25">
      <c r="K862"/>
      <c r="L862"/>
      <c r="M862"/>
      <c r="N862"/>
      <c r="O862"/>
    </row>
    <row r="863" spans="11:15" x14ac:dyDescent="0.25">
      <c r="K863"/>
      <c r="L863"/>
      <c r="M863"/>
      <c r="N863"/>
      <c r="O863"/>
    </row>
    <row r="864" spans="11:15" x14ac:dyDescent="0.25">
      <c r="K864"/>
      <c r="L864"/>
      <c r="M864"/>
      <c r="N864"/>
      <c r="O864"/>
    </row>
    <row r="865" spans="11:15" x14ac:dyDescent="0.25">
      <c r="K865"/>
      <c r="L865"/>
      <c r="M865"/>
      <c r="N865"/>
      <c r="O865"/>
    </row>
    <row r="866" spans="11:15" x14ac:dyDescent="0.25">
      <c r="K866"/>
      <c r="L866"/>
      <c r="M866"/>
      <c r="N866"/>
      <c r="O866"/>
    </row>
    <row r="867" spans="11:15" x14ac:dyDescent="0.25">
      <c r="K867"/>
      <c r="L867"/>
      <c r="M867"/>
      <c r="N867"/>
      <c r="O867"/>
    </row>
    <row r="868" spans="11:15" x14ac:dyDescent="0.25">
      <c r="K868"/>
      <c r="L868"/>
      <c r="M868"/>
      <c r="N868"/>
      <c r="O868"/>
    </row>
    <row r="869" spans="11:15" x14ac:dyDescent="0.25">
      <c r="K869"/>
      <c r="L869"/>
      <c r="M869"/>
      <c r="N869"/>
      <c r="O869"/>
    </row>
    <row r="870" spans="11:15" x14ac:dyDescent="0.25">
      <c r="K870"/>
      <c r="L870"/>
      <c r="M870"/>
      <c r="N870"/>
      <c r="O870"/>
    </row>
    <row r="871" spans="11:15" x14ac:dyDescent="0.25">
      <c r="K871"/>
      <c r="L871"/>
      <c r="M871"/>
      <c r="N871"/>
      <c r="O871"/>
    </row>
    <row r="872" spans="11:15" x14ac:dyDescent="0.25">
      <c r="K872"/>
      <c r="L872"/>
      <c r="M872"/>
      <c r="N872"/>
      <c r="O872"/>
    </row>
    <row r="873" spans="11:15" x14ac:dyDescent="0.25">
      <c r="K873"/>
      <c r="L873"/>
      <c r="M873"/>
      <c r="N873"/>
      <c r="O873"/>
    </row>
    <row r="874" spans="11:15" x14ac:dyDescent="0.25">
      <c r="K874"/>
      <c r="L874"/>
      <c r="M874"/>
      <c r="N874"/>
      <c r="O874"/>
    </row>
    <row r="875" spans="11:15" x14ac:dyDescent="0.25">
      <c r="K875"/>
      <c r="L875"/>
      <c r="M875"/>
      <c r="N875"/>
      <c r="O875"/>
    </row>
    <row r="876" spans="11:15" x14ac:dyDescent="0.25">
      <c r="K876"/>
      <c r="L876"/>
      <c r="M876"/>
      <c r="N876"/>
      <c r="O876"/>
    </row>
    <row r="877" spans="11:15" x14ac:dyDescent="0.25">
      <c r="K877"/>
      <c r="L877"/>
      <c r="M877"/>
      <c r="N877"/>
      <c r="O877"/>
    </row>
    <row r="878" spans="11:15" x14ac:dyDescent="0.25">
      <c r="K878"/>
      <c r="L878"/>
      <c r="M878"/>
      <c r="N878"/>
      <c r="O878"/>
    </row>
    <row r="879" spans="11:15" x14ac:dyDescent="0.25">
      <c r="K879"/>
      <c r="L879"/>
      <c r="M879"/>
      <c r="N879"/>
      <c r="O879"/>
    </row>
    <row r="880" spans="11:15" x14ac:dyDescent="0.25">
      <c r="K880"/>
      <c r="L880"/>
      <c r="M880"/>
      <c r="N880"/>
      <c r="O880"/>
    </row>
    <row r="881" spans="11:15" x14ac:dyDescent="0.25">
      <c r="K881"/>
      <c r="L881"/>
      <c r="M881"/>
      <c r="N881"/>
      <c r="O881"/>
    </row>
    <row r="882" spans="11:15" x14ac:dyDescent="0.25">
      <c r="K882"/>
      <c r="L882"/>
      <c r="M882"/>
      <c r="N882"/>
      <c r="O882"/>
    </row>
    <row r="883" spans="11:15" x14ac:dyDescent="0.25">
      <c r="K883"/>
      <c r="L883"/>
      <c r="M883"/>
      <c r="N883"/>
      <c r="O883"/>
    </row>
    <row r="884" spans="11:15" x14ac:dyDescent="0.25">
      <c r="K884"/>
      <c r="L884"/>
      <c r="M884"/>
      <c r="N884"/>
      <c r="O884"/>
    </row>
    <row r="885" spans="11:15" x14ac:dyDescent="0.25">
      <c r="K885"/>
      <c r="L885"/>
      <c r="M885"/>
      <c r="N885"/>
      <c r="O885"/>
    </row>
    <row r="886" spans="11:15" x14ac:dyDescent="0.25">
      <c r="K886"/>
      <c r="L886"/>
      <c r="M886"/>
      <c r="N886"/>
      <c r="O886"/>
    </row>
    <row r="887" spans="11:15" x14ac:dyDescent="0.25">
      <c r="K887"/>
      <c r="L887"/>
      <c r="M887"/>
      <c r="N887"/>
      <c r="O887"/>
    </row>
    <row r="888" spans="11:15" x14ac:dyDescent="0.25">
      <c r="K888"/>
      <c r="L888"/>
      <c r="M888"/>
      <c r="N888"/>
      <c r="O888"/>
    </row>
    <row r="889" spans="11:15" x14ac:dyDescent="0.25">
      <c r="K889"/>
      <c r="L889"/>
      <c r="M889"/>
      <c r="N889"/>
      <c r="O889"/>
    </row>
    <row r="890" spans="11:15" x14ac:dyDescent="0.25">
      <c r="K890"/>
      <c r="L890"/>
      <c r="M890"/>
      <c r="N890"/>
      <c r="O890"/>
    </row>
    <row r="891" spans="11:15" x14ac:dyDescent="0.25">
      <c r="K891"/>
      <c r="L891"/>
      <c r="M891"/>
      <c r="N891"/>
      <c r="O891"/>
    </row>
    <row r="892" spans="11:15" x14ac:dyDescent="0.25">
      <c r="K892"/>
      <c r="L892"/>
      <c r="M892"/>
      <c r="N892"/>
      <c r="O892"/>
    </row>
    <row r="893" spans="11:15" x14ac:dyDescent="0.25">
      <c r="K893"/>
      <c r="L893"/>
      <c r="M893"/>
      <c r="N893"/>
      <c r="O893"/>
    </row>
    <row r="894" spans="11:15" x14ac:dyDescent="0.25">
      <c r="K894"/>
      <c r="L894"/>
      <c r="M894"/>
      <c r="N894"/>
      <c r="O894"/>
    </row>
    <row r="895" spans="11:15" x14ac:dyDescent="0.25">
      <c r="K895"/>
      <c r="L895"/>
      <c r="M895"/>
      <c r="N895"/>
      <c r="O895"/>
    </row>
    <row r="896" spans="11:15" x14ac:dyDescent="0.25">
      <c r="K896"/>
      <c r="L896"/>
      <c r="M896"/>
      <c r="N896"/>
      <c r="O896"/>
    </row>
    <row r="897" spans="11:15" x14ac:dyDescent="0.25">
      <c r="K897"/>
      <c r="L897"/>
      <c r="M897"/>
      <c r="N897"/>
      <c r="O897"/>
    </row>
    <row r="898" spans="11:15" x14ac:dyDescent="0.25">
      <c r="K898"/>
      <c r="L898"/>
      <c r="M898"/>
      <c r="N898"/>
      <c r="O898"/>
    </row>
    <row r="899" spans="11:15" x14ac:dyDescent="0.25">
      <c r="K899"/>
      <c r="L899"/>
      <c r="M899"/>
      <c r="N899"/>
      <c r="O899"/>
    </row>
    <row r="900" spans="11:15" x14ac:dyDescent="0.25">
      <c r="K900"/>
      <c r="L900"/>
      <c r="M900"/>
      <c r="N900"/>
      <c r="O900"/>
    </row>
    <row r="901" spans="11:15" x14ac:dyDescent="0.25">
      <c r="K901"/>
      <c r="L901"/>
      <c r="M901"/>
      <c r="N901"/>
      <c r="O901"/>
    </row>
    <row r="902" spans="11:15" x14ac:dyDescent="0.25">
      <c r="K902"/>
      <c r="L902"/>
      <c r="M902"/>
      <c r="N902"/>
      <c r="O902"/>
    </row>
    <row r="903" spans="11:15" x14ac:dyDescent="0.25">
      <c r="K903"/>
      <c r="L903"/>
      <c r="M903"/>
      <c r="N903"/>
      <c r="O903"/>
    </row>
    <row r="904" spans="11:15" x14ac:dyDescent="0.25">
      <c r="K904"/>
      <c r="L904"/>
      <c r="M904"/>
      <c r="N904"/>
      <c r="O904"/>
    </row>
    <row r="905" spans="11:15" x14ac:dyDescent="0.25">
      <c r="K905"/>
      <c r="L905"/>
      <c r="M905"/>
      <c r="N905"/>
      <c r="O905"/>
    </row>
    <row r="906" spans="11:15" x14ac:dyDescent="0.25">
      <c r="K906"/>
      <c r="L906"/>
      <c r="M906"/>
      <c r="N906"/>
      <c r="O906"/>
    </row>
    <row r="907" spans="11:15" x14ac:dyDescent="0.25">
      <c r="K907"/>
      <c r="L907"/>
      <c r="M907"/>
      <c r="N907"/>
      <c r="O907"/>
    </row>
    <row r="908" spans="11:15" x14ac:dyDescent="0.25">
      <c r="K908"/>
      <c r="L908"/>
      <c r="M908"/>
      <c r="N908"/>
      <c r="O908"/>
    </row>
    <row r="909" spans="11:15" x14ac:dyDescent="0.25">
      <c r="K909"/>
      <c r="L909"/>
      <c r="M909"/>
      <c r="N909"/>
      <c r="O909"/>
    </row>
    <row r="910" spans="11:15" x14ac:dyDescent="0.25">
      <c r="K910"/>
      <c r="L910"/>
      <c r="M910"/>
      <c r="N910"/>
      <c r="O910"/>
    </row>
    <row r="911" spans="11:15" x14ac:dyDescent="0.25">
      <c r="K911"/>
      <c r="L911"/>
      <c r="M911"/>
      <c r="N911"/>
      <c r="O911"/>
    </row>
    <row r="912" spans="11:15" x14ac:dyDescent="0.25">
      <c r="K912"/>
      <c r="L912"/>
      <c r="M912"/>
      <c r="N912"/>
      <c r="O912"/>
    </row>
    <row r="913" spans="11:15" x14ac:dyDescent="0.25">
      <c r="K913"/>
      <c r="L913"/>
      <c r="M913"/>
      <c r="N913"/>
      <c r="O913"/>
    </row>
    <row r="914" spans="11:15" x14ac:dyDescent="0.25">
      <c r="K914"/>
      <c r="L914"/>
      <c r="M914"/>
      <c r="N914"/>
      <c r="O914"/>
    </row>
    <row r="915" spans="11:15" x14ac:dyDescent="0.25">
      <c r="K915"/>
      <c r="L915"/>
      <c r="M915"/>
      <c r="N915"/>
      <c r="O915"/>
    </row>
    <row r="916" spans="11:15" x14ac:dyDescent="0.25">
      <c r="K916"/>
      <c r="L916"/>
      <c r="M916"/>
      <c r="N916"/>
      <c r="O916"/>
    </row>
    <row r="917" spans="11:15" x14ac:dyDescent="0.25">
      <c r="K917"/>
      <c r="L917"/>
      <c r="M917"/>
      <c r="N917"/>
      <c r="O917"/>
    </row>
    <row r="918" spans="11:15" x14ac:dyDescent="0.25">
      <c r="K918"/>
      <c r="L918"/>
      <c r="M918"/>
      <c r="N918"/>
      <c r="O918"/>
    </row>
    <row r="919" spans="11:15" x14ac:dyDescent="0.25">
      <c r="K919"/>
      <c r="L919"/>
      <c r="M919"/>
      <c r="N919"/>
      <c r="O919"/>
    </row>
    <row r="920" spans="11:15" x14ac:dyDescent="0.25">
      <c r="K920"/>
      <c r="L920"/>
      <c r="M920"/>
      <c r="N920"/>
      <c r="O920"/>
    </row>
    <row r="921" spans="11:15" x14ac:dyDescent="0.25">
      <c r="K921"/>
      <c r="L921"/>
      <c r="M921"/>
      <c r="N921"/>
      <c r="O921"/>
    </row>
    <row r="922" spans="11:15" x14ac:dyDescent="0.25">
      <c r="K922"/>
      <c r="L922"/>
      <c r="M922"/>
      <c r="N922"/>
      <c r="O922"/>
    </row>
    <row r="923" spans="11:15" x14ac:dyDescent="0.25">
      <c r="K923"/>
      <c r="L923"/>
      <c r="M923"/>
      <c r="N923"/>
      <c r="O923"/>
    </row>
    <row r="924" spans="11:15" x14ac:dyDescent="0.25">
      <c r="K924"/>
      <c r="L924"/>
      <c r="M924"/>
      <c r="N924"/>
      <c r="O924"/>
    </row>
    <row r="925" spans="11:15" x14ac:dyDescent="0.25">
      <c r="K925"/>
      <c r="L925"/>
      <c r="M925"/>
      <c r="N925"/>
      <c r="O925"/>
    </row>
    <row r="926" spans="11:15" x14ac:dyDescent="0.25">
      <c r="K926"/>
      <c r="L926"/>
      <c r="M926"/>
      <c r="N926"/>
      <c r="O926"/>
    </row>
    <row r="927" spans="11:15" x14ac:dyDescent="0.25">
      <c r="K927"/>
      <c r="L927"/>
      <c r="M927"/>
      <c r="N927"/>
      <c r="O927"/>
    </row>
    <row r="928" spans="11:15" x14ac:dyDescent="0.25">
      <c r="K928"/>
      <c r="L928"/>
      <c r="M928"/>
      <c r="N928"/>
      <c r="O928"/>
    </row>
    <row r="929" spans="11:15" x14ac:dyDescent="0.25">
      <c r="K929"/>
      <c r="L929"/>
      <c r="M929"/>
      <c r="N929"/>
      <c r="O929"/>
    </row>
    <row r="930" spans="11:15" x14ac:dyDescent="0.25">
      <c r="K930"/>
      <c r="L930"/>
      <c r="M930"/>
      <c r="N930"/>
      <c r="O930"/>
    </row>
    <row r="931" spans="11:15" x14ac:dyDescent="0.25">
      <c r="K931"/>
      <c r="L931"/>
      <c r="M931"/>
      <c r="N931"/>
      <c r="O931"/>
    </row>
    <row r="932" spans="11:15" x14ac:dyDescent="0.25">
      <c r="K932"/>
      <c r="L932"/>
      <c r="M932"/>
      <c r="N932"/>
      <c r="O932"/>
    </row>
    <row r="933" spans="11:15" x14ac:dyDescent="0.25">
      <c r="K933"/>
      <c r="L933"/>
      <c r="M933"/>
      <c r="N933"/>
      <c r="O933"/>
    </row>
    <row r="934" spans="11:15" x14ac:dyDescent="0.25">
      <c r="K934"/>
      <c r="L934"/>
      <c r="M934"/>
      <c r="N934"/>
      <c r="O934"/>
    </row>
    <row r="935" spans="11:15" x14ac:dyDescent="0.25">
      <c r="K935"/>
      <c r="L935"/>
      <c r="M935"/>
      <c r="N935"/>
      <c r="O935"/>
    </row>
    <row r="936" spans="11:15" x14ac:dyDescent="0.25">
      <c r="K936"/>
      <c r="L936"/>
      <c r="M936"/>
      <c r="N936"/>
      <c r="O936"/>
    </row>
    <row r="937" spans="11:15" x14ac:dyDescent="0.25">
      <c r="K937"/>
      <c r="L937"/>
      <c r="M937"/>
      <c r="N937"/>
      <c r="O937"/>
    </row>
    <row r="938" spans="11:15" x14ac:dyDescent="0.25">
      <c r="K938"/>
      <c r="L938"/>
      <c r="M938"/>
      <c r="N938"/>
      <c r="O938"/>
    </row>
    <row r="939" spans="11:15" x14ac:dyDescent="0.25">
      <c r="K939"/>
      <c r="L939"/>
      <c r="M939"/>
      <c r="N939"/>
      <c r="O939"/>
    </row>
    <row r="940" spans="11:15" x14ac:dyDescent="0.25">
      <c r="K940"/>
      <c r="L940"/>
      <c r="M940"/>
      <c r="N940"/>
      <c r="O940"/>
    </row>
    <row r="941" spans="11:15" x14ac:dyDescent="0.25">
      <c r="K941"/>
      <c r="L941"/>
      <c r="M941"/>
      <c r="N941"/>
      <c r="O941"/>
    </row>
    <row r="942" spans="11:15" x14ac:dyDescent="0.25">
      <c r="K942"/>
      <c r="L942"/>
      <c r="M942"/>
      <c r="N942"/>
      <c r="O942"/>
    </row>
    <row r="943" spans="11:15" x14ac:dyDescent="0.25">
      <c r="K943"/>
      <c r="L943"/>
      <c r="M943"/>
      <c r="N943"/>
      <c r="O943"/>
    </row>
    <row r="944" spans="11:15" x14ac:dyDescent="0.25">
      <c r="K944"/>
      <c r="L944"/>
      <c r="M944"/>
      <c r="N944"/>
      <c r="O944"/>
    </row>
    <row r="945" spans="11:15" x14ac:dyDescent="0.25">
      <c r="K945"/>
      <c r="L945"/>
      <c r="M945"/>
      <c r="N945"/>
      <c r="O945"/>
    </row>
    <row r="946" spans="11:15" x14ac:dyDescent="0.25">
      <c r="K946"/>
      <c r="L946"/>
      <c r="M946"/>
      <c r="N946"/>
      <c r="O946"/>
    </row>
    <row r="947" spans="11:15" x14ac:dyDescent="0.25">
      <c r="K947"/>
      <c r="L947"/>
      <c r="M947"/>
      <c r="N947"/>
      <c r="O947"/>
    </row>
    <row r="948" spans="11:15" x14ac:dyDescent="0.25">
      <c r="K948"/>
      <c r="L948"/>
      <c r="M948"/>
      <c r="N948"/>
      <c r="O948"/>
    </row>
    <row r="949" spans="11:15" x14ac:dyDescent="0.25">
      <c r="K949"/>
      <c r="L949"/>
      <c r="M949"/>
      <c r="N949"/>
      <c r="O949"/>
    </row>
    <row r="950" spans="11:15" x14ac:dyDescent="0.25">
      <c r="K950"/>
      <c r="L950"/>
      <c r="M950"/>
      <c r="N950"/>
      <c r="O950"/>
    </row>
    <row r="951" spans="11:15" x14ac:dyDescent="0.25">
      <c r="K951"/>
      <c r="L951"/>
      <c r="M951"/>
      <c r="N951"/>
      <c r="O951"/>
    </row>
    <row r="952" spans="11:15" x14ac:dyDescent="0.25">
      <c r="K952"/>
      <c r="L952"/>
      <c r="M952"/>
      <c r="N952"/>
      <c r="O952"/>
    </row>
    <row r="953" spans="11:15" x14ac:dyDescent="0.25">
      <c r="K953"/>
      <c r="L953"/>
      <c r="M953"/>
      <c r="N953"/>
      <c r="O953"/>
    </row>
    <row r="954" spans="11:15" x14ac:dyDescent="0.25">
      <c r="K954"/>
      <c r="L954"/>
      <c r="M954"/>
      <c r="N954"/>
      <c r="O954"/>
    </row>
    <row r="955" spans="11:15" x14ac:dyDescent="0.25">
      <c r="K955"/>
      <c r="L955"/>
      <c r="M955"/>
      <c r="N955"/>
      <c r="O955"/>
    </row>
    <row r="956" spans="11:15" x14ac:dyDescent="0.25">
      <c r="K956"/>
      <c r="L956"/>
      <c r="M956"/>
      <c r="N956"/>
      <c r="O956"/>
    </row>
    <row r="957" spans="11:15" x14ac:dyDescent="0.25">
      <c r="K957"/>
      <c r="L957"/>
      <c r="M957"/>
      <c r="N957"/>
      <c r="O957"/>
    </row>
    <row r="958" spans="11:15" x14ac:dyDescent="0.25">
      <c r="K958"/>
      <c r="L958"/>
      <c r="M958"/>
      <c r="N958"/>
      <c r="O958"/>
    </row>
    <row r="959" spans="11:15" x14ac:dyDescent="0.25">
      <c r="K959"/>
      <c r="L959"/>
      <c r="M959"/>
      <c r="N959"/>
      <c r="O959"/>
    </row>
    <row r="960" spans="11:15" x14ac:dyDescent="0.25">
      <c r="K960"/>
      <c r="L960"/>
      <c r="M960"/>
      <c r="N960"/>
      <c r="O960"/>
    </row>
    <row r="961" spans="11:15" x14ac:dyDescent="0.25">
      <c r="K961"/>
      <c r="L961"/>
      <c r="M961"/>
      <c r="N961"/>
      <c r="O961"/>
    </row>
    <row r="962" spans="11:15" x14ac:dyDescent="0.25">
      <c r="K962"/>
      <c r="L962"/>
      <c r="M962"/>
      <c r="N962"/>
      <c r="O962"/>
    </row>
    <row r="963" spans="11:15" x14ac:dyDescent="0.25">
      <c r="K963"/>
      <c r="L963"/>
      <c r="M963"/>
      <c r="N963"/>
      <c r="O963"/>
    </row>
    <row r="964" spans="11:15" x14ac:dyDescent="0.25">
      <c r="K964"/>
      <c r="L964"/>
      <c r="M964"/>
      <c r="N964"/>
      <c r="O964"/>
    </row>
    <row r="965" spans="11:15" x14ac:dyDescent="0.25">
      <c r="K965"/>
      <c r="L965"/>
      <c r="M965"/>
      <c r="N965"/>
      <c r="O965"/>
    </row>
    <row r="966" spans="11:15" x14ac:dyDescent="0.25">
      <c r="K966"/>
      <c r="L966"/>
      <c r="M966"/>
      <c r="N966"/>
      <c r="O966"/>
    </row>
    <row r="967" spans="11:15" x14ac:dyDescent="0.25">
      <c r="K967"/>
      <c r="L967"/>
      <c r="M967"/>
      <c r="N967"/>
      <c r="O967"/>
    </row>
    <row r="968" spans="11:15" x14ac:dyDescent="0.25">
      <c r="K968"/>
      <c r="L968"/>
      <c r="M968"/>
      <c r="N968"/>
      <c r="O968"/>
    </row>
    <row r="969" spans="11:15" x14ac:dyDescent="0.25">
      <c r="K969"/>
      <c r="L969"/>
      <c r="M969"/>
      <c r="N969"/>
      <c r="O969"/>
    </row>
    <row r="970" spans="11:15" x14ac:dyDescent="0.25">
      <c r="K970"/>
      <c r="L970"/>
      <c r="M970"/>
      <c r="N970"/>
      <c r="O970"/>
    </row>
    <row r="971" spans="11:15" x14ac:dyDescent="0.25">
      <c r="K971"/>
      <c r="L971"/>
      <c r="M971"/>
      <c r="N971"/>
      <c r="O971"/>
    </row>
    <row r="972" spans="11:15" x14ac:dyDescent="0.25">
      <c r="K972"/>
      <c r="L972"/>
      <c r="M972"/>
      <c r="N972"/>
      <c r="O972"/>
    </row>
    <row r="973" spans="11:15" x14ac:dyDescent="0.25">
      <c r="K973"/>
      <c r="L973"/>
      <c r="M973"/>
      <c r="N973"/>
      <c r="O973"/>
    </row>
    <row r="974" spans="11:15" x14ac:dyDescent="0.25">
      <c r="K974"/>
      <c r="L974"/>
      <c r="M974"/>
      <c r="N974"/>
      <c r="O974"/>
    </row>
    <row r="975" spans="11:15" x14ac:dyDescent="0.25">
      <c r="K975"/>
      <c r="L975"/>
      <c r="M975"/>
      <c r="N975"/>
      <c r="O975"/>
    </row>
    <row r="976" spans="11:15" x14ac:dyDescent="0.25">
      <c r="K976"/>
      <c r="L976"/>
      <c r="M976"/>
      <c r="N976"/>
      <c r="O976"/>
    </row>
    <row r="977" spans="11:15" x14ac:dyDescent="0.25">
      <c r="K977"/>
      <c r="L977"/>
      <c r="M977"/>
      <c r="N977"/>
      <c r="O977"/>
    </row>
    <row r="978" spans="11:15" x14ac:dyDescent="0.25">
      <c r="K978"/>
      <c r="L978"/>
      <c r="M978"/>
      <c r="N978"/>
      <c r="O978"/>
    </row>
    <row r="979" spans="11:15" x14ac:dyDescent="0.25">
      <c r="K979"/>
      <c r="L979"/>
      <c r="M979"/>
      <c r="N979"/>
      <c r="O979"/>
    </row>
    <row r="980" spans="11:15" x14ac:dyDescent="0.25">
      <c r="K980"/>
      <c r="L980"/>
      <c r="M980"/>
      <c r="N980"/>
      <c r="O980"/>
    </row>
    <row r="981" spans="11:15" x14ac:dyDescent="0.25">
      <c r="K981"/>
      <c r="L981"/>
      <c r="M981"/>
      <c r="N981"/>
      <c r="O981"/>
    </row>
    <row r="982" spans="11:15" x14ac:dyDescent="0.25">
      <c r="K982"/>
      <c r="L982"/>
      <c r="M982"/>
      <c r="N982"/>
      <c r="O982"/>
    </row>
    <row r="983" spans="11:15" x14ac:dyDescent="0.25">
      <c r="K983"/>
      <c r="L983"/>
      <c r="M983"/>
      <c r="N983"/>
      <c r="O983"/>
    </row>
    <row r="984" spans="11:15" x14ac:dyDescent="0.25">
      <c r="K984"/>
      <c r="L984"/>
      <c r="M984"/>
      <c r="N984"/>
      <c r="O984"/>
    </row>
    <row r="985" spans="11:15" x14ac:dyDescent="0.25">
      <c r="K985"/>
      <c r="L985"/>
      <c r="M985"/>
      <c r="N985"/>
      <c r="O985"/>
    </row>
    <row r="986" spans="11:15" x14ac:dyDescent="0.25">
      <c r="K986"/>
      <c r="L986"/>
      <c r="M986"/>
      <c r="N986"/>
      <c r="O986"/>
    </row>
    <row r="987" spans="11:15" x14ac:dyDescent="0.25">
      <c r="K987"/>
      <c r="L987"/>
      <c r="M987"/>
      <c r="N987"/>
      <c r="O987"/>
    </row>
    <row r="988" spans="11:15" x14ac:dyDescent="0.25">
      <c r="K988"/>
      <c r="L988"/>
      <c r="M988"/>
      <c r="N988"/>
      <c r="O988"/>
    </row>
    <row r="989" spans="11:15" x14ac:dyDescent="0.25">
      <c r="K989"/>
      <c r="L989"/>
      <c r="M989"/>
      <c r="N989"/>
      <c r="O989"/>
    </row>
    <row r="990" spans="11:15" x14ac:dyDescent="0.25">
      <c r="K990"/>
      <c r="L990"/>
      <c r="M990"/>
      <c r="N990"/>
      <c r="O990"/>
    </row>
    <row r="991" spans="11:15" x14ac:dyDescent="0.25">
      <c r="K991"/>
      <c r="L991"/>
      <c r="M991"/>
      <c r="N991"/>
      <c r="O991"/>
    </row>
    <row r="992" spans="11:15" x14ac:dyDescent="0.25">
      <c r="K992"/>
      <c r="L992"/>
      <c r="M992"/>
      <c r="N992"/>
      <c r="O992"/>
    </row>
    <row r="993" spans="11:15" x14ac:dyDescent="0.25">
      <c r="K993"/>
      <c r="L993"/>
      <c r="M993"/>
      <c r="N993"/>
      <c r="O993"/>
    </row>
    <row r="994" spans="11:15" x14ac:dyDescent="0.25">
      <c r="K994"/>
      <c r="L994"/>
      <c r="M994"/>
      <c r="N994"/>
      <c r="O994"/>
    </row>
    <row r="995" spans="11:15" x14ac:dyDescent="0.25">
      <c r="K995"/>
      <c r="L995"/>
      <c r="M995"/>
      <c r="N995"/>
      <c r="O995"/>
    </row>
    <row r="996" spans="11:15" x14ac:dyDescent="0.25">
      <c r="K996"/>
      <c r="L996"/>
      <c r="M996"/>
      <c r="N996"/>
      <c r="O996"/>
    </row>
    <row r="997" spans="11:15" x14ac:dyDescent="0.25">
      <c r="K997"/>
      <c r="L997"/>
      <c r="M997"/>
      <c r="N997"/>
      <c r="O997"/>
    </row>
    <row r="998" spans="11:15" x14ac:dyDescent="0.25">
      <c r="K998"/>
      <c r="L998"/>
      <c r="M998"/>
      <c r="N998"/>
      <c r="O998"/>
    </row>
    <row r="999" spans="11:15" x14ac:dyDescent="0.25">
      <c r="K999"/>
      <c r="L999"/>
      <c r="M999"/>
      <c r="N999"/>
      <c r="O999"/>
    </row>
    <row r="1000" spans="11:15" x14ac:dyDescent="0.25">
      <c r="K1000"/>
      <c r="L1000"/>
      <c r="M1000"/>
      <c r="N1000"/>
      <c r="O1000"/>
    </row>
    <row r="1001" spans="11:15" x14ac:dyDescent="0.25">
      <c r="K1001"/>
      <c r="L1001"/>
      <c r="M1001"/>
      <c r="N1001"/>
      <c r="O1001"/>
    </row>
    <row r="1002" spans="11:15" x14ac:dyDescent="0.25">
      <c r="K1002"/>
      <c r="L1002"/>
      <c r="M1002"/>
      <c r="N1002"/>
      <c r="O1002"/>
    </row>
    <row r="1003" spans="11:15" x14ac:dyDescent="0.25">
      <c r="K1003"/>
      <c r="L1003"/>
      <c r="M1003"/>
      <c r="N1003"/>
      <c r="O1003"/>
    </row>
    <row r="1004" spans="11:15" x14ac:dyDescent="0.25">
      <c r="K1004"/>
      <c r="L1004"/>
      <c r="M1004"/>
      <c r="N1004"/>
      <c r="O1004"/>
    </row>
    <row r="1005" spans="11:15" x14ac:dyDescent="0.25">
      <c r="K1005"/>
      <c r="L1005"/>
      <c r="M1005"/>
      <c r="N1005"/>
      <c r="O1005"/>
    </row>
    <row r="1006" spans="11:15" x14ac:dyDescent="0.25">
      <c r="K1006"/>
      <c r="L1006"/>
      <c r="M1006"/>
      <c r="N1006"/>
      <c r="O1006"/>
    </row>
    <row r="1007" spans="11:15" x14ac:dyDescent="0.25">
      <c r="K1007"/>
      <c r="L1007"/>
      <c r="M1007"/>
      <c r="N1007"/>
      <c r="O1007"/>
    </row>
    <row r="1008" spans="11:15" x14ac:dyDescent="0.25">
      <c r="K1008"/>
      <c r="L1008"/>
      <c r="M1008"/>
      <c r="N1008"/>
      <c r="O1008"/>
    </row>
    <row r="1009" spans="11:15" x14ac:dyDescent="0.25">
      <c r="K1009"/>
      <c r="L1009"/>
      <c r="M1009"/>
      <c r="N1009"/>
      <c r="O1009"/>
    </row>
    <row r="1010" spans="11:15" x14ac:dyDescent="0.25">
      <c r="K1010"/>
      <c r="L1010"/>
      <c r="M1010"/>
      <c r="N1010"/>
      <c r="O1010"/>
    </row>
    <row r="1011" spans="11:15" x14ac:dyDescent="0.25">
      <c r="K1011"/>
      <c r="L1011"/>
      <c r="M1011"/>
      <c r="N1011"/>
      <c r="O1011"/>
    </row>
    <row r="1012" spans="11:15" x14ac:dyDescent="0.25">
      <c r="K1012"/>
      <c r="L1012"/>
      <c r="M1012"/>
      <c r="N1012"/>
      <c r="O1012"/>
    </row>
    <row r="1013" spans="11:15" x14ac:dyDescent="0.25">
      <c r="K1013"/>
      <c r="L1013"/>
      <c r="M1013"/>
      <c r="N1013"/>
      <c r="O1013"/>
    </row>
    <row r="1014" spans="11:15" x14ac:dyDescent="0.25">
      <c r="K1014"/>
      <c r="L1014"/>
      <c r="M1014"/>
      <c r="N1014"/>
      <c r="O1014"/>
    </row>
    <row r="1015" spans="11:15" x14ac:dyDescent="0.25">
      <c r="K1015"/>
      <c r="L1015"/>
      <c r="M1015"/>
      <c r="N1015"/>
      <c r="O1015"/>
    </row>
    <row r="1016" spans="11:15" x14ac:dyDescent="0.25">
      <c r="K1016"/>
      <c r="L1016"/>
      <c r="M1016"/>
      <c r="N1016"/>
      <c r="O1016"/>
    </row>
    <row r="1017" spans="11:15" x14ac:dyDescent="0.25">
      <c r="K1017"/>
      <c r="L1017"/>
      <c r="M1017"/>
      <c r="N1017"/>
      <c r="O1017"/>
    </row>
    <row r="1018" spans="11:15" x14ac:dyDescent="0.25">
      <c r="K1018"/>
      <c r="L1018"/>
      <c r="M1018"/>
      <c r="N1018"/>
      <c r="O1018"/>
    </row>
    <row r="1019" spans="11:15" x14ac:dyDescent="0.25">
      <c r="K1019"/>
      <c r="L1019"/>
      <c r="M1019"/>
      <c r="N1019"/>
      <c r="O1019"/>
    </row>
    <row r="1020" spans="11:15" x14ac:dyDescent="0.25">
      <c r="K1020"/>
      <c r="L1020"/>
      <c r="M1020"/>
      <c r="N1020"/>
      <c r="O1020"/>
    </row>
    <row r="1021" spans="11:15" x14ac:dyDescent="0.25">
      <c r="K1021"/>
      <c r="L1021"/>
      <c r="M1021"/>
      <c r="N1021"/>
      <c r="O1021"/>
    </row>
    <row r="1022" spans="11:15" x14ac:dyDescent="0.25">
      <c r="K1022"/>
      <c r="L1022"/>
      <c r="M1022"/>
      <c r="N1022"/>
      <c r="O1022"/>
    </row>
    <row r="1023" spans="11:15" x14ac:dyDescent="0.25">
      <c r="K1023"/>
      <c r="L1023"/>
      <c r="M1023"/>
      <c r="N1023"/>
      <c r="O1023"/>
    </row>
    <row r="1024" spans="11:15" x14ac:dyDescent="0.25">
      <c r="K1024"/>
      <c r="L1024"/>
      <c r="M1024"/>
      <c r="N1024"/>
      <c r="O1024"/>
    </row>
    <row r="1025" spans="11:15" x14ac:dyDescent="0.25">
      <c r="K1025"/>
      <c r="L1025"/>
      <c r="M1025"/>
      <c r="N1025"/>
      <c r="O1025"/>
    </row>
    <row r="1026" spans="11:15" x14ac:dyDescent="0.25">
      <c r="K1026"/>
      <c r="L1026"/>
      <c r="M1026"/>
      <c r="N1026"/>
      <c r="O1026"/>
    </row>
    <row r="1027" spans="11:15" x14ac:dyDescent="0.25">
      <c r="K1027"/>
      <c r="L1027"/>
      <c r="M1027"/>
      <c r="N1027"/>
      <c r="O1027"/>
    </row>
    <row r="1028" spans="11:15" x14ac:dyDescent="0.25">
      <c r="K1028"/>
      <c r="L1028"/>
      <c r="M1028"/>
      <c r="N1028"/>
      <c r="O1028"/>
    </row>
    <row r="1029" spans="11:15" x14ac:dyDescent="0.25">
      <c r="K1029"/>
      <c r="L1029"/>
      <c r="M1029"/>
      <c r="N1029"/>
      <c r="O1029"/>
    </row>
    <row r="1030" spans="11:15" x14ac:dyDescent="0.25">
      <c r="K1030"/>
      <c r="L1030"/>
      <c r="M1030"/>
      <c r="N1030"/>
      <c r="O1030"/>
    </row>
    <row r="1031" spans="11:15" x14ac:dyDescent="0.25">
      <c r="K1031"/>
      <c r="L1031"/>
      <c r="M1031"/>
      <c r="N1031"/>
      <c r="O1031"/>
    </row>
    <row r="1032" spans="11:15" x14ac:dyDescent="0.25">
      <c r="K1032"/>
      <c r="L1032"/>
      <c r="M1032"/>
      <c r="N1032"/>
      <c r="O1032"/>
    </row>
    <row r="1033" spans="11:15" x14ac:dyDescent="0.25">
      <c r="K1033"/>
      <c r="L1033"/>
      <c r="M1033"/>
      <c r="N1033"/>
      <c r="O1033"/>
    </row>
    <row r="1034" spans="11:15" x14ac:dyDescent="0.25">
      <c r="K1034"/>
      <c r="L1034"/>
      <c r="M1034"/>
      <c r="N1034"/>
      <c r="O1034"/>
    </row>
    <row r="1035" spans="11:15" x14ac:dyDescent="0.25">
      <c r="K1035"/>
      <c r="L1035"/>
      <c r="M1035"/>
      <c r="N1035"/>
      <c r="O1035"/>
    </row>
    <row r="1036" spans="11:15" x14ac:dyDescent="0.25">
      <c r="K1036"/>
      <c r="L1036"/>
      <c r="M1036"/>
      <c r="N1036"/>
      <c r="O1036"/>
    </row>
    <row r="1037" spans="11:15" x14ac:dyDescent="0.25">
      <c r="K1037"/>
      <c r="L1037"/>
      <c r="M1037"/>
      <c r="N1037"/>
      <c r="O1037"/>
    </row>
    <row r="1038" spans="11:15" x14ac:dyDescent="0.25">
      <c r="K1038"/>
      <c r="L1038"/>
      <c r="M1038"/>
      <c r="N1038"/>
      <c r="O1038"/>
    </row>
    <row r="1039" spans="11:15" x14ac:dyDescent="0.25">
      <c r="K1039"/>
      <c r="L1039"/>
      <c r="M1039"/>
      <c r="N1039"/>
      <c r="O1039"/>
    </row>
    <row r="1040" spans="11:15" x14ac:dyDescent="0.25">
      <c r="K1040"/>
      <c r="L1040"/>
      <c r="M1040"/>
      <c r="N1040"/>
      <c r="O1040"/>
    </row>
    <row r="1041" spans="11:15" x14ac:dyDescent="0.25">
      <c r="K1041"/>
      <c r="L1041"/>
      <c r="M1041"/>
      <c r="N1041"/>
      <c r="O1041"/>
    </row>
    <row r="1042" spans="11:15" x14ac:dyDescent="0.25">
      <c r="K1042"/>
      <c r="L1042"/>
      <c r="M1042"/>
      <c r="N1042"/>
      <c r="O1042"/>
    </row>
    <row r="1043" spans="11:15" x14ac:dyDescent="0.25">
      <c r="K1043"/>
      <c r="L1043"/>
      <c r="M1043"/>
      <c r="N1043"/>
      <c r="O1043"/>
    </row>
    <row r="1044" spans="11:15" x14ac:dyDescent="0.25">
      <c r="K1044"/>
      <c r="L1044"/>
      <c r="M1044"/>
      <c r="N1044"/>
      <c r="O1044"/>
    </row>
    <row r="1045" spans="11:15" x14ac:dyDescent="0.25">
      <c r="K1045"/>
      <c r="L1045"/>
      <c r="M1045"/>
      <c r="N1045"/>
      <c r="O1045"/>
    </row>
    <row r="1046" spans="11:15" x14ac:dyDescent="0.25">
      <c r="K1046"/>
      <c r="L1046"/>
      <c r="M1046"/>
      <c r="N1046"/>
      <c r="O1046"/>
    </row>
    <row r="1047" spans="11:15" x14ac:dyDescent="0.25">
      <c r="K1047"/>
      <c r="L1047"/>
      <c r="M1047"/>
      <c r="N1047"/>
      <c r="O1047"/>
    </row>
    <row r="1048" spans="11:15" x14ac:dyDescent="0.25">
      <c r="K1048"/>
      <c r="L1048"/>
      <c r="M1048"/>
      <c r="N1048"/>
      <c r="O1048"/>
    </row>
    <row r="1049" spans="11:15" x14ac:dyDescent="0.25">
      <c r="K1049"/>
      <c r="L1049"/>
      <c r="M1049"/>
      <c r="N1049"/>
      <c r="O1049"/>
    </row>
    <row r="1050" spans="11:15" x14ac:dyDescent="0.25">
      <c r="K1050"/>
      <c r="L1050"/>
      <c r="M1050"/>
      <c r="N1050"/>
      <c r="O1050"/>
    </row>
    <row r="1051" spans="11:15" x14ac:dyDescent="0.25">
      <c r="K1051"/>
      <c r="L1051"/>
      <c r="M1051"/>
      <c r="N1051"/>
      <c r="O1051"/>
    </row>
    <row r="1052" spans="11:15" x14ac:dyDescent="0.25">
      <c r="K1052"/>
      <c r="L1052"/>
      <c r="M1052"/>
      <c r="N1052"/>
      <c r="O1052"/>
    </row>
    <row r="1053" spans="11:15" x14ac:dyDescent="0.25">
      <c r="K1053"/>
      <c r="L1053"/>
      <c r="M1053"/>
      <c r="N1053"/>
      <c r="O1053"/>
    </row>
    <row r="1054" spans="11:15" x14ac:dyDescent="0.25">
      <c r="K1054"/>
      <c r="L1054"/>
      <c r="M1054"/>
      <c r="N1054"/>
      <c r="O1054"/>
    </row>
    <row r="1055" spans="11:15" x14ac:dyDescent="0.25">
      <c r="K1055"/>
      <c r="L1055"/>
      <c r="M1055"/>
      <c r="N1055"/>
      <c r="O1055"/>
    </row>
    <row r="1056" spans="11:15" x14ac:dyDescent="0.25">
      <c r="K1056"/>
      <c r="L1056"/>
      <c r="M1056"/>
      <c r="N1056"/>
      <c r="O1056"/>
    </row>
    <row r="1057" spans="11:15" x14ac:dyDescent="0.25">
      <c r="K1057"/>
      <c r="L1057"/>
      <c r="M1057"/>
      <c r="N1057"/>
      <c r="O1057"/>
    </row>
    <row r="1058" spans="11:15" x14ac:dyDescent="0.25">
      <c r="K1058"/>
      <c r="L1058"/>
      <c r="M1058"/>
      <c r="N1058"/>
      <c r="O1058"/>
    </row>
    <row r="1059" spans="11:15" x14ac:dyDescent="0.25">
      <c r="K1059"/>
      <c r="L1059"/>
      <c r="M1059"/>
      <c r="N1059"/>
      <c r="O1059"/>
    </row>
    <row r="1060" spans="11:15" x14ac:dyDescent="0.25">
      <c r="K1060"/>
      <c r="L1060"/>
      <c r="M1060"/>
      <c r="N1060"/>
      <c r="O1060"/>
    </row>
    <row r="1061" spans="11:15" x14ac:dyDescent="0.25">
      <c r="K1061"/>
      <c r="L1061"/>
      <c r="M1061"/>
      <c r="N1061"/>
      <c r="O1061"/>
    </row>
    <row r="1062" spans="11:15" x14ac:dyDescent="0.25">
      <c r="K1062"/>
      <c r="L1062"/>
      <c r="M1062"/>
      <c r="N1062"/>
      <c r="O1062"/>
    </row>
    <row r="1063" spans="11:15" x14ac:dyDescent="0.25">
      <c r="K1063"/>
      <c r="L1063"/>
      <c r="M1063"/>
      <c r="N1063"/>
      <c r="O1063"/>
    </row>
  </sheetData>
  <sheetProtection sheet="1" objects="1" scenarios="1"/>
  <autoFilter ref="G25:G115" xr:uid="{00000000-0009-0000-0000-000005000000}"/>
  <pageMargins left="0.70866141732283472" right="0.51181102362204722" top="0.55118110236220474" bottom="0.55118110236220474" header="0.31496062992125984" footer="0.31496062992125984"/>
  <pageSetup paperSize="9" orientation="portrait" r:id="rId1"/>
  <colBreaks count="2" manualBreakCount="2">
    <brk id="9" max="1048575" man="1"/>
    <brk id="15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937" r:id="rId4" name="Drop Down 1">
              <controlPr defaultSize="0" print="0" autoLine="0" autoPict="0">
                <anchor moveWithCells="1">
                  <from>
                    <xdr:col>6</xdr:col>
                    <xdr:colOff>171450</xdr:colOff>
                    <xdr:row>13</xdr:row>
                    <xdr:rowOff>180975</xdr:rowOff>
                  </from>
                  <to>
                    <xdr:col>9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38" r:id="rId5" name="Check Box 2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13</xdr:row>
                    <xdr:rowOff>161925</xdr:rowOff>
                  </from>
                  <to>
                    <xdr:col>5</xdr:col>
                    <xdr:colOff>981075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39" r:id="rId6" name="Check Box 3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14</xdr:row>
                    <xdr:rowOff>161925</xdr:rowOff>
                  </from>
                  <to>
                    <xdr:col>5</xdr:col>
                    <xdr:colOff>981075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40" r:id="rId7" name="Drop Down 4">
              <controlPr defaultSize="0" print="0" autoLine="0" autoPict="0">
                <anchor moveWithCells="1">
                  <from>
                    <xdr:col>6</xdr:col>
                    <xdr:colOff>171450</xdr:colOff>
                    <xdr:row>15</xdr:row>
                    <xdr:rowOff>0</xdr:rowOff>
                  </from>
                  <to>
                    <xdr:col>9</xdr:col>
                    <xdr:colOff>9525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41" r:id="rId8" name="Check Box 5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15</xdr:row>
                    <xdr:rowOff>161925</xdr:rowOff>
                  </from>
                  <to>
                    <xdr:col>5</xdr:col>
                    <xdr:colOff>981075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42" r:id="rId9" name="Check Box 6">
              <controlPr defaultSize="0" print="0" autoFill="0" autoLine="0" autoPict="0">
                <anchor moveWithCells="1">
                  <from>
                    <xdr:col>6</xdr:col>
                    <xdr:colOff>161925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48"/>
  <dimension ref="A1:P1063"/>
  <sheetViews>
    <sheetView showGridLines="0" zoomScale="85" zoomScaleNormal="85" workbookViewId="0">
      <selection activeCell="C4" sqref="C4"/>
    </sheetView>
  </sheetViews>
  <sheetFormatPr defaultRowHeight="15" x14ac:dyDescent="0.25"/>
  <cols>
    <col min="1" max="1" width="2.7109375" style="1" customWidth="1"/>
    <col min="2" max="2" width="5.28515625" style="1" customWidth="1"/>
    <col min="3" max="3" width="9" style="1" customWidth="1"/>
    <col min="4" max="5" width="14.28515625" style="1" customWidth="1"/>
    <col min="6" max="6" width="14.85546875" style="1" customWidth="1"/>
    <col min="7" max="7" width="2.7109375" style="1" customWidth="1"/>
    <col min="8" max="8" width="9" style="1" customWidth="1"/>
    <col min="9" max="9" width="12.5703125" style="1" customWidth="1"/>
    <col min="10" max="10" width="2.7109375" style="1" customWidth="1"/>
    <col min="11" max="11" width="9.42578125" style="1" bestFit="1" customWidth="1"/>
    <col min="12" max="12" width="9" style="1" customWidth="1"/>
    <col min="13" max="13" width="14.28515625" style="1" customWidth="1"/>
    <col min="14" max="14" width="59.85546875" style="1" bestFit="1" customWidth="1"/>
    <col min="15" max="15" width="8.28515625" style="1" bestFit="1" customWidth="1"/>
    <col min="16" max="16" width="2.7109375" style="1" customWidth="1"/>
    <col min="17" max="17" width="87.140625" style="1" customWidth="1"/>
    <col min="18" max="16384" width="9.140625" style="1"/>
  </cols>
  <sheetData>
    <row r="1" spans="2:16" x14ac:dyDescent="0.25">
      <c r="B1" s="2" t="s">
        <v>3</v>
      </c>
      <c r="H1" s="38" t="s">
        <v>19</v>
      </c>
      <c r="I1" s="15"/>
      <c r="K1" s="12" t="s">
        <v>4</v>
      </c>
      <c r="L1" s="13"/>
      <c r="M1" s="12"/>
      <c r="N1" s="13"/>
      <c r="O1" s="14">
        <f>O3/(L3+O3)</f>
        <v>6.2485159774553541E-5</v>
      </c>
    </row>
    <row r="2" spans="2:16" ht="33" customHeight="1" x14ac:dyDescent="0.25">
      <c r="B2" s="3" t="str">
        <f>B24</f>
        <v>№</v>
      </c>
      <c r="C2" s="3" t="s">
        <v>1</v>
      </c>
      <c r="D2" s="3" t="s">
        <v>0</v>
      </c>
      <c r="E2" s="3" t="s">
        <v>10</v>
      </c>
      <c r="F2" s="4" t="s">
        <v>12</v>
      </c>
      <c r="H2" s="3" t="s">
        <v>1</v>
      </c>
      <c r="I2" s="3" t="s">
        <v>0</v>
      </c>
      <c r="K2" s="5" t="s">
        <v>1</v>
      </c>
      <c r="L2" s="5" t="s">
        <v>6</v>
      </c>
      <c r="M2" s="6" t="s">
        <v>11</v>
      </c>
      <c r="N2" s="5" t="s">
        <v>7</v>
      </c>
      <c r="O2" s="6" t="str">
        <f>"Отходы
"&amp;IF((L3+O3)&gt;0,TEXT(O3/(L3+O3),"0,00%"),"")</f>
        <v>Отходы
000%</v>
      </c>
    </row>
    <row r="3" spans="2:16" x14ac:dyDescent="0.25">
      <c r="B3" s="27"/>
      <c r="C3" s="27">
        <f>IF(COUNT(C4:C13)=COUNT(D4:D13),SUMPRODUCT(C4:C13,D4:D13),)</f>
        <v>0</v>
      </c>
      <c r="D3" s="23" t="str">
        <f>IF(COUNT(C4:C13)=COUNT(D4:D13),SUM(D4:D13),"много")</f>
        <v>много</v>
      </c>
      <c r="E3" s="23">
        <f>SUM(E4:E13)</f>
        <v>54</v>
      </c>
      <c r="F3" s="23" t="str">
        <f>IF(D3="много","много",D3-E3)</f>
        <v>много</v>
      </c>
      <c r="H3" s="27">
        <f>SUMPRODUCT(H4:H13,I4:I13)</f>
        <v>3924</v>
      </c>
      <c r="I3" s="23" t="str">
        <f>IF(COUNT(H4:H13)=COUNT(I4:I13),SUM(I4:I13),"много")</f>
        <v>много</v>
      </c>
      <c r="K3" s="31">
        <f>SUMPRODUCT(K4:K1060,$M4:$M1060)</f>
        <v>324000</v>
      </c>
      <c r="L3" s="31">
        <f>SUMPRODUCT(L4:L1060,$M4:$M1060)</f>
        <v>320056</v>
      </c>
      <c r="M3" s="32">
        <f>SUM(M4:M1060)</f>
        <v>54</v>
      </c>
      <c r="N3" s="33"/>
      <c r="O3" s="31">
        <f t="array" ref="O3">SUM(IF((O4:O1060&lt;D17)+(D17=0),$M4:$M1060*O4:O1060))</f>
        <v>20</v>
      </c>
    </row>
    <row r="4" spans="2:16" x14ac:dyDescent="0.25">
      <c r="B4" s="36">
        <f>IF(N(C4)=0,"",1)</f>
        <v>1</v>
      </c>
      <c r="C4" s="48">
        <v>6000</v>
      </c>
      <c r="D4" s="9"/>
      <c r="E4" s="28">
        <f t="shared" ref="E4:E13" si="0">MIN(SUMIF(K$4:K$1060,C4,M$4:M$1060),D4)</f>
        <v>54</v>
      </c>
      <c r="F4" s="28">
        <f>IF(D4,D4-E4,)</f>
        <v>0</v>
      </c>
      <c r="H4" s="51">
        <v>6000</v>
      </c>
      <c r="I4" s="41"/>
      <c r="K4" s="66">
        <v>6000</v>
      </c>
      <c r="L4" s="65">
        <v>6000</v>
      </c>
      <c r="M4" s="72">
        <v>2</v>
      </c>
      <c r="N4" s="69" t="s">
        <v>46</v>
      </c>
      <c r="O4" s="65">
        <f t="shared" ref="O4:O30" si="1">K4-L4</f>
        <v>0</v>
      </c>
    </row>
    <row r="5" spans="2:16" x14ac:dyDescent="0.25">
      <c r="B5" s="34" t="str">
        <f>IF(N(C5)=0,"",IF(ISNUMBER(MATCH(C5,C$4:C4,)),INDEX(B$4:B4,MATCH(C5,C$4:C4,)),MAX(B$4:B4)+1))</f>
        <v/>
      </c>
      <c r="C5" s="49"/>
      <c r="D5" s="10"/>
      <c r="E5" s="29">
        <f t="shared" si="0"/>
        <v>0</v>
      </c>
      <c r="F5" s="29">
        <f>IF(D5,D5-E5,)</f>
        <v>0</v>
      </c>
      <c r="H5" s="52">
        <v>1962</v>
      </c>
      <c r="I5" s="42">
        <v>2</v>
      </c>
      <c r="K5" s="67">
        <v>6000</v>
      </c>
      <c r="L5" s="45">
        <v>6000</v>
      </c>
      <c r="M5" s="73">
        <v>2</v>
      </c>
      <c r="N5" s="70" t="s">
        <v>166</v>
      </c>
      <c r="O5" s="45">
        <f t="shared" si="1"/>
        <v>0</v>
      </c>
    </row>
    <row r="6" spans="2:16" x14ac:dyDescent="0.25">
      <c r="B6" s="34" t="str">
        <f>IF(N(C6)=0,"",IF(ISNUMBER(MATCH(C6,C$4:C5,)),INDEX(B$4:B5,MATCH(C6,C$4:C5,)),MAX(B$4:B5)+1))</f>
        <v/>
      </c>
      <c r="C6" s="49"/>
      <c r="D6" s="10"/>
      <c r="E6" s="29">
        <f t="shared" si="0"/>
        <v>0</v>
      </c>
      <c r="F6" s="29">
        <f t="shared" ref="F6:F11" si="2">IF(D6,D6-E6,)</f>
        <v>0</v>
      </c>
      <c r="H6" s="52"/>
      <c r="I6" s="42"/>
      <c r="K6" s="67">
        <v>6000</v>
      </c>
      <c r="L6" s="45">
        <v>6000</v>
      </c>
      <c r="M6" s="73">
        <v>2</v>
      </c>
      <c r="N6" s="70" t="s">
        <v>167</v>
      </c>
      <c r="O6" s="45">
        <f t="shared" si="1"/>
        <v>0</v>
      </c>
    </row>
    <row r="7" spans="2:16" x14ac:dyDescent="0.25">
      <c r="B7" s="34" t="str">
        <f>IF(N(C7)=0,"",IF(ISNUMBER(MATCH(C7,C$4:C6,)),INDEX(B$4:B6,MATCH(C7,C$4:C6,)),MAX(B$4:B6)+1))</f>
        <v/>
      </c>
      <c r="C7" s="49"/>
      <c r="D7" s="10"/>
      <c r="E7" s="29">
        <f t="shared" si="0"/>
        <v>0</v>
      </c>
      <c r="F7" s="29">
        <f t="shared" si="2"/>
        <v>0</v>
      </c>
      <c r="H7" s="52"/>
      <c r="I7" s="42"/>
      <c r="K7" s="67">
        <v>6000</v>
      </c>
      <c r="L7" s="45">
        <v>6000</v>
      </c>
      <c r="M7" s="73">
        <v>2</v>
      </c>
      <c r="N7" s="70" t="s">
        <v>168</v>
      </c>
      <c r="O7" s="45">
        <f t="shared" si="1"/>
        <v>0</v>
      </c>
    </row>
    <row r="8" spans="2:16" x14ac:dyDescent="0.25">
      <c r="B8" s="34" t="str">
        <f>IF(N(C8)=0,"",IF(ISNUMBER(MATCH(C8,C$4:C7,)),INDEX(B$4:B7,MATCH(C8,C$4:C7,)),MAX(B$4:B7)+1))</f>
        <v/>
      </c>
      <c r="C8" s="49"/>
      <c r="D8" s="10"/>
      <c r="E8" s="29">
        <f t="shared" si="0"/>
        <v>0</v>
      </c>
      <c r="F8" s="29">
        <f t="shared" si="2"/>
        <v>0</v>
      </c>
      <c r="H8" s="52"/>
      <c r="I8" s="42"/>
      <c r="K8" s="67">
        <v>6000</v>
      </c>
      <c r="L8" s="45">
        <v>6000</v>
      </c>
      <c r="M8" s="73">
        <v>2</v>
      </c>
      <c r="N8" s="70" t="s">
        <v>169</v>
      </c>
      <c r="O8" s="45">
        <f t="shared" si="1"/>
        <v>0</v>
      </c>
    </row>
    <row r="9" spans="2:16" x14ac:dyDescent="0.25">
      <c r="B9" s="34" t="str">
        <f>IF(N(C9)=0,"",IF(ISNUMBER(MATCH(C9,C$4:C8,)),INDEX(B$4:B8,MATCH(C9,C$4:C8,)),MAX(B$4:B8)+1))</f>
        <v/>
      </c>
      <c r="C9" s="49"/>
      <c r="D9" s="10"/>
      <c r="E9" s="29">
        <f t="shared" si="0"/>
        <v>0</v>
      </c>
      <c r="F9" s="29">
        <f t="shared" si="2"/>
        <v>0</v>
      </c>
      <c r="H9" s="52"/>
      <c r="I9" s="42"/>
      <c r="K9" s="67">
        <v>6000</v>
      </c>
      <c r="L9" s="45">
        <v>6000</v>
      </c>
      <c r="M9" s="73">
        <v>2</v>
      </c>
      <c r="N9" s="70" t="s">
        <v>170</v>
      </c>
      <c r="O9" s="45">
        <f t="shared" si="1"/>
        <v>0</v>
      </c>
    </row>
    <row r="10" spans="2:16" x14ac:dyDescent="0.25">
      <c r="B10" s="34" t="str">
        <f>IF(N(C10)=0,"",IF(ISNUMBER(MATCH(C10,C$4:C9,)),INDEX(B$4:B9,MATCH(C10,C$4:C9,)),MAX(B$4:B9)+1))</f>
        <v/>
      </c>
      <c r="C10" s="49"/>
      <c r="D10" s="10"/>
      <c r="E10" s="29">
        <f t="shared" si="0"/>
        <v>0</v>
      </c>
      <c r="F10" s="29">
        <f t="shared" si="2"/>
        <v>0</v>
      </c>
      <c r="H10" s="52"/>
      <c r="I10" s="42"/>
      <c r="K10" s="67">
        <v>6000</v>
      </c>
      <c r="L10" s="45">
        <v>6000</v>
      </c>
      <c r="M10" s="73">
        <v>2</v>
      </c>
      <c r="N10" s="70" t="s">
        <v>171</v>
      </c>
      <c r="O10" s="45">
        <f t="shared" si="1"/>
        <v>0</v>
      </c>
    </row>
    <row r="11" spans="2:16" x14ac:dyDescent="0.25">
      <c r="B11" s="34" t="str">
        <f>IF(N(C11)=0,"",IF(ISNUMBER(MATCH(C11,C$4:C10,)),INDEX(B$4:B10,MATCH(C11,C$4:C10,)),MAX(B$4:B10)+1))</f>
        <v/>
      </c>
      <c r="C11" s="49"/>
      <c r="D11" s="10"/>
      <c r="E11" s="29">
        <f t="shared" si="0"/>
        <v>0</v>
      </c>
      <c r="F11" s="29">
        <f t="shared" si="2"/>
        <v>0</v>
      </c>
      <c r="H11" s="52"/>
      <c r="I11" s="42"/>
      <c r="K11" s="67">
        <v>6000</v>
      </c>
      <c r="L11" s="45">
        <v>6000</v>
      </c>
      <c r="M11" s="73">
        <v>2</v>
      </c>
      <c r="N11" s="70" t="s">
        <v>172</v>
      </c>
      <c r="O11" s="45">
        <f t="shared" si="1"/>
        <v>0</v>
      </c>
    </row>
    <row r="12" spans="2:16" x14ac:dyDescent="0.25">
      <c r="B12" s="34" t="str">
        <f>IF(N(C12)=0,"",IF(ISNUMBER(MATCH(C12,C$4:C11,)),INDEX(B$4:B11,MATCH(C12,C$4:C11,)),MAX(B$4:B11)+1))</f>
        <v/>
      </c>
      <c r="C12" s="49"/>
      <c r="D12" s="10"/>
      <c r="E12" s="29">
        <f t="shared" si="0"/>
        <v>0</v>
      </c>
      <c r="F12" s="29">
        <f>IF(D12,D12-E12,)</f>
        <v>0</v>
      </c>
      <c r="H12" s="52"/>
      <c r="I12" s="42"/>
      <c r="K12" s="67">
        <v>6000</v>
      </c>
      <c r="L12" s="45">
        <v>6000</v>
      </c>
      <c r="M12" s="73">
        <v>2</v>
      </c>
      <c r="N12" s="70" t="s">
        <v>173</v>
      </c>
      <c r="O12" s="45">
        <f t="shared" si="1"/>
        <v>0</v>
      </c>
    </row>
    <row r="13" spans="2:16" x14ac:dyDescent="0.25">
      <c r="B13" s="35" t="str">
        <f>IF(N(C13)=0,"",IF(ISNUMBER(MATCH(C13,C$4:C12,)),INDEX(B$4:B12,MATCH(C13,C$4:C12,)),MAX(B$4:B12)+1))</f>
        <v/>
      </c>
      <c r="C13" s="50"/>
      <c r="D13" s="11"/>
      <c r="E13" s="30">
        <f t="shared" si="0"/>
        <v>0</v>
      </c>
      <c r="F13" s="30">
        <f>IF(D13,D13-E13,)</f>
        <v>0</v>
      </c>
      <c r="H13" s="53"/>
      <c r="I13" s="43"/>
      <c r="K13" s="67">
        <v>6000</v>
      </c>
      <c r="L13" s="45">
        <v>6000</v>
      </c>
      <c r="M13" s="73">
        <v>2</v>
      </c>
      <c r="N13" s="70" t="s">
        <v>174</v>
      </c>
      <c r="O13" s="45">
        <f t="shared" si="1"/>
        <v>0</v>
      </c>
    </row>
    <row r="14" spans="2:16" x14ac:dyDescent="0.25">
      <c r="J14" s="15"/>
      <c r="K14" s="67">
        <v>6000</v>
      </c>
      <c r="L14" s="45">
        <v>6000</v>
      </c>
      <c r="M14" s="73">
        <v>2</v>
      </c>
      <c r="N14" s="70" t="s">
        <v>175</v>
      </c>
      <c r="O14" s="45">
        <f t="shared" si="1"/>
        <v>0</v>
      </c>
      <c r="P14" s="15"/>
    </row>
    <row r="15" spans="2:16" x14ac:dyDescent="0.25">
      <c r="B15" s="2" t="s">
        <v>13</v>
      </c>
      <c r="D15" s="37">
        <v>10</v>
      </c>
      <c r="E15" s="21" t="b">
        <v>1</v>
      </c>
      <c r="G15" s="17" t="s">
        <v>40</v>
      </c>
      <c r="H15" s="21">
        <v>5</v>
      </c>
      <c r="I15" s="17"/>
      <c r="J15" s="15"/>
      <c r="K15" s="67">
        <v>6000</v>
      </c>
      <c r="L15" s="45">
        <v>6000</v>
      </c>
      <c r="M15" s="73">
        <v>2</v>
      </c>
      <c r="N15" s="70" t="s">
        <v>176</v>
      </c>
      <c r="O15" s="45">
        <f t="shared" si="1"/>
        <v>0</v>
      </c>
      <c r="P15" s="15"/>
    </row>
    <row r="16" spans="2:16" x14ac:dyDescent="0.25">
      <c r="B16" s="38" t="s">
        <v>17</v>
      </c>
      <c r="C16" s="15"/>
      <c r="D16" s="39">
        <v>10</v>
      </c>
      <c r="E16" s="22" t="b">
        <v>1</v>
      </c>
      <c r="G16" s="17" t="s">
        <v>41</v>
      </c>
      <c r="H16" s="21">
        <v>1</v>
      </c>
      <c r="I16" s="17"/>
      <c r="J16" s="15"/>
      <c r="K16" s="67">
        <v>6000</v>
      </c>
      <c r="L16" s="45">
        <v>6000</v>
      </c>
      <c r="M16" s="73">
        <v>2</v>
      </c>
      <c r="N16" s="70" t="s">
        <v>177</v>
      </c>
      <c r="O16" s="45">
        <f t="shared" si="1"/>
        <v>0</v>
      </c>
      <c r="P16" s="15"/>
    </row>
    <row r="17" spans="1:16" x14ac:dyDescent="0.25">
      <c r="B17" s="38" t="s">
        <v>18</v>
      </c>
      <c r="C17" s="15"/>
      <c r="D17" s="39">
        <v>1000</v>
      </c>
      <c r="E17" s="22" t="b">
        <v>1</v>
      </c>
      <c r="F17" s="22" t="b">
        <v>0</v>
      </c>
      <c r="G17" s="17" t="s">
        <v>42</v>
      </c>
      <c r="I17" s="17"/>
      <c r="J17" s="15"/>
      <c r="K17" s="67">
        <v>6000</v>
      </c>
      <c r="L17" s="45">
        <v>6000</v>
      </c>
      <c r="M17" s="73">
        <v>2</v>
      </c>
      <c r="N17" s="70" t="s">
        <v>178</v>
      </c>
      <c r="O17" s="45">
        <f t="shared" si="1"/>
        <v>0</v>
      </c>
      <c r="P17" s="15"/>
    </row>
    <row r="18" spans="1:16" x14ac:dyDescent="0.25">
      <c r="B18" s="38"/>
      <c r="C18" s="15"/>
      <c r="D18" s="40"/>
      <c r="E18" s="22"/>
      <c r="G18" s="17" t="s">
        <v>43</v>
      </c>
      <c r="H18" s="15"/>
      <c r="I18" s="17"/>
      <c r="J18" s="15"/>
      <c r="K18" s="67">
        <v>6000</v>
      </c>
      <c r="L18" s="45">
        <v>6000</v>
      </c>
      <c r="M18" s="73">
        <v>2</v>
      </c>
      <c r="N18" s="70" t="s">
        <v>179</v>
      </c>
      <c r="O18" s="45">
        <f t="shared" si="1"/>
        <v>0</v>
      </c>
      <c r="P18" s="15"/>
    </row>
    <row r="19" spans="1:16" x14ac:dyDescent="0.25">
      <c r="B19" s="38"/>
      <c r="C19" s="15"/>
      <c r="D19" s="40"/>
      <c r="E19" s="22"/>
      <c r="G19" s="17" t="s">
        <v>44</v>
      </c>
      <c r="H19" s="15"/>
      <c r="I19" s="16"/>
      <c r="J19" s="15"/>
      <c r="K19" s="67">
        <v>6000</v>
      </c>
      <c r="L19" s="45">
        <v>6000</v>
      </c>
      <c r="M19" s="73">
        <v>2</v>
      </c>
      <c r="N19" s="70" t="s">
        <v>180</v>
      </c>
      <c r="O19" s="45">
        <f t="shared" si="1"/>
        <v>0</v>
      </c>
      <c r="P19" s="15"/>
    </row>
    <row r="20" spans="1:16" x14ac:dyDescent="0.25">
      <c r="B20" s="38"/>
      <c r="C20" s="15"/>
      <c r="D20" s="40"/>
      <c r="E20" s="22"/>
      <c r="H20" s="15"/>
      <c r="I20" s="16"/>
      <c r="J20" s="15"/>
      <c r="K20" s="67">
        <v>6000</v>
      </c>
      <c r="L20" s="45">
        <v>6000</v>
      </c>
      <c r="M20" s="73">
        <v>2</v>
      </c>
      <c r="N20" s="70" t="s">
        <v>181</v>
      </c>
      <c r="O20" s="45">
        <f t="shared" si="1"/>
        <v>0</v>
      </c>
      <c r="P20" s="15"/>
    </row>
    <row r="21" spans="1:16" x14ac:dyDescent="0.25">
      <c r="B21" s="38"/>
      <c r="C21" s="15"/>
      <c r="D21" s="40"/>
      <c r="E21" s="22"/>
      <c r="H21" s="15"/>
      <c r="I21" s="16"/>
      <c r="J21" s="15"/>
      <c r="K21" s="67">
        <v>6000</v>
      </c>
      <c r="L21" s="45">
        <v>6000</v>
      </c>
      <c r="M21" s="73">
        <v>2</v>
      </c>
      <c r="N21" s="70" t="s">
        <v>182</v>
      </c>
      <c r="O21" s="45">
        <f t="shared" si="1"/>
        <v>0</v>
      </c>
      <c r="P21" s="15"/>
    </row>
    <row r="22" spans="1:16" x14ac:dyDescent="0.25">
      <c r="B22" s="38"/>
      <c r="C22" s="15"/>
      <c r="D22" s="40"/>
      <c r="E22" s="22"/>
      <c r="H22" s="15"/>
      <c r="I22" s="16"/>
      <c r="J22" s="15"/>
      <c r="K22" s="67">
        <v>6000</v>
      </c>
      <c r="L22" s="45">
        <v>6000</v>
      </c>
      <c r="M22" s="73">
        <v>2</v>
      </c>
      <c r="N22" s="70" t="s">
        <v>183</v>
      </c>
      <c r="O22" s="45">
        <f t="shared" si="1"/>
        <v>0</v>
      </c>
      <c r="P22" s="15"/>
    </row>
    <row r="23" spans="1:16" x14ac:dyDescent="0.25">
      <c r="B23" s="2" t="s">
        <v>2</v>
      </c>
      <c r="H23" s="2" t="s">
        <v>5</v>
      </c>
      <c r="I23" s="2"/>
      <c r="J23" s="15"/>
      <c r="K23" s="67">
        <v>6000</v>
      </c>
      <c r="L23" s="45">
        <v>6000</v>
      </c>
      <c r="M23" s="73">
        <v>2</v>
      </c>
      <c r="N23" s="70" t="s">
        <v>184</v>
      </c>
      <c r="O23" s="45">
        <f t="shared" si="1"/>
        <v>0</v>
      </c>
      <c r="P23" s="15"/>
    </row>
    <row r="24" spans="1:16" x14ac:dyDescent="0.25">
      <c r="B24" s="3" t="s">
        <v>14</v>
      </c>
      <c r="C24" s="3" t="s">
        <v>1</v>
      </c>
      <c r="D24" s="3" t="s">
        <v>0</v>
      </c>
      <c r="E24" s="3" t="s">
        <v>8</v>
      </c>
      <c r="F24" s="4" t="s">
        <v>9</v>
      </c>
      <c r="H24" s="3" t="s">
        <v>1</v>
      </c>
      <c r="I24" s="3" t="s">
        <v>0</v>
      </c>
      <c r="J24" s="15"/>
      <c r="K24" s="67">
        <v>6000</v>
      </c>
      <c r="L24" s="45">
        <v>6000</v>
      </c>
      <c r="M24" s="73">
        <v>2</v>
      </c>
      <c r="N24" s="70" t="s">
        <v>185</v>
      </c>
      <c r="O24" s="45">
        <f t="shared" si="1"/>
        <v>0</v>
      </c>
      <c r="P24" s="15"/>
    </row>
    <row r="25" spans="1:16" x14ac:dyDescent="0.25">
      <c r="B25" s="27"/>
      <c r="C25" s="27">
        <f>IF(D25="много","много",SUMPRODUCT(C26:C115,D26:D115))</f>
        <v>316956</v>
      </c>
      <c r="D25" s="23">
        <f t="array" ref="D25">IF(OR((D26:D115="")+(C26:C115="")=1),"много",SUM(D26:D115))</f>
        <v>256</v>
      </c>
      <c r="E25" s="23">
        <f>SUM(E26:E115)</f>
        <v>256</v>
      </c>
      <c r="F25" s="23">
        <f>IF(D25="много","много",SUM(F26:F115))</f>
        <v>0</v>
      </c>
      <c r="H25" s="27">
        <f>SUMPRODUCT(H26:H115,I26:I115)</f>
        <v>0</v>
      </c>
      <c r="I25" s="23">
        <f>SUM(I26:I115)</f>
        <v>0</v>
      </c>
      <c r="J25" s="15"/>
      <c r="K25" s="67">
        <v>6000</v>
      </c>
      <c r="L25" s="45">
        <v>6000</v>
      </c>
      <c r="M25" s="73">
        <v>2</v>
      </c>
      <c r="N25" s="70" t="s">
        <v>186</v>
      </c>
      <c r="O25" s="45">
        <f t="shared" si="1"/>
        <v>0</v>
      </c>
      <c r="P25" s="15"/>
    </row>
    <row r="26" spans="1:16" x14ac:dyDescent="0.25">
      <c r="A26" s="17">
        <v>2</v>
      </c>
      <c r="B26" s="36">
        <f>IF(N(C26)=0,"",1)</f>
        <v>1</v>
      </c>
      <c r="C26" s="54">
        <v>636</v>
      </c>
      <c r="D26" s="44">
        <v>4</v>
      </c>
      <c r="E26" s="24">
        <f t="shared" ref="E26:E89" si="3">IF($K$3=0,0,IF(ISNA(VLOOKUP(C26,H$26:I$115,2,))*C26,D26,IF(C26="","",IF(D26="",TRUNC($C$3/C26)-VLOOKUP(C26,H$26:I$115,2,),D26-VLOOKUP(C26,H$26:I$115,2,)))))</f>
        <v>4</v>
      </c>
      <c r="F26" s="24">
        <f t="shared" ref="F26:F89" si="4">IF($K$3=0,"",IF(AND(C26&lt;&gt;"",D26&lt;&gt;""),D26-E26,IF(D26="","",TRUNC($C$3/C26)-VLOOKUP(C26,H$26:I$115,2,))))</f>
        <v>0</v>
      </c>
      <c r="G26" s="47">
        <f>--(C26+H26+K26&gt;0)</f>
        <v>1</v>
      </c>
      <c r="H26" s="51"/>
      <c r="I26" s="18"/>
      <c r="J26" s="15"/>
      <c r="K26" s="67">
        <v>6000</v>
      </c>
      <c r="L26" s="45">
        <v>6000</v>
      </c>
      <c r="M26" s="73">
        <v>2</v>
      </c>
      <c r="N26" s="70" t="s">
        <v>187</v>
      </c>
      <c r="O26" s="45">
        <f t="shared" si="1"/>
        <v>0</v>
      </c>
      <c r="P26" s="15"/>
    </row>
    <row r="27" spans="1:16" x14ac:dyDescent="0.25">
      <c r="A27" s="17">
        <v>3</v>
      </c>
      <c r="B27" s="34">
        <f>IF(N(C27)=0,"",IF(ISNUMBER(MATCH(C27,C$26:C26,)),INDEX(B$26:B26,MATCH(C27,C$26:C26,)),MAX(B$26:B26)+1))</f>
        <v>2</v>
      </c>
      <c r="C27" s="55">
        <v>676</v>
      </c>
      <c r="D27" s="7">
        <v>4</v>
      </c>
      <c r="E27" s="25">
        <f t="shared" si="3"/>
        <v>4</v>
      </c>
      <c r="F27" s="25">
        <f t="shared" si="4"/>
        <v>0</v>
      </c>
      <c r="G27" s="47">
        <f t="shared" ref="G27:G90" si="5">--(C27+H27+K27&gt;0)</f>
        <v>1</v>
      </c>
      <c r="H27" s="52"/>
      <c r="I27" s="19"/>
      <c r="J27" s="15"/>
      <c r="K27" s="67">
        <v>6000</v>
      </c>
      <c r="L27" s="45">
        <v>5998</v>
      </c>
      <c r="M27" s="73">
        <v>2</v>
      </c>
      <c r="N27" s="70" t="s">
        <v>188</v>
      </c>
      <c r="O27" s="45">
        <f t="shared" si="1"/>
        <v>2</v>
      </c>
      <c r="P27" s="15"/>
    </row>
    <row r="28" spans="1:16" x14ac:dyDescent="0.25">
      <c r="A28" s="17">
        <v>4</v>
      </c>
      <c r="B28" s="34">
        <f>IF(N(C28)=0,"",IF(ISNUMBER(MATCH(C28,C$26:C27,)),INDEX(B$26:B27,MATCH(C28,C$26:C27,)),MAX(B$26:B27)+1))</f>
        <v>3</v>
      </c>
      <c r="C28" s="55">
        <v>686</v>
      </c>
      <c r="D28" s="7">
        <v>4</v>
      </c>
      <c r="E28" s="25">
        <f t="shared" si="3"/>
        <v>4</v>
      </c>
      <c r="F28" s="25">
        <f t="shared" si="4"/>
        <v>0</v>
      </c>
      <c r="G28" s="47">
        <f t="shared" si="5"/>
        <v>1</v>
      </c>
      <c r="H28" s="52"/>
      <c r="I28" s="19"/>
      <c r="J28" s="15"/>
      <c r="K28" s="67">
        <v>6000</v>
      </c>
      <c r="L28" s="45">
        <v>5998</v>
      </c>
      <c r="M28" s="73">
        <v>2</v>
      </c>
      <c r="N28" s="70" t="s">
        <v>55</v>
      </c>
      <c r="O28" s="45">
        <f t="shared" si="1"/>
        <v>2</v>
      </c>
      <c r="P28" s="15"/>
    </row>
    <row r="29" spans="1:16" x14ac:dyDescent="0.25">
      <c r="A29" s="17">
        <v>5</v>
      </c>
      <c r="B29" s="34">
        <f>IF(N(C29)=0,"",IF(ISNUMBER(MATCH(C29,C$26:C28,)),INDEX(B$26:B28,MATCH(C29,C$26:C28,)),MAX(B$26:B28)+1))</f>
        <v>4</v>
      </c>
      <c r="C29" s="55">
        <v>696</v>
      </c>
      <c r="D29" s="7">
        <v>4</v>
      </c>
      <c r="E29" s="25">
        <f t="shared" si="3"/>
        <v>4</v>
      </c>
      <c r="F29" s="25">
        <f t="shared" si="4"/>
        <v>0</v>
      </c>
      <c r="G29" s="47">
        <f t="shared" si="5"/>
        <v>1</v>
      </c>
      <c r="H29" s="52"/>
      <c r="I29" s="19"/>
      <c r="J29" s="15"/>
      <c r="K29" s="67">
        <v>6000</v>
      </c>
      <c r="L29" s="45">
        <v>5994</v>
      </c>
      <c r="M29" s="73">
        <v>2</v>
      </c>
      <c r="N29" s="70" t="s">
        <v>189</v>
      </c>
      <c r="O29" s="45">
        <f t="shared" si="1"/>
        <v>6</v>
      </c>
      <c r="P29" s="15"/>
    </row>
    <row r="30" spans="1:16" x14ac:dyDescent="0.25">
      <c r="A30" s="17">
        <v>6</v>
      </c>
      <c r="B30" s="34">
        <f>IF(N(C30)=0,"",IF(ISNUMBER(MATCH(C30,C$26:C29,)),INDEX(B$26:B29,MATCH(C30,C$26:C29,)),MAX(B$26:B29)+1))</f>
        <v>5</v>
      </c>
      <c r="C30" s="55">
        <v>706</v>
      </c>
      <c r="D30" s="7">
        <v>8</v>
      </c>
      <c r="E30" s="25">
        <f t="shared" si="3"/>
        <v>8</v>
      </c>
      <c r="F30" s="25">
        <f t="shared" si="4"/>
        <v>0</v>
      </c>
      <c r="G30" s="47">
        <f t="shared" si="5"/>
        <v>1</v>
      </c>
      <c r="H30" s="52"/>
      <c r="I30" s="19"/>
      <c r="J30" s="15"/>
      <c r="K30" s="68">
        <v>6000</v>
      </c>
      <c r="L30" s="46">
        <v>4038</v>
      </c>
      <c r="M30" s="74">
        <v>2</v>
      </c>
      <c r="N30" s="71" t="s">
        <v>190</v>
      </c>
      <c r="O30" s="46">
        <f t="shared" si="1"/>
        <v>1962</v>
      </c>
      <c r="P30" s="15"/>
    </row>
    <row r="31" spans="1:16" x14ac:dyDescent="0.25">
      <c r="A31" s="17">
        <v>7</v>
      </c>
      <c r="B31" s="34">
        <f>IF(N(C31)=0,"",IF(ISNUMBER(MATCH(C31,C$26:C30,)),INDEX(B$26:B30,MATCH(C31,C$26:C30,)),MAX(B$26:B30)+1))</f>
        <v>6</v>
      </c>
      <c r="C31" s="55">
        <v>1066</v>
      </c>
      <c r="D31" s="7">
        <v>8</v>
      </c>
      <c r="E31" s="25">
        <f t="shared" si="3"/>
        <v>8</v>
      </c>
      <c r="F31" s="25">
        <f t="shared" si="4"/>
        <v>0</v>
      </c>
      <c r="G31" s="47">
        <f t="shared" si="5"/>
        <v>1</v>
      </c>
      <c r="H31" s="52"/>
      <c r="I31" s="19"/>
      <c r="J31" s="15"/>
      <c r="K31"/>
      <c r="L31"/>
      <c r="M31"/>
      <c r="N31"/>
      <c r="O31"/>
      <c r="P31" s="15"/>
    </row>
    <row r="32" spans="1:16" x14ac:dyDescent="0.25">
      <c r="A32" s="17">
        <v>8</v>
      </c>
      <c r="B32" s="34">
        <f>IF(N(C32)=0,"",IF(ISNUMBER(MATCH(C32,C$26:C31,)),INDEX(B$26:B31,MATCH(C32,C$26:C31,)),MAX(B$26:B31)+1))</f>
        <v>7</v>
      </c>
      <c r="C32" s="55">
        <v>1136</v>
      </c>
      <c r="D32" s="7">
        <v>4</v>
      </c>
      <c r="E32" s="25">
        <f t="shared" si="3"/>
        <v>4</v>
      </c>
      <c r="F32" s="25">
        <f t="shared" si="4"/>
        <v>0</v>
      </c>
      <c r="G32" s="47">
        <f t="shared" si="5"/>
        <v>1</v>
      </c>
      <c r="H32" s="52"/>
      <c r="I32" s="19"/>
      <c r="J32" s="15"/>
      <c r="K32"/>
      <c r="L32"/>
      <c r="M32"/>
      <c r="N32"/>
      <c r="O32"/>
      <c r="P32" s="15"/>
    </row>
    <row r="33" spans="1:16" x14ac:dyDescent="0.25">
      <c r="A33" s="17">
        <v>16</v>
      </c>
      <c r="B33" s="34">
        <f>IF(N(C33)=0,"",IF(ISNUMBER(MATCH(C33,C$26:C32,)),INDEX(B$26:B32,MATCH(C33,C$26:C32,)),MAX(B$26:B32)+1))</f>
        <v>8</v>
      </c>
      <c r="C33" s="55">
        <v>1166</v>
      </c>
      <c r="D33" s="7">
        <v>12</v>
      </c>
      <c r="E33" s="25">
        <f t="shared" si="3"/>
        <v>12</v>
      </c>
      <c r="F33" s="25">
        <f t="shared" si="4"/>
        <v>0</v>
      </c>
      <c r="G33" s="47">
        <f t="shared" si="5"/>
        <v>1</v>
      </c>
      <c r="H33" s="52"/>
      <c r="I33" s="19"/>
      <c r="J33" s="15"/>
      <c r="K33"/>
      <c r="L33"/>
      <c r="M33"/>
      <c r="N33"/>
      <c r="O33"/>
      <c r="P33" s="15"/>
    </row>
    <row r="34" spans="1:16" x14ac:dyDescent="0.25">
      <c r="A34" s="17">
        <v>17</v>
      </c>
      <c r="B34" s="34">
        <f>IF(N(C34)=0,"",IF(ISNUMBER(MATCH(C34,C$26:C33,)),INDEX(B$26:B33,MATCH(C34,C$26:C33,)),MAX(B$26:B33)+1))</f>
        <v>9</v>
      </c>
      <c r="C34" s="55">
        <v>1316</v>
      </c>
      <c r="D34" s="7">
        <v>6</v>
      </c>
      <c r="E34" s="25">
        <f t="shared" si="3"/>
        <v>6</v>
      </c>
      <c r="F34" s="25">
        <f t="shared" si="4"/>
        <v>0</v>
      </c>
      <c r="G34" s="47">
        <f t="shared" si="5"/>
        <v>1</v>
      </c>
      <c r="H34" s="52"/>
      <c r="I34" s="19"/>
      <c r="J34" s="15"/>
      <c r="K34"/>
      <c r="L34"/>
      <c r="M34"/>
      <c r="N34"/>
      <c r="O34"/>
      <c r="P34" s="15"/>
    </row>
    <row r="35" spans="1:16" x14ac:dyDescent="0.25">
      <c r="A35" s="17">
        <v>18</v>
      </c>
      <c r="B35" s="34">
        <f>IF(N(C35)=0,"",IF(ISNUMBER(MATCH(C35,C$26:C34,)),INDEX(B$26:B34,MATCH(C35,C$26:C34,)),MAX(B$26:B34)+1))</f>
        <v>10</v>
      </c>
      <c r="C35" s="55">
        <v>1436</v>
      </c>
      <c r="D35" s="7">
        <v>4</v>
      </c>
      <c r="E35" s="25">
        <f t="shared" si="3"/>
        <v>4</v>
      </c>
      <c r="F35" s="25">
        <f t="shared" si="4"/>
        <v>0</v>
      </c>
      <c r="G35" s="47">
        <f t="shared" si="5"/>
        <v>1</v>
      </c>
      <c r="H35" s="52"/>
      <c r="I35" s="19"/>
      <c r="J35" s="15"/>
      <c r="K35"/>
      <c r="L35"/>
      <c r="M35"/>
      <c r="N35"/>
      <c r="O35"/>
      <c r="P35" s="15"/>
    </row>
    <row r="36" spans="1:16" x14ac:dyDescent="0.25">
      <c r="A36" s="17">
        <v>19</v>
      </c>
      <c r="B36" s="34">
        <f>IF(N(C36)=0,"",IF(ISNUMBER(MATCH(C36,C$26:C35,)),INDEX(B$26:B35,MATCH(C36,C$26:C35,)),MAX(B$26:B35)+1))</f>
        <v>11</v>
      </c>
      <c r="C36" s="55">
        <v>1526</v>
      </c>
      <c r="D36" s="7">
        <v>10</v>
      </c>
      <c r="E36" s="25">
        <f t="shared" si="3"/>
        <v>10</v>
      </c>
      <c r="F36" s="25">
        <f t="shared" si="4"/>
        <v>0</v>
      </c>
      <c r="G36" s="47">
        <f t="shared" si="5"/>
        <v>1</v>
      </c>
      <c r="H36" s="52"/>
      <c r="I36" s="19"/>
      <c r="J36" s="15"/>
      <c r="K36"/>
      <c r="L36"/>
      <c r="M36"/>
      <c r="N36"/>
      <c r="O36"/>
      <c r="P36" s="15"/>
    </row>
    <row r="37" spans="1:16" x14ac:dyDescent="0.25">
      <c r="A37" s="17">
        <v>20</v>
      </c>
      <c r="B37" s="34">
        <f>IF(N(C37)=0,"",IF(ISNUMBER(MATCH(C37,C$26:C36,)),INDEX(B$26:B36,MATCH(C37,C$26:C36,)),MAX(B$26:B36)+1))</f>
        <v>12</v>
      </c>
      <c r="C37" s="55">
        <v>1576</v>
      </c>
      <c r="D37" s="7">
        <v>2</v>
      </c>
      <c r="E37" s="25">
        <f t="shared" si="3"/>
        <v>2</v>
      </c>
      <c r="F37" s="25">
        <f t="shared" si="4"/>
        <v>0</v>
      </c>
      <c r="G37" s="47">
        <f t="shared" si="5"/>
        <v>1</v>
      </c>
      <c r="H37" s="52"/>
      <c r="I37" s="19"/>
      <c r="J37" s="15"/>
      <c r="K37"/>
      <c r="L37"/>
      <c r="M37"/>
      <c r="N37"/>
      <c r="O37"/>
      <c r="P37" s="15"/>
    </row>
    <row r="38" spans="1:16" x14ac:dyDescent="0.25">
      <c r="A38" s="17">
        <v>21</v>
      </c>
      <c r="B38" s="34">
        <f>IF(N(C38)=0,"",IF(ISNUMBER(MATCH(C38,C$26:C37,)),INDEX(B$26:B37,MATCH(C38,C$26:C37,)),MAX(B$26:B37)+1))</f>
        <v>13</v>
      </c>
      <c r="C38" s="55">
        <v>2036</v>
      </c>
      <c r="D38" s="7">
        <v>2</v>
      </c>
      <c r="E38" s="25">
        <f t="shared" si="3"/>
        <v>2</v>
      </c>
      <c r="F38" s="25">
        <f t="shared" si="4"/>
        <v>0</v>
      </c>
      <c r="G38" s="47">
        <f t="shared" si="5"/>
        <v>1</v>
      </c>
      <c r="H38" s="52"/>
      <c r="I38" s="19"/>
      <c r="J38" s="15"/>
      <c r="K38"/>
      <c r="L38"/>
      <c r="M38"/>
      <c r="N38"/>
      <c r="O38"/>
      <c r="P38" s="15"/>
    </row>
    <row r="39" spans="1:16" x14ac:dyDescent="0.25">
      <c r="A39" s="17">
        <v>22</v>
      </c>
      <c r="B39" s="34">
        <f>IF(N(C39)=0,"",IF(ISNUMBER(MATCH(C39,C$26:C38,)),INDEX(B$26:B38,MATCH(C39,C$26:C38,)),MAX(B$26:B38)+1))</f>
        <v>14</v>
      </c>
      <c r="C39" s="55">
        <v>496</v>
      </c>
      <c r="D39" s="7">
        <v>2</v>
      </c>
      <c r="E39" s="25">
        <f t="shared" si="3"/>
        <v>2</v>
      </c>
      <c r="F39" s="25">
        <f t="shared" si="4"/>
        <v>0</v>
      </c>
      <c r="G39" s="47">
        <f t="shared" si="5"/>
        <v>1</v>
      </c>
      <c r="H39" s="52"/>
      <c r="I39" s="19"/>
      <c r="J39" s="15"/>
      <c r="K39"/>
      <c r="L39"/>
      <c r="M39"/>
      <c r="N39"/>
      <c r="O39"/>
      <c r="P39" s="15"/>
    </row>
    <row r="40" spans="1:16" x14ac:dyDescent="0.25">
      <c r="A40" s="17">
        <v>23</v>
      </c>
      <c r="B40" s="34">
        <f>IF(N(C40)=0,"",IF(ISNUMBER(MATCH(C40,C$26:C39,)),INDEX(B$26:B39,MATCH(C40,C$26:C39,)),MAX(B$26:B39)+1))</f>
        <v>15</v>
      </c>
      <c r="C40" s="55">
        <v>1936</v>
      </c>
      <c r="D40" s="7">
        <v>2</v>
      </c>
      <c r="E40" s="25">
        <f t="shared" si="3"/>
        <v>2</v>
      </c>
      <c r="F40" s="25">
        <f t="shared" si="4"/>
        <v>0</v>
      </c>
      <c r="G40" s="47">
        <f t="shared" si="5"/>
        <v>1</v>
      </c>
      <c r="H40" s="52"/>
      <c r="I40" s="19"/>
      <c r="J40" s="15"/>
      <c r="K40"/>
      <c r="L40"/>
      <c r="M40"/>
      <c r="N40"/>
      <c r="O40"/>
      <c r="P40" s="15"/>
    </row>
    <row r="41" spans="1:16" x14ac:dyDescent="0.25">
      <c r="A41" s="17">
        <v>24</v>
      </c>
      <c r="B41" s="34">
        <f>IF(N(C41)=0,"",IF(ISNUMBER(MATCH(C41,C$26:C40,)),INDEX(B$26:B40,MATCH(C41,C$26:C40,)),MAX(B$26:B40)+1))</f>
        <v>16</v>
      </c>
      <c r="C41" s="55">
        <v>1386</v>
      </c>
      <c r="D41" s="7">
        <v>6</v>
      </c>
      <c r="E41" s="25">
        <f t="shared" si="3"/>
        <v>6</v>
      </c>
      <c r="F41" s="25">
        <f t="shared" si="4"/>
        <v>0</v>
      </c>
      <c r="G41" s="47">
        <f t="shared" si="5"/>
        <v>1</v>
      </c>
      <c r="H41" s="52"/>
      <c r="I41" s="19"/>
      <c r="J41" s="15"/>
      <c r="K41"/>
      <c r="L41"/>
      <c r="M41"/>
      <c r="N41"/>
      <c r="O41"/>
      <c r="P41" s="15"/>
    </row>
    <row r="42" spans="1:16" x14ac:dyDescent="0.25">
      <c r="A42" s="17">
        <v>25</v>
      </c>
      <c r="B42" s="34">
        <f>IF(N(C42)=0,"",IF(ISNUMBER(MATCH(C42,C$26:C41,)),INDEX(B$26:B41,MATCH(C42,C$26:C41,)),MAX(B$26:B41)+1))</f>
        <v>17</v>
      </c>
      <c r="C42" s="55">
        <v>1496</v>
      </c>
      <c r="D42" s="7">
        <v>2</v>
      </c>
      <c r="E42" s="25">
        <f t="shared" si="3"/>
        <v>2</v>
      </c>
      <c r="F42" s="25">
        <f t="shared" si="4"/>
        <v>0</v>
      </c>
      <c r="G42" s="47">
        <f t="shared" si="5"/>
        <v>1</v>
      </c>
      <c r="H42" s="52"/>
      <c r="I42" s="19"/>
      <c r="J42" s="15"/>
      <c r="K42"/>
      <c r="L42"/>
      <c r="M42"/>
      <c r="N42"/>
      <c r="O42"/>
      <c r="P42" s="15"/>
    </row>
    <row r="43" spans="1:16" x14ac:dyDescent="0.25">
      <c r="A43" s="17">
        <v>26</v>
      </c>
      <c r="B43" s="34">
        <f>IF(N(C43)=0,"",IF(ISNUMBER(MATCH(C43,C$26:C42,)),INDEX(B$26:B42,MATCH(C43,C$26:C42,)),MAX(B$26:B42)+1))</f>
        <v>18</v>
      </c>
      <c r="C43" s="55">
        <v>1456</v>
      </c>
      <c r="D43" s="7">
        <v>2</v>
      </c>
      <c r="E43" s="25">
        <f t="shared" si="3"/>
        <v>2</v>
      </c>
      <c r="F43" s="25">
        <f t="shared" si="4"/>
        <v>0</v>
      </c>
      <c r="G43" s="47">
        <f t="shared" si="5"/>
        <v>1</v>
      </c>
      <c r="H43" s="52"/>
      <c r="I43" s="19"/>
      <c r="J43" s="15"/>
      <c r="K43"/>
      <c r="L43"/>
      <c r="M43"/>
      <c r="N43"/>
      <c r="O43"/>
      <c r="P43" s="15"/>
    </row>
    <row r="44" spans="1:16" x14ac:dyDescent="0.25">
      <c r="A44" s="17">
        <v>27</v>
      </c>
      <c r="B44" s="34">
        <f>IF(N(C44)=0,"",IF(ISNUMBER(MATCH(C44,C$26:C43,)),INDEX(B$26:B43,MATCH(C44,C$26:C43,)),MAX(B$26:B43)+1))</f>
        <v>19</v>
      </c>
      <c r="C44" s="55">
        <v>1476</v>
      </c>
      <c r="D44" s="7">
        <v>2</v>
      </c>
      <c r="E44" s="25">
        <f t="shared" si="3"/>
        <v>2</v>
      </c>
      <c r="F44" s="25">
        <f t="shared" si="4"/>
        <v>0</v>
      </c>
      <c r="G44" s="47">
        <f t="shared" si="5"/>
        <v>1</v>
      </c>
      <c r="H44" s="52"/>
      <c r="I44" s="19"/>
      <c r="J44" s="15"/>
      <c r="K44"/>
      <c r="L44"/>
      <c r="M44"/>
      <c r="N44"/>
      <c r="O44"/>
      <c r="P44" s="15"/>
    </row>
    <row r="45" spans="1:16" x14ac:dyDescent="0.25">
      <c r="A45" s="17">
        <v>28</v>
      </c>
      <c r="B45" s="34">
        <f>IF(N(C45)=0,"",IF(ISNUMBER(MATCH(C45,C$26:C44,)),INDEX(B$26:B44,MATCH(C45,C$26:C44,)),MAX(B$26:B44)+1))</f>
        <v>20</v>
      </c>
      <c r="C45" s="55">
        <v>1426</v>
      </c>
      <c r="D45" s="7">
        <v>8</v>
      </c>
      <c r="E45" s="25">
        <f t="shared" si="3"/>
        <v>8</v>
      </c>
      <c r="F45" s="25">
        <f t="shared" si="4"/>
        <v>0</v>
      </c>
      <c r="G45" s="47">
        <f t="shared" si="5"/>
        <v>1</v>
      </c>
      <c r="H45" s="52"/>
      <c r="I45" s="19"/>
      <c r="J45" s="15"/>
      <c r="K45"/>
      <c r="L45"/>
      <c r="M45"/>
      <c r="N45"/>
      <c r="O45"/>
      <c r="P45" s="15"/>
    </row>
    <row r="46" spans="1:16" x14ac:dyDescent="0.25">
      <c r="A46" s="17">
        <v>29</v>
      </c>
      <c r="B46" s="34">
        <f>IF(N(C46)=0,"",IF(ISNUMBER(MATCH(C46,C$26:C45,)),INDEX(B$26:B45,MATCH(C46,C$26:C45,)),MAX(B$26:B45)+1))</f>
        <v>21</v>
      </c>
      <c r="C46" s="55">
        <v>956</v>
      </c>
      <c r="D46" s="7">
        <v>4</v>
      </c>
      <c r="E46" s="25">
        <f t="shared" si="3"/>
        <v>4</v>
      </c>
      <c r="F46" s="25">
        <f t="shared" si="4"/>
        <v>0</v>
      </c>
      <c r="G46" s="47">
        <f t="shared" si="5"/>
        <v>1</v>
      </c>
      <c r="H46" s="52"/>
      <c r="I46" s="19"/>
      <c r="J46" s="15"/>
      <c r="K46"/>
      <c r="L46"/>
      <c r="M46"/>
      <c r="N46"/>
      <c r="O46"/>
      <c r="P46" s="15"/>
    </row>
    <row r="47" spans="1:16" x14ac:dyDescent="0.25">
      <c r="A47" s="17">
        <v>30</v>
      </c>
      <c r="B47" s="34">
        <f>IF(N(C47)=0,"",IF(ISNUMBER(MATCH(C47,C$26:C46,)),INDEX(B$26:B46,MATCH(C47,C$26:C46,)),MAX(B$26:B46)+1))</f>
        <v>22</v>
      </c>
      <c r="C47" s="55">
        <v>1246</v>
      </c>
      <c r="D47" s="7">
        <v>4</v>
      </c>
      <c r="E47" s="25">
        <f t="shared" si="3"/>
        <v>4</v>
      </c>
      <c r="F47" s="25">
        <f t="shared" si="4"/>
        <v>0</v>
      </c>
      <c r="G47" s="47">
        <f t="shared" si="5"/>
        <v>1</v>
      </c>
      <c r="H47" s="52"/>
      <c r="I47" s="19"/>
      <c r="J47" s="15"/>
      <c r="K47"/>
      <c r="L47"/>
      <c r="M47"/>
      <c r="N47"/>
      <c r="O47"/>
      <c r="P47" s="15"/>
    </row>
    <row r="48" spans="1:16" x14ac:dyDescent="0.25">
      <c r="A48" s="17">
        <v>31</v>
      </c>
      <c r="B48" s="34">
        <f>IF(N(C48)=0,"",IF(ISNUMBER(MATCH(C48,C$26:C47,)),INDEX(B$26:B47,MATCH(C48,C$26:C47,)),MAX(B$26:B47)+1))</f>
        <v>23</v>
      </c>
      <c r="C48" s="55">
        <v>1196</v>
      </c>
      <c r="D48" s="7">
        <v>6</v>
      </c>
      <c r="E48" s="25">
        <f t="shared" si="3"/>
        <v>6</v>
      </c>
      <c r="F48" s="25">
        <f t="shared" si="4"/>
        <v>0</v>
      </c>
      <c r="G48" s="47">
        <f t="shared" si="5"/>
        <v>1</v>
      </c>
      <c r="H48" s="52"/>
      <c r="I48" s="19"/>
      <c r="J48" s="15"/>
      <c r="K48"/>
      <c r="L48"/>
      <c r="M48"/>
      <c r="N48"/>
      <c r="O48"/>
      <c r="P48" s="15"/>
    </row>
    <row r="49" spans="1:16" x14ac:dyDescent="0.25">
      <c r="A49" s="17">
        <v>32</v>
      </c>
      <c r="B49" s="34">
        <f>IF(N(C49)=0,"",IF(ISNUMBER(MATCH(C49,C$26:C48,)),INDEX(B$26:B48,MATCH(C49,C$26:C48,)),MAX(B$26:B48)+1))</f>
        <v>24</v>
      </c>
      <c r="C49" s="55">
        <v>1226</v>
      </c>
      <c r="D49" s="7">
        <v>2</v>
      </c>
      <c r="E49" s="25">
        <f t="shared" si="3"/>
        <v>2</v>
      </c>
      <c r="F49" s="25">
        <f t="shared" si="4"/>
        <v>0</v>
      </c>
      <c r="G49" s="47">
        <f t="shared" si="5"/>
        <v>1</v>
      </c>
      <c r="H49" s="52"/>
      <c r="I49" s="19"/>
      <c r="J49" s="15"/>
      <c r="K49"/>
      <c r="L49"/>
      <c r="M49"/>
      <c r="N49"/>
      <c r="O49"/>
      <c r="P49" s="15"/>
    </row>
    <row r="50" spans="1:16" x14ac:dyDescent="0.25">
      <c r="A50" s="17">
        <v>33</v>
      </c>
      <c r="B50" s="34">
        <f>IF(N(C50)=0,"",IF(ISNUMBER(MATCH(C50,C$26:C49,)),INDEX(B$26:B49,MATCH(C50,C$26:C49,)),MAX(B$26:B49)+1))</f>
        <v>25</v>
      </c>
      <c r="C50" s="55">
        <v>1156</v>
      </c>
      <c r="D50" s="7">
        <v>2</v>
      </c>
      <c r="E50" s="25">
        <f t="shared" si="3"/>
        <v>2</v>
      </c>
      <c r="F50" s="25">
        <f t="shared" si="4"/>
        <v>0</v>
      </c>
      <c r="G50" s="47">
        <f t="shared" si="5"/>
        <v>1</v>
      </c>
      <c r="H50" s="52"/>
      <c r="I50" s="19"/>
      <c r="J50" s="15"/>
      <c r="K50"/>
      <c r="L50"/>
      <c r="M50"/>
      <c r="N50"/>
      <c r="O50"/>
      <c r="P50" s="15"/>
    </row>
    <row r="51" spans="1:16" x14ac:dyDescent="0.25">
      <c r="A51" s="17">
        <v>34</v>
      </c>
      <c r="B51" s="34">
        <f>IF(N(C51)=0,"",IF(ISNUMBER(MATCH(C51,C$26:C50,)),INDEX(B$26:B50,MATCH(C51,C$26:C50,)),MAX(B$26:B50)+1))</f>
        <v>26</v>
      </c>
      <c r="C51" s="55">
        <v>1176</v>
      </c>
      <c r="D51" s="7">
        <v>4</v>
      </c>
      <c r="E51" s="25">
        <f t="shared" si="3"/>
        <v>4</v>
      </c>
      <c r="F51" s="25">
        <f t="shared" si="4"/>
        <v>0</v>
      </c>
      <c r="G51" s="47">
        <f t="shared" si="5"/>
        <v>1</v>
      </c>
      <c r="H51" s="52"/>
      <c r="I51" s="19"/>
      <c r="J51" s="15"/>
      <c r="K51"/>
      <c r="L51"/>
      <c r="M51"/>
      <c r="N51"/>
      <c r="O51"/>
      <c r="P51" s="15"/>
    </row>
    <row r="52" spans="1:16" x14ac:dyDescent="0.25">
      <c r="A52" s="17">
        <v>35</v>
      </c>
      <c r="B52" s="34">
        <f>IF(N(C52)=0,"",IF(ISNUMBER(MATCH(C52,C$26:C51,)),INDEX(B$26:B51,MATCH(C52,C$26:C51,)),MAX(B$26:B51)+1))</f>
        <v>27</v>
      </c>
      <c r="C52" s="55">
        <v>1186</v>
      </c>
      <c r="D52" s="7">
        <v>2</v>
      </c>
      <c r="E52" s="25">
        <f t="shared" si="3"/>
        <v>2</v>
      </c>
      <c r="F52" s="25">
        <f t="shared" si="4"/>
        <v>0</v>
      </c>
      <c r="G52" s="47">
        <f t="shared" si="5"/>
        <v>1</v>
      </c>
      <c r="H52" s="52"/>
      <c r="I52" s="19"/>
      <c r="J52" s="15"/>
      <c r="K52"/>
      <c r="L52"/>
      <c r="M52"/>
      <c r="N52"/>
      <c r="O52"/>
      <c r="P52" s="15"/>
    </row>
    <row r="53" spans="1:16" x14ac:dyDescent="0.25">
      <c r="A53" s="17">
        <v>36</v>
      </c>
      <c r="B53" s="34">
        <f>IF(N(C53)=0,"",IF(ISNUMBER(MATCH(C53,C$26:C52,)),INDEX(B$26:B52,MATCH(C53,C$26:C52,)),MAX(B$26:B52)+1))</f>
        <v>28</v>
      </c>
      <c r="C53" s="55">
        <v>1116</v>
      </c>
      <c r="D53" s="7">
        <v>2</v>
      </c>
      <c r="E53" s="25">
        <f t="shared" si="3"/>
        <v>2</v>
      </c>
      <c r="F53" s="25">
        <f t="shared" si="4"/>
        <v>0</v>
      </c>
      <c r="G53" s="47">
        <f t="shared" si="5"/>
        <v>1</v>
      </c>
      <c r="H53" s="52"/>
      <c r="I53" s="19"/>
      <c r="J53" s="15"/>
      <c r="K53"/>
      <c r="L53"/>
      <c r="M53"/>
      <c r="N53"/>
      <c r="O53"/>
      <c r="P53" s="15"/>
    </row>
    <row r="54" spans="1:16" x14ac:dyDescent="0.25">
      <c r="A54" s="17">
        <v>37</v>
      </c>
      <c r="B54" s="34">
        <f>IF(N(C54)=0,"",IF(ISNUMBER(MATCH(C54,C$26:C53,)),INDEX(B$26:B53,MATCH(C54,C$26:C53,)),MAX(B$26:B53)+1))</f>
        <v>29</v>
      </c>
      <c r="C54" s="55">
        <v>1006</v>
      </c>
      <c r="D54" s="7">
        <v>2</v>
      </c>
      <c r="E54" s="25">
        <f t="shared" si="3"/>
        <v>2</v>
      </c>
      <c r="F54" s="25">
        <f t="shared" si="4"/>
        <v>0</v>
      </c>
      <c r="G54" s="47">
        <f t="shared" si="5"/>
        <v>1</v>
      </c>
      <c r="H54" s="52"/>
      <c r="I54" s="19"/>
      <c r="J54" s="15"/>
      <c r="K54"/>
      <c r="L54"/>
      <c r="M54"/>
      <c r="N54"/>
      <c r="O54"/>
      <c r="P54" s="15"/>
    </row>
    <row r="55" spans="1:16" x14ac:dyDescent="0.25">
      <c r="A55" s="17">
        <v>38</v>
      </c>
      <c r="B55" s="34">
        <f>IF(N(C55)=0,"",IF(ISNUMBER(MATCH(C55,C$26:C54,)),INDEX(B$26:B54,MATCH(C55,C$26:C54,)),MAX(B$26:B54)+1))</f>
        <v>30</v>
      </c>
      <c r="C55" s="55">
        <v>1016</v>
      </c>
      <c r="D55" s="7">
        <v>2</v>
      </c>
      <c r="E55" s="25">
        <f t="shared" si="3"/>
        <v>2</v>
      </c>
      <c r="F55" s="25">
        <f t="shared" si="4"/>
        <v>0</v>
      </c>
      <c r="G55" s="47">
        <f t="shared" si="5"/>
        <v>1</v>
      </c>
      <c r="H55" s="52"/>
      <c r="I55" s="19"/>
      <c r="J55" s="15"/>
      <c r="K55"/>
      <c r="L55"/>
      <c r="M55"/>
      <c r="N55"/>
      <c r="O55"/>
      <c r="P55" s="15"/>
    </row>
    <row r="56" spans="1:16" x14ac:dyDescent="0.25">
      <c r="A56" s="17">
        <v>39</v>
      </c>
      <c r="B56" s="34">
        <f>IF(N(C56)=0,"",IF(ISNUMBER(MATCH(C56,C$26:C55,)),INDEX(B$26:B55,MATCH(C56,C$26:C55,)),MAX(B$26:B55)+1))</f>
        <v>31</v>
      </c>
      <c r="C56" s="55">
        <v>976</v>
      </c>
      <c r="D56" s="7">
        <v>8</v>
      </c>
      <c r="E56" s="25">
        <f t="shared" si="3"/>
        <v>8</v>
      </c>
      <c r="F56" s="25">
        <f t="shared" si="4"/>
        <v>0</v>
      </c>
      <c r="G56" s="47">
        <f t="shared" si="5"/>
        <v>1</v>
      </c>
      <c r="H56" s="52"/>
      <c r="I56" s="19"/>
      <c r="J56" s="15"/>
      <c r="K56"/>
      <c r="L56"/>
      <c r="M56"/>
      <c r="N56"/>
      <c r="O56"/>
      <c r="P56" s="15"/>
    </row>
    <row r="57" spans="1:16" x14ac:dyDescent="0.25">
      <c r="A57" s="17">
        <v>40</v>
      </c>
      <c r="B57" s="34">
        <f>IF(N(C57)=0,"",IF(ISNUMBER(MATCH(C57,C$26:C56,)),INDEX(B$26:B56,MATCH(C57,C$26:C56,)),MAX(B$26:B56)+1))</f>
        <v>32</v>
      </c>
      <c r="C57" s="55">
        <v>836</v>
      </c>
      <c r="D57" s="7">
        <v>6</v>
      </c>
      <c r="E57" s="25">
        <f t="shared" si="3"/>
        <v>6</v>
      </c>
      <c r="F57" s="25">
        <f t="shared" si="4"/>
        <v>0</v>
      </c>
      <c r="G57" s="47">
        <f t="shared" si="5"/>
        <v>1</v>
      </c>
      <c r="H57" s="52"/>
      <c r="I57" s="19"/>
      <c r="J57" s="15"/>
      <c r="K57"/>
      <c r="L57"/>
      <c r="M57"/>
      <c r="N57"/>
      <c r="O57"/>
      <c r="P57" s="15"/>
    </row>
    <row r="58" spans="1:16" x14ac:dyDescent="0.25">
      <c r="A58" s="17">
        <v>41</v>
      </c>
      <c r="B58" s="34">
        <f>IF(N(C58)=0,"",IF(ISNUMBER(MATCH(C58,C$26:C57,)),INDEX(B$26:B57,MATCH(C58,C$26:C57,)),MAX(B$26:B57)+1))</f>
        <v>33</v>
      </c>
      <c r="C58" s="55">
        <v>846</v>
      </c>
      <c r="D58" s="7">
        <v>2</v>
      </c>
      <c r="E58" s="25">
        <f t="shared" si="3"/>
        <v>2</v>
      </c>
      <c r="F58" s="25">
        <f t="shared" si="4"/>
        <v>0</v>
      </c>
      <c r="G58" s="47">
        <f t="shared" si="5"/>
        <v>1</v>
      </c>
      <c r="H58" s="52"/>
      <c r="I58" s="19"/>
      <c r="J58" s="15"/>
      <c r="K58"/>
      <c r="L58"/>
      <c r="M58"/>
      <c r="N58"/>
      <c r="O58"/>
      <c r="P58" s="15"/>
    </row>
    <row r="59" spans="1:16" x14ac:dyDescent="0.25">
      <c r="A59" s="17">
        <v>42</v>
      </c>
      <c r="B59" s="34">
        <f>IF(N(C59)=0,"",IF(ISNUMBER(MATCH(C59,C$26:C58,)),INDEX(B$26:B58,MATCH(C59,C$26:C58,)),MAX(B$26:B58)+1))</f>
        <v>34</v>
      </c>
      <c r="C59" s="55">
        <v>776</v>
      </c>
      <c r="D59" s="7">
        <v>2</v>
      </c>
      <c r="E59" s="25">
        <f t="shared" si="3"/>
        <v>2</v>
      </c>
      <c r="F59" s="25">
        <f t="shared" si="4"/>
        <v>0</v>
      </c>
      <c r="G59" s="47">
        <f t="shared" si="5"/>
        <v>1</v>
      </c>
      <c r="H59" s="52"/>
      <c r="I59" s="19"/>
      <c r="J59" s="15"/>
      <c r="K59"/>
      <c r="L59"/>
      <c r="M59"/>
      <c r="N59"/>
      <c r="O59"/>
      <c r="P59" s="15"/>
    </row>
    <row r="60" spans="1:16" x14ac:dyDescent="0.25">
      <c r="A60" s="17">
        <v>43</v>
      </c>
      <c r="B60" s="34">
        <f>IF(N(C60)=0,"",IF(ISNUMBER(MATCH(C60,C$26:C59,)),INDEX(B$26:B59,MATCH(C60,C$26:C59,)),MAX(B$26:B59)+1))</f>
        <v>35</v>
      </c>
      <c r="C60" s="55">
        <v>796</v>
      </c>
      <c r="D60" s="7">
        <v>2</v>
      </c>
      <c r="E60" s="25">
        <f t="shared" si="3"/>
        <v>2</v>
      </c>
      <c r="F60" s="25">
        <f t="shared" si="4"/>
        <v>0</v>
      </c>
      <c r="G60" s="47">
        <f t="shared" si="5"/>
        <v>1</v>
      </c>
      <c r="H60" s="52"/>
      <c r="I60" s="19"/>
      <c r="J60" s="15"/>
      <c r="K60"/>
      <c r="L60"/>
      <c r="M60"/>
      <c r="N60"/>
      <c r="O60"/>
      <c r="P60" s="15"/>
    </row>
    <row r="61" spans="1:16" x14ac:dyDescent="0.25">
      <c r="A61" s="17">
        <v>44</v>
      </c>
      <c r="B61" s="34">
        <f>IF(N(C61)=0,"",IF(ISNUMBER(MATCH(C61,C$26:C60,)),INDEX(B$26:B60,MATCH(C61,C$26:C60,)),MAX(B$26:B60)+1))</f>
        <v>36</v>
      </c>
      <c r="C61" s="55">
        <v>806</v>
      </c>
      <c r="D61" s="7">
        <v>2</v>
      </c>
      <c r="E61" s="25">
        <f t="shared" si="3"/>
        <v>2</v>
      </c>
      <c r="F61" s="25">
        <f t="shared" si="4"/>
        <v>0</v>
      </c>
      <c r="G61" s="47">
        <f t="shared" si="5"/>
        <v>1</v>
      </c>
      <c r="H61" s="52"/>
      <c r="I61" s="19"/>
      <c r="J61" s="15"/>
      <c r="K61"/>
      <c r="L61"/>
      <c r="M61"/>
      <c r="N61"/>
      <c r="O61"/>
      <c r="P61" s="15"/>
    </row>
    <row r="62" spans="1:16" x14ac:dyDescent="0.25">
      <c r="A62" s="17">
        <v>45</v>
      </c>
      <c r="B62" s="34">
        <f>IF(N(C62)=0,"",IF(ISNUMBER(MATCH(C62,C$26:C61,)),INDEX(B$26:B61,MATCH(C62,C$26:C61,)),MAX(B$26:B61)+1))</f>
        <v>37</v>
      </c>
      <c r="C62" s="55">
        <v>746</v>
      </c>
      <c r="D62" s="7">
        <v>2</v>
      </c>
      <c r="E62" s="25">
        <f t="shared" si="3"/>
        <v>2</v>
      </c>
      <c r="F62" s="25">
        <f t="shared" si="4"/>
        <v>0</v>
      </c>
      <c r="G62" s="47">
        <f t="shared" si="5"/>
        <v>1</v>
      </c>
      <c r="H62" s="52"/>
      <c r="I62" s="19"/>
      <c r="J62" s="15"/>
      <c r="K62"/>
      <c r="L62"/>
      <c r="M62"/>
      <c r="N62"/>
      <c r="O62"/>
      <c r="P62" s="15"/>
    </row>
    <row r="63" spans="1:16" x14ac:dyDescent="0.25">
      <c r="A63" s="17">
        <v>46</v>
      </c>
      <c r="B63" s="34">
        <f>IF(N(C63)=0,"",IF(ISNUMBER(MATCH(C63,C$26:C62,)),INDEX(B$26:B62,MATCH(C63,C$26:C62,)),MAX(B$26:B62)+1))</f>
        <v>38</v>
      </c>
      <c r="C63" s="55">
        <v>756</v>
      </c>
      <c r="D63" s="7">
        <v>4</v>
      </c>
      <c r="E63" s="25">
        <f t="shared" si="3"/>
        <v>4</v>
      </c>
      <c r="F63" s="25">
        <f t="shared" si="4"/>
        <v>0</v>
      </c>
      <c r="G63" s="47">
        <f t="shared" si="5"/>
        <v>1</v>
      </c>
      <c r="H63" s="52"/>
      <c r="I63" s="19"/>
      <c r="J63" s="15"/>
      <c r="K63"/>
      <c r="L63"/>
      <c r="M63"/>
      <c r="N63"/>
      <c r="O63"/>
      <c r="P63" s="15"/>
    </row>
    <row r="64" spans="1:16" x14ac:dyDescent="0.25">
      <c r="A64" s="17">
        <v>47</v>
      </c>
      <c r="B64" s="34">
        <f>IF(N(C64)=0,"",IF(ISNUMBER(MATCH(C64,C$26:C63,)),INDEX(B$26:B63,MATCH(C64,C$26:C63,)),MAX(B$26:B63)+1))</f>
        <v>39</v>
      </c>
      <c r="C64" s="55">
        <v>456</v>
      </c>
      <c r="D64" s="7">
        <v>2</v>
      </c>
      <c r="E64" s="25">
        <f t="shared" si="3"/>
        <v>2</v>
      </c>
      <c r="F64" s="25">
        <f t="shared" si="4"/>
        <v>0</v>
      </c>
      <c r="G64" s="47">
        <f t="shared" si="5"/>
        <v>1</v>
      </c>
      <c r="H64" s="52"/>
      <c r="I64" s="19"/>
      <c r="J64" s="15"/>
      <c r="K64"/>
      <c r="L64"/>
      <c r="M64"/>
      <c r="N64"/>
      <c r="O64"/>
      <c r="P64" s="15"/>
    </row>
    <row r="65" spans="1:16" x14ac:dyDescent="0.25">
      <c r="A65" s="17">
        <v>48</v>
      </c>
      <c r="B65" s="34">
        <f>IF(N(C65)=0,"",IF(ISNUMBER(MATCH(C65,C$26:C64,)),INDEX(B$26:B64,MATCH(C65,C$26:C64,)),MAX(B$26:B64)+1))</f>
        <v>40</v>
      </c>
      <c r="C65" s="55">
        <v>556</v>
      </c>
      <c r="D65" s="7">
        <v>2</v>
      </c>
      <c r="E65" s="25">
        <f t="shared" si="3"/>
        <v>2</v>
      </c>
      <c r="F65" s="25">
        <f t="shared" si="4"/>
        <v>0</v>
      </c>
      <c r="G65" s="47">
        <f t="shared" si="5"/>
        <v>1</v>
      </c>
      <c r="H65" s="52"/>
      <c r="I65" s="19"/>
      <c r="J65" s="15"/>
      <c r="K65"/>
      <c r="L65"/>
      <c r="M65"/>
      <c r="N65"/>
      <c r="O65"/>
      <c r="P65" s="15"/>
    </row>
    <row r="66" spans="1:16" x14ac:dyDescent="0.25">
      <c r="A66" s="17">
        <v>49</v>
      </c>
      <c r="B66" s="34">
        <f>IF(N(C66)=0,"",IF(ISNUMBER(MATCH(C66,C$26:C65,)),INDEX(B$26:B65,MATCH(C66,C$26:C65,)),MAX(B$26:B65)+1))</f>
        <v>41</v>
      </c>
      <c r="C66" s="55">
        <v>606</v>
      </c>
      <c r="D66" s="7">
        <v>2</v>
      </c>
      <c r="E66" s="25">
        <f t="shared" si="3"/>
        <v>2</v>
      </c>
      <c r="F66" s="25">
        <f t="shared" si="4"/>
        <v>0</v>
      </c>
      <c r="G66" s="47">
        <f t="shared" si="5"/>
        <v>1</v>
      </c>
      <c r="H66" s="52"/>
      <c r="I66" s="19"/>
      <c r="J66" s="15"/>
      <c r="K66"/>
      <c r="L66"/>
      <c r="M66"/>
      <c r="N66"/>
      <c r="O66"/>
      <c r="P66" s="15"/>
    </row>
    <row r="67" spans="1:16" x14ac:dyDescent="0.25">
      <c r="A67" s="17">
        <v>50</v>
      </c>
      <c r="B67" s="34">
        <f>IF(N(C67)=0,"",IF(ISNUMBER(MATCH(C67,C$26:C66,)),INDEX(B$26:B66,MATCH(C67,C$26:C66,)),MAX(B$26:B66)+1))</f>
        <v>42</v>
      </c>
      <c r="C67" s="55">
        <v>1266</v>
      </c>
      <c r="D67" s="7">
        <v>2</v>
      </c>
      <c r="E67" s="25">
        <f t="shared" si="3"/>
        <v>2</v>
      </c>
      <c r="F67" s="25">
        <f t="shared" si="4"/>
        <v>0</v>
      </c>
      <c r="G67" s="47">
        <f t="shared" si="5"/>
        <v>1</v>
      </c>
      <c r="H67" s="52"/>
      <c r="I67" s="19"/>
      <c r="J67" s="15"/>
      <c r="K67"/>
      <c r="L67"/>
      <c r="M67"/>
      <c r="N67"/>
      <c r="O67"/>
      <c r="P67" s="15"/>
    </row>
    <row r="68" spans="1:16" x14ac:dyDescent="0.25">
      <c r="A68" s="17">
        <v>51</v>
      </c>
      <c r="B68" s="34">
        <f>IF(N(C68)=0,"",IF(ISNUMBER(MATCH(C68,C$26:C67,)),INDEX(B$26:B67,MATCH(C68,C$26:C67,)),MAX(B$26:B67)+1))</f>
        <v>43</v>
      </c>
      <c r="C68" s="55">
        <v>2346</v>
      </c>
      <c r="D68" s="7">
        <v>2</v>
      </c>
      <c r="E68" s="25">
        <f t="shared" si="3"/>
        <v>2</v>
      </c>
      <c r="F68" s="25">
        <f t="shared" si="4"/>
        <v>0</v>
      </c>
      <c r="G68" s="47">
        <f t="shared" si="5"/>
        <v>1</v>
      </c>
      <c r="H68" s="52"/>
      <c r="I68" s="19"/>
      <c r="J68" s="15"/>
      <c r="K68"/>
      <c r="L68"/>
      <c r="M68"/>
      <c r="N68"/>
      <c r="O68"/>
      <c r="P68" s="15"/>
    </row>
    <row r="69" spans="1:16" x14ac:dyDescent="0.25">
      <c r="A69" s="17">
        <v>52</v>
      </c>
      <c r="B69" s="34">
        <f>IF(N(C69)=0,"",IF(ISNUMBER(MATCH(C69,C$26:C68,)),INDEX(B$26:B68,MATCH(C69,C$26:C68,)),MAX(B$26:B68)+1))</f>
        <v>44</v>
      </c>
      <c r="C69" s="55">
        <v>2286</v>
      </c>
      <c r="D69" s="7">
        <v>2</v>
      </c>
      <c r="E69" s="25">
        <f t="shared" si="3"/>
        <v>2</v>
      </c>
      <c r="F69" s="25">
        <f t="shared" si="4"/>
        <v>0</v>
      </c>
      <c r="G69" s="47">
        <f t="shared" si="5"/>
        <v>1</v>
      </c>
      <c r="H69" s="52"/>
      <c r="I69" s="19"/>
      <c r="J69" s="15"/>
      <c r="K69"/>
      <c r="L69"/>
      <c r="M69"/>
      <c r="N69"/>
      <c r="O69"/>
      <c r="P69" s="15"/>
    </row>
    <row r="70" spans="1:16" x14ac:dyDescent="0.25">
      <c r="A70" s="17">
        <v>53</v>
      </c>
      <c r="B70" s="34">
        <f>IF(N(C70)=0,"",IF(ISNUMBER(MATCH(C70,C$26:C69,)),INDEX(B$26:B69,MATCH(C70,C$26:C69,)),MAX(B$26:B69)+1))</f>
        <v>45</v>
      </c>
      <c r="C70" s="55">
        <v>2176</v>
      </c>
      <c r="D70" s="7">
        <v>2</v>
      </c>
      <c r="E70" s="25">
        <f t="shared" si="3"/>
        <v>2</v>
      </c>
      <c r="F70" s="25">
        <f t="shared" si="4"/>
        <v>0</v>
      </c>
      <c r="G70" s="47">
        <f t="shared" si="5"/>
        <v>1</v>
      </c>
      <c r="H70" s="52"/>
      <c r="I70" s="19"/>
      <c r="J70" s="15"/>
      <c r="K70"/>
      <c r="L70"/>
      <c r="M70"/>
      <c r="N70"/>
      <c r="O70"/>
      <c r="P70" s="15"/>
    </row>
    <row r="71" spans="1:16" x14ac:dyDescent="0.25">
      <c r="A71" s="17">
        <v>54</v>
      </c>
      <c r="B71" s="34">
        <f>IF(N(C71)=0,"",IF(ISNUMBER(MATCH(C71,C$26:C70,)),INDEX(B$26:B70,MATCH(C71,C$26:C70,)),MAX(B$26:B70)+1))</f>
        <v>46</v>
      </c>
      <c r="C71" s="55">
        <v>2136</v>
      </c>
      <c r="D71" s="7">
        <v>2</v>
      </c>
      <c r="E71" s="25">
        <f t="shared" si="3"/>
        <v>2</v>
      </c>
      <c r="F71" s="25">
        <f t="shared" si="4"/>
        <v>0</v>
      </c>
      <c r="G71" s="47">
        <f t="shared" si="5"/>
        <v>1</v>
      </c>
      <c r="H71" s="52"/>
      <c r="I71" s="19"/>
      <c r="J71" s="15"/>
      <c r="K71"/>
      <c r="L71"/>
      <c r="M71"/>
      <c r="N71"/>
      <c r="O71"/>
      <c r="P71" s="15"/>
    </row>
    <row r="72" spans="1:16" x14ac:dyDescent="0.25">
      <c r="A72" s="17">
        <v>55</v>
      </c>
      <c r="B72" s="34">
        <f>IF(N(C72)=0,"",IF(ISNUMBER(MATCH(C72,C$26:C71,)),INDEX(B$26:B71,MATCH(C72,C$26:C71,)),MAX(B$26:B71)+1))</f>
        <v>47</v>
      </c>
      <c r="C72" s="55">
        <v>2126</v>
      </c>
      <c r="D72" s="7">
        <v>2</v>
      </c>
      <c r="E72" s="25">
        <f t="shared" si="3"/>
        <v>2</v>
      </c>
      <c r="F72" s="25">
        <f t="shared" si="4"/>
        <v>0</v>
      </c>
      <c r="G72" s="47">
        <f t="shared" si="5"/>
        <v>1</v>
      </c>
      <c r="H72" s="52"/>
      <c r="I72" s="19"/>
      <c r="J72" s="15"/>
      <c r="K72"/>
      <c r="L72"/>
      <c r="M72"/>
      <c r="N72"/>
      <c r="O72"/>
      <c r="P72" s="15"/>
    </row>
    <row r="73" spans="1:16" x14ac:dyDescent="0.25">
      <c r="A73" s="17">
        <v>56</v>
      </c>
      <c r="B73" s="34">
        <f>IF(N(C73)=0,"",IF(ISNUMBER(MATCH(C73,C$26:C72,)),INDEX(B$26:B72,MATCH(C73,C$26:C72,)),MAX(B$26:B72)+1))</f>
        <v>48</v>
      </c>
      <c r="C73" s="55">
        <v>2106</v>
      </c>
      <c r="D73" s="7">
        <v>2</v>
      </c>
      <c r="E73" s="25">
        <f t="shared" si="3"/>
        <v>2</v>
      </c>
      <c r="F73" s="25">
        <f t="shared" si="4"/>
        <v>0</v>
      </c>
      <c r="G73" s="47">
        <f t="shared" si="5"/>
        <v>1</v>
      </c>
      <c r="H73" s="52"/>
      <c r="I73" s="19"/>
      <c r="J73" s="15"/>
      <c r="K73"/>
      <c r="L73"/>
      <c r="M73"/>
      <c r="N73"/>
      <c r="O73"/>
      <c r="P73" s="15"/>
    </row>
    <row r="74" spans="1:16" x14ac:dyDescent="0.25">
      <c r="A74" s="17">
        <v>57</v>
      </c>
      <c r="B74" s="34">
        <f>IF(N(C74)=0,"",IF(ISNUMBER(MATCH(C74,C$26:C73,)),INDEX(B$26:B73,MATCH(C74,C$26:C73,)),MAX(B$26:B73)+1))</f>
        <v>49</v>
      </c>
      <c r="C74" s="55">
        <v>2086</v>
      </c>
      <c r="D74" s="7">
        <v>2</v>
      </c>
      <c r="E74" s="25">
        <f t="shared" si="3"/>
        <v>2</v>
      </c>
      <c r="F74" s="25">
        <f t="shared" si="4"/>
        <v>0</v>
      </c>
      <c r="G74" s="47">
        <f t="shared" si="5"/>
        <v>1</v>
      </c>
      <c r="H74" s="52"/>
      <c r="I74" s="19"/>
      <c r="J74" s="15"/>
      <c r="K74"/>
      <c r="L74"/>
      <c r="M74"/>
      <c r="N74"/>
      <c r="O74"/>
      <c r="P74" s="15"/>
    </row>
    <row r="75" spans="1:16" x14ac:dyDescent="0.25">
      <c r="A75" s="17">
        <v>58</v>
      </c>
      <c r="B75" s="34">
        <f>IF(N(C75)=0,"",IF(ISNUMBER(MATCH(C75,C$26:C74,)),INDEX(B$26:B74,MATCH(C75,C$26:C74,)),MAX(B$26:B74)+1))</f>
        <v>50</v>
      </c>
      <c r="C75" s="55">
        <v>2066</v>
      </c>
      <c r="D75" s="7">
        <v>2</v>
      </c>
      <c r="E75" s="25">
        <f t="shared" si="3"/>
        <v>2</v>
      </c>
      <c r="F75" s="25">
        <f t="shared" si="4"/>
        <v>0</v>
      </c>
      <c r="G75" s="47">
        <f t="shared" si="5"/>
        <v>1</v>
      </c>
      <c r="H75" s="52"/>
      <c r="I75" s="19"/>
      <c r="J75" s="15"/>
      <c r="K75"/>
      <c r="L75"/>
      <c r="M75"/>
      <c r="N75"/>
      <c r="O75"/>
      <c r="P75" s="15"/>
    </row>
    <row r="76" spans="1:16" x14ac:dyDescent="0.25">
      <c r="A76" s="17">
        <v>59</v>
      </c>
      <c r="B76" s="34">
        <f>IF(N(C76)=0,"",IF(ISNUMBER(MATCH(C76,C$26:C75,)),INDEX(B$26:B75,MATCH(C76,C$26:C75,)),MAX(B$26:B75)+1))</f>
        <v>51</v>
      </c>
      <c r="C76" s="55">
        <v>1836</v>
      </c>
      <c r="D76" s="7">
        <v>2</v>
      </c>
      <c r="E76" s="25">
        <f t="shared" si="3"/>
        <v>2</v>
      </c>
      <c r="F76" s="25">
        <f t="shared" si="4"/>
        <v>0</v>
      </c>
      <c r="G76" s="47">
        <f t="shared" si="5"/>
        <v>1</v>
      </c>
      <c r="H76" s="52"/>
      <c r="I76" s="19"/>
      <c r="J76" s="15"/>
      <c r="K76"/>
      <c r="L76"/>
      <c r="M76"/>
      <c r="N76"/>
      <c r="O76"/>
      <c r="P76" s="15"/>
    </row>
    <row r="77" spans="1:16" x14ac:dyDescent="0.25">
      <c r="A77" s="17">
        <v>60</v>
      </c>
      <c r="B77" s="34">
        <f>IF(N(C77)=0,"",IF(ISNUMBER(MATCH(C77,C$26:C76,)),INDEX(B$26:B76,MATCH(C77,C$26:C76,)),MAX(B$26:B76)+1))</f>
        <v>52</v>
      </c>
      <c r="C77" s="55">
        <v>1906</v>
      </c>
      <c r="D77" s="7">
        <v>2</v>
      </c>
      <c r="E77" s="25">
        <f t="shared" si="3"/>
        <v>2</v>
      </c>
      <c r="F77" s="25">
        <f t="shared" si="4"/>
        <v>0</v>
      </c>
      <c r="G77" s="47">
        <f t="shared" si="5"/>
        <v>1</v>
      </c>
      <c r="H77" s="52"/>
      <c r="I77" s="19"/>
      <c r="J77" s="15"/>
      <c r="K77"/>
      <c r="L77"/>
      <c r="M77"/>
      <c r="N77"/>
      <c r="O77"/>
      <c r="P77" s="15"/>
    </row>
    <row r="78" spans="1:16" x14ac:dyDescent="0.25">
      <c r="A78" s="17">
        <v>61</v>
      </c>
      <c r="B78" s="34">
        <f>IF(N(C78)=0,"",IF(ISNUMBER(MATCH(C78,C$26:C77,)),INDEX(B$26:B77,MATCH(C78,C$26:C77,)),MAX(B$26:B77)+1))</f>
        <v>53</v>
      </c>
      <c r="C78" s="55">
        <v>1346</v>
      </c>
      <c r="D78" s="7">
        <v>2</v>
      </c>
      <c r="E78" s="25">
        <f t="shared" si="3"/>
        <v>2</v>
      </c>
      <c r="F78" s="25">
        <f t="shared" si="4"/>
        <v>0</v>
      </c>
      <c r="G78" s="47">
        <f t="shared" si="5"/>
        <v>1</v>
      </c>
      <c r="H78" s="52"/>
      <c r="I78" s="19"/>
      <c r="J78" s="15"/>
      <c r="K78"/>
      <c r="L78"/>
      <c r="M78"/>
      <c r="N78"/>
      <c r="O78"/>
      <c r="P78" s="15"/>
    </row>
    <row r="79" spans="1:16" x14ac:dyDescent="0.25">
      <c r="A79" s="17">
        <v>62</v>
      </c>
      <c r="B79" s="34">
        <f>IF(N(C79)=0,"",IF(ISNUMBER(MATCH(C79,C$26:C78,)),INDEX(B$26:B78,MATCH(C79,C$26:C78,)),MAX(B$26:B78)+1))</f>
        <v>54</v>
      </c>
      <c r="C79" s="55">
        <v>1506</v>
      </c>
      <c r="D79" s="7">
        <v>6</v>
      </c>
      <c r="E79" s="25">
        <f t="shared" si="3"/>
        <v>6</v>
      </c>
      <c r="F79" s="25">
        <f t="shared" si="4"/>
        <v>0</v>
      </c>
      <c r="G79" s="47">
        <f t="shared" si="5"/>
        <v>1</v>
      </c>
      <c r="H79" s="52"/>
      <c r="I79" s="19"/>
      <c r="J79" s="15"/>
      <c r="K79"/>
      <c r="L79"/>
      <c r="M79"/>
      <c r="N79"/>
      <c r="O79"/>
      <c r="P79" s="15"/>
    </row>
    <row r="80" spans="1:16" x14ac:dyDescent="0.25">
      <c r="A80" s="17">
        <v>63</v>
      </c>
      <c r="B80" s="34">
        <f>IF(N(C80)=0,"",IF(ISNUMBER(MATCH(C80,C$26:C79,)),INDEX(B$26:B79,MATCH(C80,C$26:C79,)),MAX(B$26:B79)+1))</f>
        <v>55</v>
      </c>
      <c r="C80" s="55">
        <v>1416</v>
      </c>
      <c r="D80" s="7">
        <v>4</v>
      </c>
      <c r="E80" s="25">
        <f t="shared" si="3"/>
        <v>4</v>
      </c>
      <c r="F80" s="25">
        <f t="shared" si="4"/>
        <v>0</v>
      </c>
      <c r="G80" s="47">
        <f t="shared" si="5"/>
        <v>1</v>
      </c>
      <c r="H80" s="52"/>
      <c r="I80" s="19"/>
      <c r="J80" s="15"/>
      <c r="K80"/>
      <c r="L80"/>
      <c r="M80"/>
      <c r="N80"/>
      <c r="O80"/>
      <c r="P80" s="15"/>
    </row>
    <row r="81" spans="1:16" x14ac:dyDescent="0.25">
      <c r="A81" s="17">
        <v>64</v>
      </c>
      <c r="B81" s="34">
        <f>IF(N(C81)=0,"",IF(ISNUMBER(MATCH(C81,C$26:C80,)),INDEX(B$26:B80,MATCH(C81,C$26:C80,)),MAX(B$26:B80)+1))</f>
        <v>56</v>
      </c>
      <c r="C81" s="55">
        <v>1406</v>
      </c>
      <c r="D81" s="7">
        <v>10</v>
      </c>
      <c r="E81" s="25">
        <f t="shared" si="3"/>
        <v>10</v>
      </c>
      <c r="F81" s="25">
        <f t="shared" si="4"/>
        <v>0</v>
      </c>
      <c r="G81" s="47">
        <f t="shared" si="5"/>
        <v>1</v>
      </c>
      <c r="H81" s="52"/>
      <c r="I81" s="19"/>
      <c r="J81" s="15"/>
      <c r="K81"/>
      <c r="L81"/>
      <c r="M81"/>
      <c r="N81"/>
      <c r="O81"/>
      <c r="P81" s="15"/>
    </row>
    <row r="82" spans="1:16" x14ac:dyDescent="0.25">
      <c r="A82" s="17">
        <v>65</v>
      </c>
      <c r="B82" s="34">
        <f>IF(N(C82)=0,"",IF(ISNUMBER(MATCH(C82,C$26:C81,)),INDEX(B$26:B81,MATCH(C82,C$26:C81,)),MAX(B$26:B81)+1))</f>
        <v>57</v>
      </c>
      <c r="C82" s="55">
        <v>1396</v>
      </c>
      <c r="D82" s="7">
        <v>8</v>
      </c>
      <c r="E82" s="25">
        <f t="shared" si="3"/>
        <v>8</v>
      </c>
      <c r="F82" s="25">
        <f t="shared" si="4"/>
        <v>0</v>
      </c>
      <c r="G82" s="47">
        <f t="shared" si="5"/>
        <v>1</v>
      </c>
      <c r="H82" s="52"/>
      <c r="I82" s="19"/>
      <c r="J82" s="15"/>
      <c r="K82"/>
      <c r="L82"/>
      <c r="M82"/>
      <c r="N82"/>
      <c r="O82"/>
      <c r="P82" s="15"/>
    </row>
    <row r="83" spans="1:16" x14ac:dyDescent="0.25">
      <c r="A83" s="17">
        <v>66</v>
      </c>
      <c r="B83" s="34">
        <f>IF(N(C83)=0,"",IF(ISNUMBER(MATCH(C83,C$26:C82,)),INDEX(B$26:B82,MATCH(C83,C$26:C82,)),MAX(B$26:B82)+1))</f>
        <v>58</v>
      </c>
      <c r="C83" s="55">
        <v>1376</v>
      </c>
      <c r="D83" s="7">
        <v>2</v>
      </c>
      <c r="E83" s="25">
        <f t="shared" si="3"/>
        <v>2</v>
      </c>
      <c r="F83" s="25">
        <f t="shared" si="4"/>
        <v>0</v>
      </c>
      <c r="G83" s="47">
        <f t="shared" si="5"/>
        <v>1</v>
      </c>
      <c r="H83" s="52"/>
      <c r="I83" s="19"/>
      <c r="J83" s="15"/>
      <c r="K83"/>
      <c r="L83"/>
      <c r="M83"/>
      <c r="N83"/>
      <c r="O83"/>
      <c r="P83" s="15"/>
    </row>
    <row r="84" spans="1:16" x14ac:dyDescent="0.25">
      <c r="A84" s="17">
        <v>67</v>
      </c>
      <c r="B84" s="34">
        <f>IF(N(C84)=0,"",IF(ISNUMBER(MATCH(C84,C$26:C83,)),INDEX(B$26:B83,MATCH(C84,C$26:C83,)),MAX(B$26:B83)+1))</f>
        <v>59</v>
      </c>
      <c r="C84" s="55">
        <v>1336</v>
      </c>
      <c r="D84" s="7">
        <v>12</v>
      </c>
      <c r="E84" s="25">
        <f t="shared" si="3"/>
        <v>12</v>
      </c>
      <c r="F84" s="25">
        <f t="shared" si="4"/>
        <v>0</v>
      </c>
      <c r="G84" s="47">
        <f t="shared" si="5"/>
        <v>1</v>
      </c>
      <c r="H84" s="52"/>
      <c r="I84" s="19"/>
      <c r="J84" s="15"/>
      <c r="K84"/>
      <c r="L84"/>
      <c r="M84"/>
      <c r="N84"/>
      <c r="O84"/>
      <c r="P84" s="15"/>
    </row>
    <row r="85" spans="1:16" x14ac:dyDescent="0.25">
      <c r="A85" s="17">
        <v>68</v>
      </c>
      <c r="B85" s="34">
        <f>IF(N(C85)=0,"",IF(ISNUMBER(MATCH(C85,C$26:C84,)),INDEX(B$26:B84,MATCH(C85,C$26:C84,)),MAX(B$26:B84)+1))</f>
        <v>60</v>
      </c>
      <c r="C85" s="55">
        <v>1326</v>
      </c>
      <c r="D85" s="7">
        <v>10</v>
      </c>
      <c r="E85" s="25">
        <f t="shared" si="3"/>
        <v>10</v>
      </c>
      <c r="F85" s="25">
        <f t="shared" si="4"/>
        <v>0</v>
      </c>
      <c r="G85" s="47">
        <f t="shared" si="5"/>
        <v>1</v>
      </c>
      <c r="H85" s="52"/>
      <c r="I85" s="19"/>
      <c r="J85" s="15"/>
      <c r="K85"/>
      <c r="L85"/>
      <c r="M85"/>
      <c r="N85"/>
      <c r="O85"/>
    </row>
    <row r="86" spans="1:16" x14ac:dyDescent="0.25">
      <c r="A86" s="17">
        <v>69</v>
      </c>
      <c r="B86" s="34">
        <f>IF(N(C86)=0,"",IF(ISNUMBER(MATCH(C86,C$26:C85,)),INDEX(B$26:B85,MATCH(C86,C$26:C85,)),MAX(B$26:B85)+1))</f>
        <v>61</v>
      </c>
      <c r="C86" s="55">
        <v>1306</v>
      </c>
      <c r="D86" s="7">
        <v>10</v>
      </c>
      <c r="E86" s="25">
        <f t="shared" si="3"/>
        <v>10</v>
      </c>
      <c r="F86" s="25">
        <f t="shared" si="4"/>
        <v>0</v>
      </c>
      <c r="G86" s="47">
        <f t="shared" si="5"/>
        <v>1</v>
      </c>
      <c r="H86" s="52"/>
      <c r="I86" s="19"/>
      <c r="J86" s="15"/>
      <c r="K86"/>
      <c r="L86"/>
      <c r="M86"/>
      <c r="N86"/>
      <c r="O86"/>
    </row>
    <row r="87" spans="1:16" x14ac:dyDescent="0.25">
      <c r="A87" s="17">
        <v>70</v>
      </c>
      <c r="B87" s="34">
        <f>IF(N(C87)=0,"",IF(ISNUMBER(MATCH(C87,C$26:C86,)),INDEX(B$26:B86,MATCH(C87,C$26:C86,)),MAX(B$26:B86)+1))</f>
        <v>62</v>
      </c>
      <c r="C87" s="55">
        <v>1276</v>
      </c>
      <c r="D87" s="7">
        <v>2</v>
      </c>
      <c r="E87" s="25">
        <f t="shared" si="3"/>
        <v>2</v>
      </c>
      <c r="F87" s="25">
        <f t="shared" si="4"/>
        <v>0</v>
      </c>
      <c r="G87" s="47">
        <f t="shared" si="5"/>
        <v>1</v>
      </c>
      <c r="H87" s="52"/>
      <c r="I87" s="19"/>
      <c r="J87" s="15"/>
      <c r="K87"/>
      <c r="L87"/>
      <c r="M87"/>
      <c r="N87"/>
      <c r="O87"/>
    </row>
    <row r="88" spans="1:16" x14ac:dyDescent="0.25">
      <c r="A88" s="17">
        <v>71</v>
      </c>
      <c r="B88" s="34">
        <f>IF(N(C88)=0,"",IF(ISNUMBER(MATCH(C88,C$26:C87,)),INDEX(B$26:B87,MATCH(C88,C$26:C87,)),MAX(B$26:B87)+1))</f>
        <v>63</v>
      </c>
      <c r="C88" s="55">
        <v>866</v>
      </c>
      <c r="D88" s="7">
        <v>2</v>
      </c>
      <c r="E88" s="25">
        <f t="shared" si="3"/>
        <v>2</v>
      </c>
      <c r="F88" s="25">
        <f t="shared" si="4"/>
        <v>0</v>
      </c>
      <c r="G88" s="47">
        <f t="shared" si="5"/>
        <v>1</v>
      </c>
      <c r="H88" s="52"/>
      <c r="I88" s="19"/>
      <c r="J88" s="15"/>
      <c r="K88"/>
      <c r="L88"/>
      <c r="M88"/>
      <c r="N88"/>
      <c r="O88"/>
    </row>
    <row r="89" spans="1:16" x14ac:dyDescent="0.25">
      <c r="A89" s="17">
        <v>72</v>
      </c>
      <c r="B89" s="34">
        <f>IF(N(C89)=0,"",IF(ISNUMBER(MATCH(C89,C$26:C88,)),INDEX(B$26:B88,MATCH(C89,C$26:C88,)),MAX(B$26:B88)+1))</f>
        <v>64</v>
      </c>
      <c r="C89" s="55">
        <v>1256</v>
      </c>
      <c r="D89" s="7">
        <v>2</v>
      </c>
      <c r="E89" s="25">
        <f t="shared" si="3"/>
        <v>2</v>
      </c>
      <c r="F89" s="25">
        <f t="shared" si="4"/>
        <v>0</v>
      </c>
      <c r="G89" s="47">
        <f t="shared" si="5"/>
        <v>1</v>
      </c>
      <c r="H89" s="52"/>
      <c r="I89" s="19"/>
      <c r="J89" s="15"/>
      <c r="K89"/>
      <c r="L89"/>
      <c r="M89"/>
      <c r="N89"/>
      <c r="O89"/>
    </row>
    <row r="90" spans="1:16" x14ac:dyDescent="0.25">
      <c r="A90" s="17">
        <v>73</v>
      </c>
      <c r="B90" s="34">
        <f>IF(N(C90)=0,"",IF(ISNUMBER(MATCH(C90,C$26:C89,)),INDEX(B$26:B89,MATCH(C90,C$26:C89,)),MAX(B$26:B89)+1))</f>
        <v>65</v>
      </c>
      <c r="C90" s="55">
        <v>1126</v>
      </c>
      <c r="D90" s="7">
        <v>2</v>
      </c>
      <c r="E90" s="25">
        <f t="shared" ref="E90:E115" si="6">IF($K$3=0,0,IF(ISNA(VLOOKUP(C90,H$26:I$115,2,))*C90,D90,IF(C90="","",IF(D90="",TRUNC($C$3/C90)-VLOOKUP(C90,H$26:I$115,2,),D90-VLOOKUP(C90,H$26:I$115,2,)))))</f>
        <v>2</v>
      </c>
      <c r="F90" s="25">
        <f t="shared" ref="F90:F115" si="7">IF($K$3=0,"",IF(AND(C90&lt;&gt;"",D90&lt;&gt;""),D90-E90,IF(D90="","",TRUNC($C$3/C90)-VLOOKUP(C90,H$26:I$115,2,))))</f>
        <v>0</v>
      </c>
      <c r="G90" s="47">
        <f t="shared" si="5"/>
        <v>1</v>
      </c>
      <c r="H90" s="52"/>
      <c r="I90" s="19"/>
      <c r="J90" s="15"/>
      <c r="K90"/>
      <c r="L90"/>
      <c r="M90"/>
      <c r="N90"/>
      <c r="O90"/>
    </row>
    <row r="91" spans="1:16" x14ac:dyDescent="0.25">
      <c r="A91" s="17">
        <v>74</v>
      </c>
      <c r="B91" s="34">
        <f>IF(N(C91)=0,"",IF(ISNUMBER(MATCH(C91,C$26:C90,)),INDEX(B$26:B90,MATCH(C91,C$26:C90,)),MAX(B$26:B90)+1))</f>
        <v>66</v>
      </c>
      <c r="C91" s="55">
        <v>666</v>
      </c>
      <c r="D91" s="7">
        <v>2</v>
      </c>
      <c r="E91" s="25">
        <f t="shared" si="6"/>
        <v>2</v>
      </c>
      <c r="F91" s="25">
        <f t="shared" si="7"/>
        <v>0</v>
      </c>
      <c r="G91" s="47">
        <f t="shared" ref="G91:G114" si="8">--(C91+H91+K91&gt;0)</f>
        <v>1</v>
      </c>
      <c r="H91" s="52"/>
      <c r="I91" s="19"/>
      <c r="J91" s="15"/>
      <c r="K91"/>
      <c r="L91"/>
      <c r="M91"/>
      <c r="N91"/>
      <c r="O91"/>
    </row>
    <row r="92" spans="1:16" x14ac:dyDescent="0.25">
      <c r="A92" s="17">
        <v>75</v>
      </c>
      <c r="B92" s="34" t="str">
        <f>IF(N(C92)=0,"",IF(ISNUMBER(MATCH(C92,C$26:C91,)),INDEX(B$26:B91,MATCH(C92,C$26:C91,)),MAX(B$26:B91)+1))</f>
        <v/>
      </c>
      <c r="C92" s="55"/>
      <c r="D92" s="7"/>
      <c r="E92" s="25" t="str">
        <f t="shared" si="6"/>
        <v/>
      </c>
      <c r="F92" s="25" t="str">
        <f t="shared" si="7"/>
        <v/>
      </c>
      <c r="G92" s="47">
        <f t="shared" si="8"/>
        <v>0</v>
      </c>
      <c r="H92" s="52"/>
      <c r="I92" s="19"/>
      <c r="J92" s="15"/>
      <c r="K92"/>
      <c r="L92"/>
      <c r="M92"/>
      <c r="N92"/>
      <c r="O92"/>
    </row>
    <row r="93" spans="1:16" x14ac:dyDescent="0.25">
      <c r="A93" s="17">
        <v>76</v>
      </c>
      <c r="B93" s="34" t="str">
        <f>IF(N(C93)=0,"",IF(ISNUMBER(MATCH(C93,C$26:C92,)),INDEX(B$26:B92,MATCH(C93,C$26:C92,)),MAX(B$26:B92)+1))</f>
        <v/>
      </c>
      <c r="C93" s="55"/>
      <c r="D93" s="7"/>
      <c r="E93" s="25" t="str">
        <f t="shared" si="6"/>
        <v/>
      </c>
      <c r="F93" s="25" t="str">
        <f t="shared" si="7"/>
        <v/>
      </c>
      <c r="G93" s="47">
        <f t="shared" si="8"/>
        <v>0</v>
      </c>
      <c r="H93" s="52"/>
      <c r="I93" s="19"/>
      <c r="J93" s="15"/>
      <c r="K93"/>
      <c r="L93"/>
      <c r="M93"/>
      <c r="N93"/>
      <c r="O93"/>
    </row>
    <row r="94" spans="1:16" x14ac:dyDescent="0.25">
      <c r="A94" s="17">
        <v>77</v>
      </c>
      <c r="B94" s="34" t="str">
        <f>IF(N(C94)=0,"",IF(ISNUMBER(MATCH(C94,C$26:C93,)),INDEX(B$26:B93,MATCH(C94,C$26:C93,)),MAX(B$26:B93)+1))</f>
        <v/>
      </c>
      <c r="C94" s="55"/>
      <c r="D94" s="7"/>
      <c r="E94" s="25" t="str">
        <f t="shared" si="6"/>
        <v/>
      </c>
      <c r="F94" s="25" t="str">
        <f t="shared" si="7"/>
        <v/>
      </c>
      <c r="G94" s="47">
        <f t="shared" si="8"/>
        <v>0</v>
      </c>
      <c r="H94" s="52"/>
      <c r="I94" s="19"/>
      <c r="J94" s="15"/>
      <c r="K94"/>
      <c r="L94"/>
      <c r="M94"/>
      <c r="N94"/>
      <c r="O94"/>
    </row>
    <row r="95" spans="1:16" x14ac:dyDescent="0.25">
      <c r="A95" s="17">
        <v>78</v>
      </c>
      <c r="B95" s="34" t="str">
        <f>IF(N(C95)=0,"",IF(ISNUMBER(MATCH(C95,C$26:C94,)),INDEX(B$26:B94,MATCH(C95,C$26:C94,)),MAX(B$26:B94)+1))</f>
        <v/>
      </c>
      <c r="C95" s="55"/>
      <c r="D95" s="7"/>
      <c r="E95" s="25" t="str">
        <f t="shared" si="6"/>
        <v/>
      </c>
      <c r="F95" s="25" t="str">
        <f t="shared" si="7"/>
        <v/>
      </c>
      <c r="G95" s="47">
        <f t="shared" si="8"/>
        <v>0</v>
      </c>
      <c r="H95" s="52"/>
      <c r="I95" s="19"/>
      <c r="J95" s="15"/>
      <c r="K95"/>
      <c r="L95"/>
      <c r="M95"/>
      <c r="N95"/>
      <c r="O95"/>
    </row>
    <row r="96" spans="1:16" x14ac:dyDescent="0.25">
      <c r="A96" s="17">
        <v>79</v>
      </c>
      <c r="B96" s="34" t="str">
        <f>IF(N(C96)=0,"",IF(ISNUMBER(MATCH(C96,C$26:C95,)),INDEX(B$26:B95,MATCH(C96,C$26:C95,)),MAX(B$26:B95)+1))</f>
        <v/>
      </c>
      <c r="C96" s="55"/>
      <c r="D96" s="7"/>
      <c r="E96" s="25" t="str">
        <f t="shared" si="6"/>
        <v/>
      </c>
      <c r="F96" s="25" t="str">
        <f t="shared" si="7"/>
        <v/>
      </c>
      <c r="G96" s="47">
        <f t="shared" si="8"/>
        <v>0</v>
      </c>
      <c r="H96" s="52"/>
      <c r="I96" s="19"/>
      <c r="J96" s="15"/>
      <c r="K96"/>
      <c r="L96"/>
      <c r="M96"/>
      <c r="N96"/>
      <c r="O96"/>
    </row>
    <row r="97" spans="1:15" x14ac:dyDescent="0.25">
      <c r="A97" s="17">
        <v>80</v>
      </c>
      <c r="B97" s="34" t="str">
        <f>IF(N(C97)=0,"",IF(ISNUMBER(MATCH(C97,C$26:C96,)),INDEX(B$26:B96,MATCH(C97,C$26:C96,)),MAX(B$26:B96)+1))</f>
        <v/>
      </c>
      <c r="C97" s="55"/>
      <c r="D97" s="7"/>
      <c r="E97" s="25" t="str">
        <f t="shared" si="6"/>
        <v/>
      </c>
      <c r="F97" s="25" t="str">
        <f t="shared" si="7"/>
        <v/>
      </c>
      <c r="G97" s="47">
        <f t="shared" si="8"/>
        <v>0</v>
      </c>
      <c r="H97" s="52"/>
      <c r="I97" s="19"/>
      <c r="J97" s="17" t="s">
        <v>15</v>
      </c>
      <c r="K97"/>
      <c r="L97"/>
      <c r="M97"/>
      <c r="N97"/>
      <c r="O97"/>
    </row>
    <row r="98" spans="1:15" x14ac:dyDescent="0.25">
      <c r="A98" s="17">
        <v>81</v>
      </c>
      <c r="B98" s="34" t="str">
        <f>IF(N(C98)=0,"",IF(ISNUMBER(MATCH(C98,C$26:C97,)),INDEX(B$26:B97,MATCH(C98,C$26:C97,)),MAX(B$26:B97)+1))</f>
        <v/>
      </c>
      <c r="C98" s="55"/>
      <c r="D98" s="7"/>
      <c r="E98" s="25" t="str">
        <f t="shared" si="6"/>
        <v/>
      </c>
      <c r="F98" s="25" t="str">
        <f t="shared" si="7"/>
        <v/>
      </c>
      <c r="G98" s="47">
        <f t="shared" si="8"/>
        <v>0</v>
      </c>
      <c r="H98" s="52"/>
      <c r="I98" s="19"/>
      <c r="J98" s="17" t="s">
        <v>16</v>
      </c>
      <c r="K98"/>
      <c r="L98"/>
      <c r="M98"/>
      <c r="N98"/>
      <c r="O98"/>
    </row>
    <row r="99" spans="1:15" x14ac:dyDescent="0.25">
      <c r="A99" s="17">
        <v>82</v>
      </c>
      <c r="B99" s="34" t="str">
        <f>IF(N(C99)=0,"",IF(ISNUMBER(MATCH(C99,C$26:C98,)),INDEX(B$26:B98,MATCH(C99,C$26:C98,)),MAX(B$26:B98)+1))</f>
        <v/>
      </c>
      <c r="C99" s="55"/>
      <c r="D99" s="7"/>
      <c r="E99" s="25" t="str">
        <f t="shared" si="6"/>
        <v/>
      </c>
      <c r="F99" s="25" t="str">
        <f t="shared" si="7"/>
        <v/>
      </c>
      <c r="G99" s="47">
        <f t="shared" si="8"/>
        <v>0</v>
      </c>
      <c r="H99" s="52"/>
      <c r="I99" s="19"/>
      <c r="J99" s="15"/>
      <c r="K99"/>
      <c r="L99"/>
      <c r="M99"/>
      <c r="N99"/>
      <c r="O99"/>
    </row>
    <row r="100" spans="1:15" x14ac:dyDescent="0.25">
      <c r="A100" s="17">
        <v>83</v>
      </c>
      <c r="B100" s="34" t="str">
        <f>IF(N(C100)=0,"",IF(ISNUMBER(MATCH(C100,C$26:C99,)),INDEX(B$26:B99,MATCH(C100,C$26:C99,)),MAX(B$26:B99)+1))</f>
        <v/>
      </c>
      <c r="C100" s="55"/>
      <c r="D100" s="7"/>
      <c r="E100" s="25" t="str">
        <f t="shared" si="6"/>
        <v/>
      </c>
      <c r="F100" s="25" t="str">
        <f t="shared" si="7"/>
        <v/>
      </c>
      <c r="G100" s="47">
        <f t="shared" si="8"/>
        <v>0</v>
      </c>
      <c r="H100" s="52"/>
      <c r="I100" s="19"/>
      <c r="J100" s="15"/>
      <c r="K100"/>
      <c r="L100"/>
      <c r="M100"/>
      <c r="N100"/>
      <c r="O100"/>
    </row>
    <row r="101" spans="1:15" x14ac:dyDescent="0.25">
      <c r="A101" s="17">
        <v>84</v>
      </c>
      <c r="B101" s="34" t="str">
        <f>IF(N(C101)=0,"",IF(ISNUMBER(MATCH(C101,C$26:C100,)),INDEX(B$26:B100,MATCH(C101,C$26:C100,)),MAX(B$26:B100)+1))</f>
        <v/>
      </c>
      <c r="C101" s="55"/>
      <c r="D101" s="7"/>
      <c r="E101" s="25" t="str">
        <f t="shared" si="6"/>
        <v/>
      </c>
      <c r="F101" s="25" t="str">
        <f t="shared" si="7"/>
        <v/>
      </c>
      <c r="G101" s="47">
        <f t="shared" si="8"/>
        <v>0</v>
      </c>
      <c r="H101" s="52"/>
      <c r="I101" s="19"/>
      <c r="J101" s="15"/>
      <c r="K101"/>
      <c r="L101"/>
      <c r="M101"/>
      <c r="N101"/>
      <c r="O101"/>
    </row>
    <row r="102" spans="1:15" x14ac:dyDescent="0.25">
      <c r="A102" s="17">
        <v>85</v>
      </c>
      <c r="B102" s="34" t="str">
        <f>IF(N(C102)=0,"",IF(ISNUMBER(MATCH(C102,C$26:C101,)),INDEX(B$26:B101,MATCH(C102,C$26:C101,)),MAX(B$26:B101)+1))</f>
        <v/>
      </c>
      <c r="C102" s="55"/>
      <c r="D102" s="7"/>
      <c r="E102" s="25" t="str">
        <f t="shared" si="6"/>
        <v/>
      </c>
      <c r="F102" s="25" t="str">
        <f t="shared" si="7"/>
        <v/>
      </c>
      <c r="G102" s="47">
        <f t="shared" si="8"/>
        <v>0</v>
      </c>
      <c r="H102" s="52"/>
      <c r="I102" s="19"/>
      <c r="J102" s="15"/>
      <c r="K102"/>
      <c r="L102"/>
      <c r="M102"/>
      <c r="N102"/>
      <c r="O102"/>
    </row>
    <row r="103" spans="1:15" x14ac:dyDescent="0.25">
      <c r="A103" s="17">
        <v>86</v>
      </c>
      <c r="B103" s="34" t="str">
        <f>IF(N(C103)=0,"",IF(ISNUMBER(MATCH(C103,C$26:C102,)),INDEX(B$26:B102,MATCH(C103,C$26:C102,)),MAX(B$26:B102)+1))</f>
        <v/>
      </c>
      <c r="C103" s="55"/>
      <c r="D103" s="7"/>
      <c r="E103" s="25" t="str">
        <f t="shared" si="6"/>
        <v/>
      </c>
      <c r="F103" s="25" t="str">
        <f t="shared" si="7"/>
        <v/>
      </c>
      <c r="G103" s="47">
        <f t="shared" si="8"/>
        <v>0</v>
      </c>
      <c r="H103" s="52"/>
      <c r="I103" s="19"/>
      <c r="J103" s="15"/>
      <c r="K103"/>
      <c r="L103"/>
      <c r="M103"/>
      <c r="N103"/>
      <c r="O103"/>
    </row>
    <row r="104" spans="1:15" x14ac:dyDescent="0.25">
      <c r="A104" s="17">
        <v>87</v>
      </c>
      <c r="B104" s="34" t="str">
        <f>IF(N(C104)=0,"",IF(ISNUMBER(MATCH(C104,C$26:C103,)),INDEX(B$26:B103,MATCH(C104,C$26:C103,)),MAX(B$26:B103)+1))</f>
        <v/>
      </c>
      <c r="C104" s="55"/>
      <c r="D104" s="7"/>
      <c r="E104" s="25" t="str">
        <f t="shared" si="6"/>
        <v/>
      </c>
      <c r="F104" s="25" t="str">
        <f t="shared" si="7"/>
        <v/>
      </c>
      <c r="G104" s="47">
        <f t="shared" si="8"/>
        <v>0</v>
      </c>
      <c r="H104" s="52"/>
      <c r="I104" s="19"/>
      <c r="K104"/>
      <c r="L104"/>
      <c r="M104"/>
      <c r="N104"/>
      <c r="O104"/>
    </row>
    <row r="105" spans="1:15" x14ac:dyDescent="0.25">
      <c r="A105" s="17">
        <v>88</v>
      </c>
      <c r="B105" s="34" t="str">
        <f>IF(N(C105)=0,"",IF(ISNUMBER(MATCH(C105,C$26:C104,)),INDEX(B$26:B104,MATCH(C105,C$26:C104,)),MAX(B$26:B104)+1))</f>
        <v/>
      </c>
      <c r="C105" s="55"/>
      <c r="D105" s="7"/>
      <c r="E105" s="25" t="str">
        <f t="shared" si="6"/>
        <v/>
      </c>
      <c r="F105" s="25" t="str">
        <f t="shared" si="7"/>
        <v/>
      </c>
      <c r="G105" s="47">
        <f t="shared" si="8"/>
        <v>0</v>
      </c>
      <c r="H105" s="52"/>
      <c r="I105" s="19"/>
      <c r="K105"/>
      <c r="L105"/>
      <c r="M105"/>
      <c r="N105"/>
      <c r="O105"/>
    </row>
    <row r="106" spans="1:15" x14ac:dyDescent="0.25">
      <c r="A106" s="17">
        <v>89</v>
      </c>
      <c r="B106" s="34" t="str">
        <f>IF(N(C106)=0,"",IF(ISNUMBER(MATCH(C106,C$26:C105,)),INDEX(B$26:B105,MATCH(C106,C$26:C105,)),MAX(B$26:B105)+1))</f>
        <v/>
      </c>
      <c r="C106" s="55"/>
      <c r="D106" s="7"/>
      <c r="E106" s="25" t="str">
        <f t="shared" si="6"/>
        <v/>
      </c>
      <c r="F106" s="25" t="str">
        <f t="shared" si="7"/>
        <v/>
      </c>
      <c r="G106" s="47">
        <f t="shared" si="8"/>
        <v>0</v>
      </c>
      <c r="H106" s="52"/>
      <c r="I106" s="19"/>
      <c r="K106"/>
      <c r="L106"/>
      <c r="M106"/>
      <c r="N106"/>
      <c r="O106"/>
    </row>
    <row r="107" spans="1:15" x14ac:dyDescent="0.25">
      <c r="A107" s="17">
        <v>90</v>
      </c>
      <c r="B107" s="34" t="str">
        <f>IF(N(C107)=0,"",IF(ISNUMBER(MATCH(C107,C$26:C106,)),INDEX(B$26:B106,MATCH(C107,C$26:C106,)),MAX(B$26:B106)+1))</f>
        <v/>
      </c>
      <c r="C107" s="55"/>
      <c r="D107" s="7"/>
      <c r="E107" s="25" t="str">
        <f t="shared" si="6"/>
        <v/>
      </c>
      <c r="F107" s="25" t="str">
        <f t="shared" si="7"/>
        <v/>
      </c>
      <c r="G107" s="47">
        <f t="shared" si="8"/>
        <v>0</v>
      </c>
      <c r="H107" s="52"/>
      <c r="I107" s="19"/>
      <c r="K107"/>
      <c r="L107"/>
      <c r="M107"/>
      <c r="N107"/>
      <c r="O107"/>
    </row>
    <row r="108" spans="1:15" x14ac:dyDescent="0.25">
      <c r="A108" s="17">
        <v>91</v>
      </c>
      <c r="B108" s="34" t="str">
        <f>IF(N(C108)=0,"",IF(ISNUMBER(MATCH(C108,C$26:C107,)),INDEX(B$26:B107,MATCH(C108,C$26:C107,)),MAX(B$26:B107)+1))</f>
        <v/>
      </c>
      <c r="C108" s="55"/>
      <c r="D108" s="7"/>
      <c r="E108" s="25" t="str">
        <f t="shared" si="6"/>
        <v/>
      </c>
      <c r="F108" s="25" t="str">
        <f t="shared" si="7"/>
        <v/>
      </c>
      <c r="G108" s="47">
        <f t="shared" si="8"/>
        <v>0</v>
      </c>
      <c r="H108" s="52"/>
      <c r="I108" s="19"/>
      <c r="K108"/>
      <c r="L108"/>
      <c r="M108"/>
      <c r="N108"/>
      <c r="O108"/>
    </row>
    <row r="109" spans="1:15" x14ac:dyDescent="0.25">
      <c r="A109" s="17">
        <v>92</v>
      </c>
      <c r="B109" s="34" t="str">
        <f>IF(N(C109)=0,"",IF(ISNUMBER(MATCH(C109,C$26:C108,)),INDEX(B$26:B108,MATCH(C109,C$26:C108,)),MAX(B$26:B108)+1))</f>
        <v/>
      </c>
      <c r="C109" s="55"/>
      <c r="D109" s="7"/>
      <c r="E109" s="25" t="str">
        <f t="shared" si="6"/>
        <v/>
      </c>
      <c r="F109" s="25" t="str">
        <f t="shared" si="7"/>
        <v/>
      </c>
      <c r="G109" s="47">
        <f t="shared" si="8"/>
        <v>0</v>
      </c>
      <c r="H109" s="52"/>
      <c r="I109" s="19"/>
      <c r="K109"/>
      <c r="L109"/>
      <c r="M109"/>
      <c r="N109"/>
      <c r="O109"/>
    </row>
    <row r="110" spans="1:15" x14ac:dyDescent="0.25">
      <c r="A110" s="17">
        <v>93</v>
      </c>
      <c r="B110" s="34" t="str">
        <f>IF(N(C110)=0,"",IF(ISNUMBER(MATCH(C110,C$26:C109,)),INDEX(B$26:B109,MATCH(C110,C$26:C109,)),MAX(B$26:B109)+1))</f>
        <v/>
      </c>
      <c r="C110" s="55"/>
      <c r="D110" s="7"/>
      <c r="E110" s="25" t="str">
        <f t="shared" si="6"/>
        <v/>
      </c>
      <c r="F110" s="25" t="str">
        <f t="shared" si="7"/>
        <v/>
      </c>
      <c r="G110" s="47">
        <f t="shared" si="8"/>
        <v>0</v>
      </c>
      <c r="H110" s="52"/>
      <c r="I110" s="19"/>
      <c r="K110"/>
      <c r="L110"/>
      <c r="M110"/>
      <c r="N110"/>
      <c r="O110"/>
    </row>
    <row r="111" spans="1:15" x14ac:dyDescent="0.25">
      <c r="A111" s="17">
        <v>94</v>
      </c>
      <c r="B111" s="34" t="str">
        <f>IF(N(C111)=0,"",IF(ISNUMBER(MATCH(C111,C$26:C110,)),INDEX(B$26:B110,MATCH(C111,C$26:C110,)),MAX(B$26:B110)+1))</f>
        <v/>
      </c>
      <c r="C111" s="55"/>
      <c r="D111" s="7"/>
      <c r="E111" s="25" t="str">
        <f t="shared" si="6"/>
        <v/>
      </c>
      <c r="F111" s="25" t="str">
        <f t="shared" si="7"/>
        <v/>
      </c>
      <c r="G111" s="47">
        <f t="shared" si="8"/>
        <v>0</v>
      </c>
      <c r="H111" s="52"/>
      <c r="I111" s="19"/>
      <c r="K111"/>
      <c r="L111"/>
      <c r="M111"/>
      <c r="N111"/>
      <c r="O111"/>
    </row>
    <row r="112" spans="1:15" x14ac:dyDescent="0.25">
      <c r="A112" s="17">
        <v>95</v>
      </c>
      <c r="B112" s="34" t="str">
        <f>IF(N(C112)=0,"",IF(ISNUMBER(MATCH(C112,C$26:C111,)),INDEX(B$26:B111,MATCH(C112,C$26:C111,)),MAX(B$26:B111)+1))</f>
        <v/>
      </c>
      <c r="C112" s="55"/>
      <c r="D112" s="7"/>
      <c r="E112" s="25" t="str">
        <f t="shared" si="6"/>
        <v/>
      </c>
      <c r="F112" s="25" t="str">
        <f t="shared" si="7"/>
        <v/>
      </c>
      <c r="G112" s="47">
        <f t="shared" si="8"/>
        <v>0</v>
      </c>
      <c r="H112" s="52"/>
      <c r="I112" s="19"/>
      <c r="K112"/>
      <c r="L112"/>
      <c r="M112"/>
      <c r="N112"/>
      <c r="O112"/>
    </row>
    <row r="113" spans="1:15" x14ac:dyDescent="0.25">
      <c r="A113" s="17">
        <v>96</v>
      </c>
      <c r="B113" s="34" t="str">
        <f>IF(N(C113)=0,"",IF(ISNUMBER(MATCH(C113,C$26:C112,)),INDEX(B$26:B112,MATCH(C113,C$26:C112,)),MAX(B$26:B112)+1))</f>
        <v/>
      </c>
      <c r="C113" s="55"/>
      <c r="D113" s="7"/>
      <c r="E113" s="25" t="str">
        <f t="shared" si="6"/>
        <v/>
      </c>
      <c r="F113" s="25" t="str">
        <f t="shared" si="7"/>
        <v/>
      </c>
      <c r="G113" s="47">
        <f t="shared" si="8"/>
        <v>0</v>
      </c>
      <c r="H113" s="52"/>
      <c r="I113" s="19"/>
      <c r="K113"/>
      <c r="L113"/>
      <c r="M113"/>
      <c r="N113"/>
      <c r="O113"/>
    </row>
    <row r="114" spans="1:15" x14ac:dyDescent="0.25">
      <c r="A114" s="17">
        <v>97</v>
      </c>
      <c r="B114" s="34" t="str">
        <f>IF(N(C114)=0,"",IF(ISNUMBER(MATCH(C114,C$26:C113,)),INDEX(B$26:B113,MATCH(C114,C$26:C113,)),MAX(B$26:B113)+1))</f>
        <v/>
      </c>
      <c r="C114" s="55"/>
      <c r="D114" s="7"/>
      <c r="E114" s="25" t="str">
        <f t="shared" si="6"/>
        <v/>
      </c>
      <c r="F114" s="25" t="str">
        <f t="shared" si="7"/>
        <v/>
      </c>
      <c r="G114" s="47">
        <f t="shared" si="8"/>
        <v>0</v>
      </c>
      <c r="H114" s="52"/>
      <c r="I114" s="19"/>
      <c r="K114"/>
      <c r="L114"/>
      <c r="M114"/>
      <c r="N114"/>
      <c r="O114"/>
    </row>
    <row r="115" spans="1:15" x14ac:dyDescent="0.25">
      <c r="A115" s="17">
        <v>98</v>
      </c>
      <c r="B115" s="35" t="str">
        <f>IF(N(C115)=0,"",IF(ISNUMBER(MATCH(C115,C$26:C114,)),INDEX(B$26:B114,MATCH(C115,C$26:C114,)),MAX(B$26:B114)+1))</f>
        <v/>
      </c>
      <c r="C115" s="56"/>
      <c r="D115" s="8"/>
      <c r="E115" s="26" t="str">
        <f t="shared" si="6"/>
        <v/>
      </c>
      <c r="F115" s="26" t="str">
        <f t="shared" si="7"/>
        <v/>
      </c>
      <c r="G115" s="47">
        <v>1</v>
      </c>
      <c r="H115" s="53"/>
      <c r="I115" s="20"/>
      <c r="K115"/>
      <c r="L115"/>
      <c r="M115"/>
      <c r="N115"/>
      <c r="O115"/>
    </row>
    <row r="116" spans="1:15" x14ac:dyDescent="0.25">
      <c r="K116"/>
      <c r="L116"/>
      <c r="M116"/>
      <c r="N116"/>
      <c r="O116"/>
    </row>
    <row r="117" spans="1:15" x14ac:dyDescent="0.25">
      <c r="K117"/>
      <c r="L117"/>
      <c r="M117"/>
      <c r="N117"/>
      <c r="O117"/>
    </row>
    <row r="118" spans="1:15" x14ac:dyDescent="0.25">
      <c r="K118"/>
      <c r="L118"/>
      <c r="M118"/>
      <c r="N118"/>
      <c r="O118"/>
    </row>
    <row r="119" spans="1:15" x14ac:dyDescent="0.25">
      <c r="K119"/>
      <c r="L119"/>
      <c r="M119"/>
      <c r="N119"/>
      <c r="O119"/>
    </row>
    <row r="120" spans="1:15" x14ac:dyDescent="0.25">
      <c r="K120"/>
      <c r="L120"/>
      <c r="M120"/>
      <c r="N120"/>
      <c r="O120"/>
    </row>
    <row r="121" spans="1:15" x14ac:dyDescent="0.25">
      <c r="K121"/>
      <c r="L121"/>
      <c r="M121"/>
      <c r="N121"/>
      <c r="O121"/>
    </row>
    <row r="122" spans="1:15" x14ac:dyDescent="0.25">
      <c r="K122"/>
      <c r="L122"/>
      <c r="M122"/>
      <c r="N122"/>
      <c r="O122"/>
    </row>
    <row r="123" spans="1:15" x14ac:dyDescent="0.25">
      <c r="K123"/>
      <c r="L123"/>
      <c r="M123"/>
      <c r="N123"/>
      <c r="O123"/>
    </row>
    <row r="124" spans="1:15" x14ac:dyDescent="0.25">
      <c r="K124"/>
      <c r="L124"/>
      <c r="M124"/>
      <c r="N124"/>
      <c r="O124"/>
    </row>
    <row r="125" spans="1:15" x14ac:dyDescent="0.25">
      <c r="K125"/>
      <c r="L125"/>
      <c r="M125"/>
      <c r="N125"/>
      <c r="O125"/>
    </row>
    <row r="126" spans="1:15" x14ac:dyDescent="0.25">
      <c r="K126"/>
      <c r="L126"/>
      <c r="M126"/>
      <c r="N126"/>
      <c r="O126"/>
    </row>
    <row r="127" spans="1:15" x14ac:dyDescent="0.25">
      <c r="K127"/>
      <c r="L127"/>
      <c r="M127"/>
      <c r="N127"/>
      <c r="O127"/>
    </row>
    <row r="128" spans="1:15" x14ac:dyDescent="0.25">
      <c r="K128"/>
      <c r="L128"/>
      <c r="M128"/>
      <c r="N128"/>
      <c r="O128"/>
    </row>
    <row r="129" spans="11:15" x14ac:dyDescent="0.25">
      <c r="K129"/>
      <c r="L129"/>
      <c r="M129"/>
      <c r="N129"/>
      <c r="O129"/>
    </row>
    <row r="130" spans="11:15" x14ac:dyDescent="0.25">
      <c r="K130"/>
      <c r="L130"/>
      <c r="M130"/>
      <c r="N130"/>
      <c r="O130"/>
    </row>
    <row r="131" spans="11:15" x14ac:dyDescent="0.25">
      <c r="K131"/>
      <c r="L131"/>
      <c r="M131"/>
      <c r="N131"/>
      <c r="O131"/>
    </row>
    <row r="132" spans="11:15" x14ac:dyDescent="0.25">
      <c r="K132"/>
      <c r="L132"/>
      <c r="M132"/>
      <c r="N132"/>
      <c r="O132"/>
    </row>
    <row r="133" spans="11:15" x14ac:dyDescent="0.25">
      <c r="K133"/>
      <c r="L133"/>
      <c r="M133"/>
      <c r="N133"/>
      <c r="O133"/>
    </row>
    <row r="134" spans="11:15" x14ac:dyDescent="0.25">
      <c r="K134"/>
      <c r="L134"/>
      <c r="M134"/>
      <c r="N134"/>
      <c r="O134"/>
    </row>
    <row r="135" spans="11:15" x14ac:dyDescent="0.25">
      <c r="K135"/>
      <c r="L135"/>
      <c r="M135"/>
      <c r="N135"/>
      <c r="O135"/>
    </row>
    <row r="136" spans="11:15" x14ac:dyDescent="0.25">
      <c r="K136"/>
      <c r="L136"/>
      <c r="M136"/>
      <c r="N136"/>
      <c r="O136"/>
    </row>
    <row r="137" spans="11:15" x14ac:dyDescent="0.25">
      <c r="K137"/>
      <c r="L137"/>
      <c r="M137"/>
      <c r="N137"/>
      <c r="O137"/>
    </row>
    <row r="138" spans="11:15" x14ac:dyDescent="0.25">
      <c r="K138"/>
      <c r="L138"/>
      <c r="M138"/>
      <c r="N138"/>
      <c r="O138"/>
    </row>
    <row r="139" spans="11:15" x14ac:dyDescent="0.25">
      <c r="K139"/>
      <c r="L139"/>
      <c r="M139"/>
      <c r="N139"/>
      <c r="O139"/>
    </row>
    <row r="140" spans="11:15" x14ac:dyDescent="0.25">
      <c r="K140"/>
      <c r="L140"/>
      <c r="M140"/>
      <c r="N140"/>
      <c r="O140"/>
    </row>
    <row r="141" spans="11:15" x14ac:dyDescent="0.25">
      <c r="K141"/>
      <c r="L141"/>
      <c r="M141"/>
      <c r="N141"/>
      <c r="O141"/>
    </row>
    <row r="142" spans="11:15" x14ac:dyDescent="0.25">
      <c r="K142"/>
      <c r="L142"/>
      <c r="M142"/>
      <c r="N142"/>
      <c r="O142"/>
    </row>
    <row r="143" spans="11:15" x14ac:dyDescent="0.25">
      <c r="K143"/>
      <c r="L143"/>
      <c r="M143"/>
      <c r="N143"/>
      <c r="O143"/>
    </row>
    <row r="144" spans="11:15" x14ac:dyDescent="0.25">
      <c r="K144"/>
      <c r="L144"/>
      <c r="M144"/>
      <c r="N144"/>
      <c r="O144"/>
    </row>
    <row r="145" spans="11:15" x14ac:dyDescent="0.25">
      <c r="K145"/>
      <c r="L145"/>
      <c r="M145"/>
      <c r="N145"/>
      <c r="O145"/>
    </row>
    <row r="146" spans="11:15" x14ac:dyDescent="0.25">
      <c r="K146"/>
      <c r="L146"/>
      <c r="M146"/>
      <c r="N146"/>
      <c r="O146"/>
    </row>
    <row r="147" spans="11:15" x14ac:dyDescent="0.25">
      <c r="K147"/>
      <c r="L147"/>
      <c r="M147"/>
      <c r="N147"/>
      <c r="O147"/>
    </row>
    <row r="148" spans="11:15" x14ac:dyDescent="0.25">
      <c r="K148"/>
      <c r="L148"/>
      <c r="M148"/>
      <c r="N148"/>
      <c r="O148"/>
    </row>
    <row r="149" spans="11:15" x14ac:dyDescent="0.25">
      <c r="K149"/>
      <c r="L149"/>
      <c r="M149"/>
      <c r="N149"/>
      <c r="O149"/>
    </row>
    <row r="150" spans="11:15" x14ac:dyDescent="0.25">
      <c r="K150"/>
      <c r="L150"/>
      <c r="M150"/>
      <c r="N150"/>
      <c r="O150"/>
    </row>
    <row r="151" spans="11:15" x14ac:dyDescent="0.25">
      <c r="K151"/>
      <c r="L151"/>
      <c r="M151"/>
      <c r="N151"/>
      <c r="O151"/>
    </row>
    <row r="152" spans="11:15" x14ac:dyDescent="0.25">
      <c r="K152"/>
      <c r="L152"/>
      <c r="M152"/>
      <c r="N152"/>
      <c r="O152"/>
    </row>
    <row r="153" spans="11:15" x14ac:dyDescent="0.25">
      <c r="K153"/>
      <c r="L153"/>
      <c r="M153"/>
      <c r="N153"/>
      <c r="O153"/>
    </row>
    <row r="154" spans="11:15" x14ac:dyDescent="0.25">
      <c r="K154"/>
      <c r="L154"/>
      <c r="M154"/>
      <c r="N154"/>
      <c r="O154"/>
    </row>
    <row r="155" spans="11:15" x14ac:dyDescent="0.25">
      <c r="K155"/>
      <c r="L155"/>
      <c r="M155"/>
      <c r="N155"/>
      <c r="O155"/>
    </row>
    <row r="156" spans="11:15" x14ac:dyDescent="0.25">
      <c r="K156"/>
      <c r="L156"/>
      <c r="M156"/>
      <c r="N156"/>
      <c r="O156"/>
    </row>
    <row r="157" spans="11:15" x14ac:dyDescent="0.25">
      <c r="K157"/>
      <c r="L157"/>
      <c r="M157"/>
      <c r="N157"/>
      <c r="O157"/>
    </row>
    <row r="158" spans="11:15" x14ac:dyDescent="0.25">
      <c r="K158"/>
      <c r="L158"/>
      <c r="M158"/>
      <c r="N158"/>
      <c r="O158"/>
    </row>
    <row r="159" spans="11:15" x14ac:dyDescent="0.25">
      <c r="K159"/>
      <c r="L159"/>
      <c r="M159"/>
      <c r="N159"/>
      <c r="O159"/>
    </row>
    <row r="160" spans="11:15" x14ac:dyDescent="0.25">
      <c r="K160"/>
      <c r="L160"/>
      <c r="M160"/>
      <c r="N160"/>
      <c r="O160"/>
    </row>
    <row r="161" spans="11:15" x14ac:dyDescent="0.25">
      <c r="K161"/>
      <c r="L161"/>
      <c r="M161"/>
      <c r="N161"/>
      <c r="O161"/>
    </row>
    <row r="162" spans="11:15" x14ac:dyDescent="0.25">
      <c r="K162"/>
      <c r="L162"/>
      <c r="M162"/>
      <c r="N162"/>
      <c r="O162"/>
    </row>
    <row r="163" spans="11:15" x14ac:dyDescent="0.25">
      <c r="K163"/>
      <c r="L163"/>
      <c r="M163"/>
      <c r="N163"/>
      <c r="O163"/>
    </row>
    <row r="164" spans="11:15" x14ac:dyDescent="0.25">
      <c r="K164"/>
      <c r="L164"/>
      <c r="M164"/>
      <c r="N164"/>
      <c r="O164"/>
    </row>
    <row r="165" spans="11:15" x14ac:dyDescent="0.25">
      <c r="K165"/>
      <c r="L165"/>
      <c r="M165"/>
      <c r="N165"/>
      <c r="O165"/>
    </row>
    <row r="166" spans="11:15" x14ac:dyDescent="0.25">
      <c r="K166"/>
      <c r="L166"/>
      <c r="M166"/>
      <c r="N166"/>
      <c r="O166"/>
    </row>
    <row r="167" spans="11:15" x14ac:dyDescent="0.25">
      <c r="K167"/>
      <c r="L167"/>
      <c r="M167"/>
      <c r="N167"/>
      <c r="O167"/>
    </row>
    <row r="168" spans="11:15" x14ac:dyDescent="0.25">
      <c r="K168"/>
      <c r="L168"/>
      <c r="M168"/>
      <c r="N168"/>
      <c r="O168"/>
    </row>
    <row r="169" spans="11:15" x14ac:dyDescent="0.25">
      <c r="K169"/>
      <c r="L169"/>
      <c r="M169"/>
      <c r="N169"/>
      <c r="O169"/>
    </row>
    <row r="170" spans="11:15" x14ac:dyDescent="0.25">
      <c r="K170"/>
      <c r="L170"/>
      <c r="M170"/>
      <c r="N170"/>
      <c r="O170"/>
    </row>
    <row r="171" spans="11:15" x14ac:dyDescent="0.25">
      <c r="K171"/>
      <c r="L171"/>
      <c r="M171"/>
      <c r="N171"/>
      <c r="O171"/>
    </row>
    <row r="172" spans="11:15" x14ac:dyDescent="0.25">
      <c r="K172"/>
      <c r="L172"/>
      <c r="M172"/>
      <c r="N172"/>
      <c r="O172"/>
    </row>
    <row r="173" spans="11:15" x14ac:dyDescent="0.25">
      <c r="K173"/>
      <c r="L173"/>
      <c r="M173"/>
      <c r="N173"/>
      <c r="O173"/>
    </row>
    <row r="174" spans="11:15" x14ac:dyDescent="0.25">
      <c r="K174"/>
      <c r="L174"/>
      <c r="M174"/>
      <c r="N174"/>
      <c r="O174"/>
    </row>
    <row r="175" spans="11:15" x14ac:dyDescent="0.25">
      <c r="K175"/>
      <c r="L175"/>
      <c r="M175"/>
      <c r="N175"/>
      <c r="O175"/>
    </row>
    <row r="176" spans="11:15" x14ac:dyDescent="0.25">
      <c r="K176"/>
      <c r="L176"/>
      <c r="M176"/>
      <c r="N176"/>
      <c r="O176"/>
    </row>
    <row r="177" spans="11:15" x14ac:dyDescent="0.25">
      <c r="K177"/>
      <c r="L177"/>
      <c r="M177"/>
      <c r="N177"/>
      <c r="O177"/>
    </row>
    <row r="178" spans="11:15" x14ac:dyDescent="0.25">
      <c r="K178"/>
      <c r="L178"/>
      <c r="M178"/>
      <c r="N178"/>
      <c r="O178"/>
    </row>
    <row r="179" spans="11:15" x14ac:dyDescent="0.25">
      <c r="K179"/>
      <c r="L179"/>
      <c r="M179"/>
      <c r="N179"/>
      <c r="O179"/>
    </row>
    <row r="180" spans="11:15" x14ac:dyDescent="0.25">
      <c r="K180"/>
      <c r="L180"/>
      <c r="M180"/>
      <c r="N180"/>
      <c r="O180"/>
    </row>
    <row r="181" spans="11:15" x14ac:dyDescent="0.25">
      <c r="K181"/>
      <c r="L181"/>
      <c r="M181"/>
      <c r="N181"/>
      <c r="O181"/>
    </row>
    <row r="182" spans="11:15" x14ac:dyDescent="0.25">
      <c r="K182"/>
      <c r="L182"/>
      <c r="M182"/>
      <c r="N182"/>
      <c r="O182"/>
    </row>
    <row r="183" spans="11:15" x14ac:dyDescent="0.25">
      <c r="K183"/>
      <c r="L183"/>
      <c r="M183"/>
      <c r="N183"/>
      <c r="O183"/>
    </row>
    <row r="184" spans="11:15" x14ac:dyDescent="0.25">
      <c r="K184"/>
      <c r="L184"/>
      <c r="M184"/>
      <c r="N184"/>
      <c r="O184"/>
    </row>
    <row r="185" spans="11:15" x14ac:dyDescent="0.25">
      <c r="K185"/>
      <c r="L185"/>
      <c r="M185"/>
      <c r="N185"/>
      <c r="O185"/>
    </row>
    <row r="186" spans="11:15" x14ac:dyDescent="0.25">
      <c r="K186"/>
      <c r="L186"/>
      <c r="M186"/>
      <c r="N186"/>
      <c r="O186"/>
    </row>
    <row r="187" spans="11:15" x14ac:dyDescent="0.25">
      <c r="K187"/>
      <c r="L187"/>
      <c r="M187"/>
      <c r="N187"/>
      <c r="O187"/>
    </row>
    <row r="188" spans="11:15" x14ac:dyDescent="0.25">
      <c r="K188"/>
      <c r="L188"/>
      <c r="M188"/>
      <c r="N188"/>
      <c r="O188"/>
    </row>
    <row r="189" spans="11:15" x14ac:dyDescent="0.25">
      <c r="K189"/>
      <c r="L189"/>
      <c r="M189"/>
      <c r="N189"/>
      <c r="O189"/>
    </row>
    <row r="190" spans="11:15" x14ac:dyDescent="0.25">
      <c r="K190"/>
      <c r="L190"/>
      <c r="M190"/>
      <c r="N190"/>
      <c r="O190"/>
    </row>
    <row r="191" spans="11:15" x14ac:dyDescent="0.25">
      <c r="K191"/>
      <c r="L191"/>
      <c r="M191"/>
      <c r="N191"/>
      <c r="O191"/>
    </row>
    <row r="192" spans="11:15" x14ac:dyDescent="0.25">
      <c r="K192"/>
      <c r="L192"/>
      <c r="M192"/>
      <c r="N192"/>
      <c r="O192"/>
    </row>
    <row r="193" spans="11:15" x14ac:dyDescent="0.25">
      <c r="K193"/>
      <c r="L193"/>
      <c r="M193"/>
      <c r="N193"/>
      <c r="O193"/>
    </row>
    <row r="194" spans="11:15" x14ac:dyDescent="0.25">
      <c r="K194"/>
      <c r="L194"/>
      <c r="M194"/>
      <c r="N194"/>
      <c r="O194"/>
    </row>
    <row r="195" spans="11:15" x14ac:dyDescent="0.25">
      <c r="K195"/>
      <c r="L195"/>
      <c r="M195"/>
      <c r="N195"/>
      <c r="O195"/>
    </row>
    <row r="196" spans="11:15" x14ac:dyDescent="0.25">
      <c r="K196"/>
      <c r="L196"/>
      <c r="M196"/>
      <c r="N196"/>
      <c r="O196"/>
    </row>
    <row r="197" spans="11:15" x14ac:dyDescent="0.25">
      <c r="K197"/>
      <c r="L197"/>
      <c r="M197"/>
      <c r="N197"/>
      <c r="O197"/>
    </row>
    <row r="198" spans="11:15" x14ac:dyDescent="0.25">
      <c r="K198"/>
      <c r="L198"/>
      <c r="M198"/>
      <c r="N198"/>
      <c r="O198"/>
    </row>
    <row r="199" spans="11:15" x14ac:dyDescent="0.25">
      <c r="K199"/>
      <c r="L199"/>
      <c r="M199"/>
      <c r="N199"/>
      <c r="O199"/>
    </row>
    <row r="200" spans="11:15" x14ac:dyDescent="0.25">
      <c r="K200"/>
      <c r="L200"/>
      <c r="M200"/>
      <c r="N200"/>
      <c r="O200"/>
    </row>
    <row r="201" spans="11:15" x14ac:dyDescent="0.25">
      <c r="K201"/>
      <c r="L201"/>
      <c r="M201"/>
      <c r="N201"/>
      <c r="O201"/>
    </row>
    <row r="202" spans="11:15" x14ac:dyDescent="0.25">
      <c r="K202"/>
      <c r="L202"/>
      <c r="M202"/>
      <c r="N202"/>
      <c r="O202"/>
    </row>
    <row r="203" spans="11:15" x14ac:dyDescent="0.25">
      <c r="K203"/>
      <c r="L203"/>
      <c r="M203"/>
      <c r="N203"/>
      <c r="O203"/>
    </row>
    <row r="204" spans="11:15" x14ac:dyDescent="0.25">
      <c r="K204"/>
      <c r="L204"/>
      <c r="M204"/>
      <c r="N204"/>
      <c r="O204"/>
    </row>
    <row r="205" spans="11:15" x14ac:dyDescent="0.25">
      <c r="K205"/>
      <c r="L205"/>
      <c r="M205"/>
      <c r="N205"/>
      <c r="O205"/>
    </row>
    <row r="206" spans="11:15" x14ac:dyDescent="0.25">
      <c r="K206"/>
      <c r="L206"/>
      <c r="M206"/>
      <c r="N206"/>
      <c r="O206"/>
    </row>
    <row r="207" spans="11:15" x14ac:dyDescent="0.25">
      <c r="K207"/>
      <c r="L207"/>
      <c r="M207"/>
      <c r="N207"/>
      <c r="O207"/>
    </row>
    <row r="208" spans="11:15" x14ac:dyDescent="0.25">
      <c r="K208"/>
      <c r="L208"/>
      <c r="M208"/>
      <c r="N208"/>
      <c r="O208"/>
    </row>
    <row r="209" spans="11:15" x14ac:dyDescent="0.25">
      <c r="K209"/>
      <c r="L209"/>
      <c r="M209"/>
      <c r="N209"/>
      <c r="O209"/>
    </row>
    <row r="210" spans="11:15" x14ac:dyDescent="0.25">
      <c r="K210"/>
      <c r="L210"/>
      <c r="M210"/>
      <c r="N210"/>
      <c r="O210"/>
    </row>
    <row r="211" spans="11:15" x14ac:dyDescent="0.25">
      <c r="K211"/>
      <c r="L211"/>
      <c r="M211"/>
      <c r="N211"/>
      <c r="O211"/>
    </row>
    <row r="212" spans="11:15" x14ac:dyDescent="0.25">
      <c r="K212"/>
      <c r="L212"/>
      <c r="M212"/>
      <c r="N212"/>
      <c r="O212"/>
    </row>
    <row r="213" spans="11:15" x14ac:dyDescent="0.25">
      <c r="K213"/>
      <c r="L213"/>
      <c r="M213"/>
      <c r="N213"/>
      <c r="O213"/>
    </row>
    <row r="214" spans="11:15" x14ac:dyDescent="0.25">
      <c r="K214"/>
      <c r="L214"/>
      <c r="M214"/>
      <c r="N214"/>
      <c r="O214"/>
    </row>
    <row r="215" spans="11:15" x14ac:dyDescent="0.25">
      <c r="K215"/>
      <c r="L215"/>
      <c r="M215"/>
      <c r="N215"/>
      <c r="O215"/>
    </row>
    <row r="216" spans="11:15" x14ac:dyDescent="0.25">
      <c r="K216"/>
      <c r="L216"/>
      <c r="M216"/>
      <c r="N216"/>
      <c r="O216"/>
    </row>
    <row r="217" spans="11:15" x14ac:dyDescent="0.25">
      <c r="K217"/>
      <c r="L217"/>
      <c r="M217"/>
      <c r="N217"/>
      <c r="O217"/>
    </row>
    <row r="218" spans="11:15" x14ac:dyDescent="0.25">
      <c r="K218"/>
      <c r="L218"/>
      <c r="M218"/>
      <c r="N218"/>
      <c r="O218"/>
    </row>
    <row r="219" spans="11:15" x14ac:dyDescent="0.25">
      <c r="K219"/>
      <c r="L219"/>
      <c r="M219"/>
      <c r="N219"/>
      <c r="O219"/>
    </row>
    <row r="220" spans="11:15" x14ac:dyDescent="0.25">
      <c r="K220"/>
      <c r="L220"/>
      <c r="M220"/>
      <c r="N220"/>
      <c r="O220"/>
    </row>
    <row r="221" spans="11:15" x14ac:dyDescent="0.25">
      <c r="K221"/>
      <c r="L221"/>
      <c r="M221"/>
      <c r="N221"/>
      <c r="O221"/>
    </row>
    <row r="222" spans="11:15" x14ac:dyDescent="0.25">
      <c r="K222"/>
      <c r="L222"/>
      <c r="M222"/>
      <c r="N222"/>
      <c r="O222"/>
    </row>
    <row r="223" spans="11:15" x14ac:dyDescent="0.25">
      <c r="K223"/>
      <c r="L223"/>
      <c r="M223"/>
      <c r="N223"/>
      <c r="O223"/>
    </row>
    <row r="224" spans="11:15" x14ac:dyDescent="0.25">
      <c r="K224"/>
      <c r="L224"/>
      <c r="M224"/>
      <c r="N224"/>
      <c r="O224"/>
    </row>
    <row r="225" spans="11:15" x14ac:dyDescent="0.25">
      <c r="K225"/>
      <c r="L225"/>
      <c r="M225"/>
      <c r="N225"/>
      <c r="O225"/>
    </row>
    <row r="226" spans="11:15" x14ac:dyDescent="0.25">
      <c r="K226"/>
      <c r="L226"/>
      <c r="M226"/>
      <c r="N226"/>
      <c r="O226"/>
    </row>
    <row r="227" spans="11:15" x14ac:dyDescent="0.25">
      <c r="K227"/>
      <c r="L227"/>
      <c r="M227"/>
      <c r="N227"/>
      <c r="O227"/>
    </row>
    <row r="228" spans="11:15" x14ac:dyDescent="0.25">
      <c r="K228"/>
      <c r="L228"/>
      <c r="M228"/>
      <c r="N228"/>
      <c r="O228"/>
    </row>
    <row r="229" spans="11:15" x14ac:dyDescent="0.25">
      <c r="K229"/>
      <c r="L229"/>
      <c r="M229"/>
      <c r="N229"/>
      <c r="O229"/>
    </row>
    <row r="230" spans="11:15" x14ac:dyDescent="0.25">
      <c r="K230"/>
      <c r="L230"/>
      <c r="M230"/>
      <c r="N230"/>
      <c r="O230"/>
    </row>
    <row r="231" spans="11:15" x14ac:dyDescent="0.25">
      <c r="K231"/>
      <c r="L231"/>
      <c r="M231"/>
      <c r="N231"/>
      <c r="O231"/>
    </row>
    <row r="232" spans="11:15" x14ac:dyDescent="0.25">
      <c r="K232"/>
      <c r="L232"/>
      <c r="M232"/>
      <c r="N232"/>
      <c r="O232"/>
    </row>
    <row r="233" spans="11:15" x14ac:dyDescent="0.25">
      <c r="K233"/>
      <c r="L233"/>
      <c r="M233"/>
      <c r="N233"/>
      <c r="O233"/>
    </row>
    <row r="234" spans="11:15" x14ac:dyDescent="0.25">
      <c r="K234"/>
      <c r="L234"/>
      <c r="M234"/>
      <c r="N234"/>
      <c r="O234"/>
    </row>
    <row r="235" spans="11:15" x14ac:dyDescent="0.25">
      <c r="K235"/>
      <c r="L235"/>
      <c r="M235"/>
      <c r="N235"/>
      <c r="O235"/>
    </row>
    <row r="236" spans="11:15" x14ac:dyDescent="0.25">
      <c r="K236"/>
      <c r="L236"/>
      <c r="M236"/>
      <c r="N236"/>
      <c r="O236"/>
    </row>
    <row r="237" spans="11:15" x14ac:dyDescent="0.25">
      <c r="K237"/>
      <c r="L237"/>
      <c r="M237"/>
      <c r="N237"/>
      <c r="O237"/>
    </row>
    <row r="238" spans="11:15" x14ac:dyDescent="0.25">
      <c r="K238"/>
      <c r="L238"/>
      <c r="M238"/>
      <c r="N238"/>
      <c r="O238"/>
    </row>
    <row r="239" spans="11:15" x14ac:dyDescent="0.25">
      <c r="K239"/>
      <c r="L239"/>
      <c r="M239"/>
      <c r="N239"/>
      <c r="O239"/>
    </row>
    <row r="240" spans="11:15" x14ac:dyDescent="0.25">
      <c r="K240"/>
      <c r="L240"/>
      <c r="M240"/>
      <c r="N240"/>
      <c r="O240"/>
    </row>
    <row r="241" spans="11:15" x14ac:dyDescent="0.25">
      <c r="K241"/>
      <c r="L241"/>
      <c r="M241"/>
      <c r="N241"/>
      <c r="O241"/>
    </row>
    <row r="242" spans="11:15" x14ac:dyDescent="0.25">
      <c r="K242"/>
      <c r="L242"/>
      <c r="M242"/>
      <c r="N242"/>
      <c r="O242"/>
    </row>
    <row r="243" spans="11:15" x14ac:dyDescent="0.25">
      <c r="K243"/>
      <c r="L243"/>
      <c r="M243"/>
      <c r="N243"/>
      <c r="O243"/>
    </row>
    <row r="244" spans="11:15" x14ac:dyDescent="0.25">
      <c r="K244"/>
      <c r="L244"/>
      <c r="M244"/>
      <c r="N244"/>
      <c r="O244"/>
    </row>
    <row r="245" spans="11:15" x14ac:dyDescent="0.25">
      <c r="K245"/>
      <c r="L245"/>
      <c r="M245"/>
      <c r="N245"/>
      <c r="O245"/>
    </row>
    <row r="246" spans="11:15" x14ac:dyDescent="0.25">
      <c r="K246"/>
      <c r="L246"/>
      <c r="M246"/>
      <c r="N246"/>
      <c r="O246"/>
    </row>
    <row r="247" spans="11:15" x14ac:dyDescent="0.25">
      <c r="K247"/>
      <c r="L247"/>
      <c r="M247"/>
      <c r="N247"/>
      <c r="O247"/>
    </row>
    <row r="248" spans="11:15" x14ac:dyDescent="0.25">
      <c r="K248"/>
      <c r="L248"/>
      <c r="M248"/>
      <c r="N248"/>
      <c r="O248"/>
    </row>
    <row r="249" spans="11:15" x14ac:dyDescent="0.25">
      <c r="K249"/>
      <c r="L249"/>
      <c r="M249"/>
      <c r="N249"/>
      <c r="O249"/>
    </row>
    <row r="250" spans="11:15" x14ac:dyDescent="0.25">
      <c r="K250"/>
      <c r="L250"/>
      <c r="M250"/>
      <c r="N250"/>
      <c r="O250"/>
    </row>
    <row r="251" spans="11:15" x14ac:dyDescent="0.25">
      <c r="K251"/>
      <c r="L251"/>
      <c r="M251"/>
      <c r="N251"/>
      <c r="O251"/>
    </row>
    <row r="252" spans="11:15" x14ac:dyDescent="0.25">
      <c r="K252"/>
      <c r="L252"/>
      <c r="M252"/>
      <c r="N252"/>
      <c r="O252"/>
    </row>
    <row r="253" spans="11:15" x14ac:dyDescent="0.25">
      <c r="K253"/>
      <c r="L253"/>
      <c r="M253"/>
      <c r="N253"/>
      <c r="O253"/>
    </row>
    <row r="254" spans="11:15" x14ac:dyDescent="0.25">
      <c r="K254"/>
      <c r="L254"/>
      <c r="M254"/>
      <c r="N254"/>
      <c r="O254"/>
    </row>
    <row r="255" spans="11:15" x14ac:dyDescent="0.25">
      <c r="K255"/>
      <c r="L255"/>
      <c r="M255"/>
      <c r="N255"/>
      <c r="O255"/>
    </row>
    <row r="256" spans="11:15" x14ac:dyDescent="0.25">
      <c r="K256"/>
      <c r="L256"/>
      <c r="M256"/>
      <c r="N256"/>
      <c r="O256"/>
    </row>
    <row r="257" spans="11:15" x14ac:dyDescent="0.25">
      <c r="K257"/>
      <c r="L257"/>
      <c r="M257"/>
      <c r="N257"/>
      <c r="O257"/>
    </row>
    <row r="258" spans="11:15" x14ac:dyDescent="0.25">
      <c r="K258"/>
      <c r="L258"/>
      <c r="M258"/>
      <c r="N258"/>
      <c r="O258"/>
    </row>
    <row r="259" spans="11:15" x14ac:dyDescent="0.25">
      <c r="K259"/>
      <c r="L259"/>
      <c r="M259"/>
      <c r="N259"/>
      <c r="O259"/>
    </row>
    <row r="260" spans="11:15" x14ac:dyDescent="0.25">
      <c r="K260"/>
      <c r="L260"/>
      <c r="M260"/>
      <c r="N260"/>
      <c r="O260"/>
    </row>
    <row r="261" spans="11:15" x14ac:dyDescent="0.25">
      <c r="K261"/>
      <c r="L261"/>
      <c r="M261"/>
      <c r="N261"/>
      <c r="O261"/>
    </row>
    <row r="262" spans="11:15" x14ac:dyDescent="0.25">
      <c r="K262"/>
      <c r="L262"/>
      <c r="M262"/>
      <c r="N262"/>
      <c r="O262"/>
    </row>
    <row r="263" spans="11:15" x14ac:dyDescent="0.25">
      <c r="K263"/>
      <c r="L263"/>
      <c r="M263"/>
      <c r="N263"/>
      <c r="O263"/>
    </row>
    <row r="264" spans="11:15" x14ac:dyDescent="0.25">
      <c r="K264"/>
      <c r="L264"/>
      <c r="M264"/>
      <c r="N264"/>
      <c r="O264"/>
    </row>
    <row r="265" spans="11:15" x14ac:dyDescent="0.25">
      <c r="K265"/>
      <c r="L265"/>
      <c r="M265"/>
      <c r="N265"/>
      <c r="O265"/>
    </row>
    <row r="266" spans="11:15" x14ac:dyDescent="0.25">
      <c r="K266"/>
      <c r="L266"/>
      <c r="M266"/>
      <c r="N266"/>
      <c r="O266"/>
    </row>
    <row r="267" spans="11:15" x14ac:dyDescent="0.25">
      <c r="K267"/>
      <c r="L267"/>
      <c r="M267"/>
      <c r="N267"/>
      <c r="O267"/>
    </row>
    <row r="268" spans="11:15" x14ac:dyDescent="0.25">
      <c r="K268"/>
      <c r="L268"/>
      <c r="M268"/>
      <c r="N268"/>
      <c r="O268"/>
    </row>
    <row r="269" spans="11:15" x14ac:dyDescent="0.25">
      <c r="K269"/>
      <c r="L269"/>
      <c r="M269"/>
      <c r="N269"/>
      <c r="O269"/>
    </row>
    <row r="270" spans="11:15" x14ac:dyDescent="0.25">
      <c r="K270"/>
      <c r="L270"/>
      <c r="M270"/>
      <c r="N270"/>
      <c r="O270"/>
    </row>
    <row r="271" spans="11:15" x14ac:dyDescent="0.25">
      <c r="K271"/>
      <c r="L271"/>
      <c r="M271"/>
      <c r="N271"/>
      <c r="O271"/>
    </row>
    <row r="272" spans="11:15" x14ac:dyDescent="0.25">
      <c r="K272"/>
      <c r="L272"/>
      <c r="M272"/>
      <c r="N272"/>
      <c r="O272"/>
    </row>
    <row r="273" spans="11:15" x14ac:dyDescent="0.25">
      <c r="K273"/>
      <c r="L273"/>
      <c r="M273"/>
      <c r="N273"/>
      <c r="O273"/>
    </row>
    <row r="274" spans="11:15" x14ac:dyDescent="0.25">
      <c r="K274"/>
      <c r="L274"/>
      <c r="M274"/>
      <c r="N274"/>
      <c r="O274"/>
    </row>
    <row r="275" spans="11:15" x14ac:dyDescent="0.25">
      <c r="K275"/>
      <c r="L275"/>
      <c r="M275"/>
      <c r="N275"/>
      <c r="O275"/>
    </row>
    <row r="276" spans="11:15" x14ac:dyDescent="0.25">
      <c r="K276"/>
      <c r="L276"/>
      <c r="M276"/>
      <c r="N276"/>
      <c r="O276"/>
    </row>
    <row r="277" spans="11:15" x14ac:dyDescent="0.25">
      <c r="K277"/>
      <c r="L277"/>
      <c r="M277"/>
      <c r="N277"/>
      <c r="O277"/>
    </row>
    <row r="278" spans="11:15" x14ac:dyDescent="0.25">
      <c r="K278"/>
      <c r="L278"/>
      <c r="M278"/>
      <c r="N278"/>
      <c r="O278"/>
    </row>
    <row r="279" spans="11:15" x14ac:dyDescent="0.25">
      <c r="K279"/>
      <c r="L279"/>
      <c r="M279"/>
      <c r="N279"/>
      <c r="O279"/>
    </row>
    <row r="280" spans="11:15" x14ac:dyDescent="0.25">
      <c r="K280"/>
      <c r="L280"/>
      <c r="M280"/>
      <c r="N280"/>
      <c r="O280"/>
    </row>
    <row r="281" spans="11:15" x14ac:dyDescent="0.25">
      <c r="K281"/>
      <c r="L281"/>
      <c r="M281"/>
      <c r="N281"/>
      <c r="O281"/>
    </row>
    <row r="282" spans="11:15" x14ac:dyDescent="0.25">
      <c r="K282"/>
      <c r="L282"/>
      <c r="M282"/>
      <c r="N282"/>
      <c r="O282"/>
    </row>
    <row r="283" spans="11:15" x14ac:dyDescent="0.25">
      <c r="K283"/>
      <c r="L283"/>
      <c r="M283"/>
      <c r="N283"/>
      <c r="O283"/>
    </row>
    <row r="284" spans="11:15" x14ac:dyDescent="0.25">
      <c r="K284"/>
      <c r="L284"/>
      <c r="M284"/>
      <c r="N284"/>
      <c r="O284"/>
    </row>
    <row r="285" spans="11:15" x14ac:dyDescent="0.25">
      <c r="K285"/>
      <c r="L285"/>
      <c r="M285"/>
      <c r="N285"/>
      <c r="O285"/>
    </row>
    <row r="286" spans="11:15" x14ac:dyDescent="0.25">
      <c r="K286"/>
      <c r="L286"/>
      <c r="M286"/>
      <c r="N286"/>
      <c r="O286"/>
    </row>
    <row r="287" spans="11:15" x14ac:dyDescent="0.25">
      <c r="K287"/>
      <c r="L287"/>
      <c r="M287"/>
      <c r="N287"/>
      <c r="O287"/>
    </row>
    <row r="288" spans="11:15" x14ac:dyDescent="0.25">
      <c r="K288"/>
      <c r="L288"/>
      <c r="M288"/>
      <c r="N288"/>
      <c r="O288"/>
    </row>
    <row r="289" spans="11:15" x14ac:dyDescent="0.25">
      <c r="K289"/>
      <c r="L289"/>
      <c r="M289"/>
      <c r="N289"/>
      <c r="O289"/>
    </row>
    <row r="290" spans="11:15" x14ac:dyDescent="0.25">
      <c r="K290"/>
      <c r="L290"/>
      <c r="M290"/>
      <c r="N290"/>
      <c r="O290"/>
    </row>
    <row r="291" spans="11:15" x14ac:dyDescent="0.25">
      <c r="K291"/>
      <c r="L291"/>
      <c r="M291"/>
      <c r="N291"/>
      <c r="O291"/>
    </row>
    <row r="292" spans="11:15" x14ac:dyDescent="0.25">
      <c r="K292"/>
      <c r="L292"/>
      <c r="M292"/>
      <c r="N292"/>
      <c r="O292"/>
    </row>
    <row r="293" spans="11:15" x14ac:dyDescent="0.25">
      <c r="K293"/>
      <c r="L293"/>
      <c r="M293"/>
      <c r="N293"/>
      <c r="O293"/>
    </row>
    <row r="294" spans="11:15" x14ac:dyDescent="0.25">
      <c r="K294"/>
      <c r="L294"/>
      <c r="M294"/>
      <c r="N294"/>
      <c r="O294"/>
    </row>
    <row r="295" spans="11:15" x14ac:dyDescent="0.25">
      <c r="K295"/>
      <c r="L295"/>
      <c r="M295"/>
      <c r="N295"/>
      <c r="O295"/>
    </row>
    <row r="296" spans="11:15" x14ac:dyDescent="0.25">
      <c r="K296"/>
      <c r="L296"/>
      <c r="M296"/>
      <c r="N296"/>
      <c r="O296"/>
    </row>
    <row r="297" spans="11:15" x14ac:dyDescent="0.25">
      <c r="K297"/>
      <c r="L297"/>
      <c r="M297"/>
      <c r="N297"/>
      <c r="O297"/>
    </row>
    <row r="298" spans="11:15" x14ac:dyDescent="0.25">
      <c r="K298"/>
      <c r="L298"/>
      <c r="M298"/>
      <c r="N298"/>
      <c r="O298"/>
    </row>
    <row r="299" spans="11:15" x14ac:dyDescent="0.25">
      <c r="K299"/>
      <c r="L299"/>
      <c r="M299"/>
      <c r="N299"/>
      <c r="O299"/>
    </row>
    <row r="300" spans="11:15" x14ac:dyDescent="0.25">
      <c r="K300"/>
      <c r="L300"/>
      <c r="M300"/>
      <c r="N300"/>
      <c r="O300"/>
    </row>
    <row r="301" spans="11:15" x14ac:dyDescent="0.25">
      <c r="K301"/>
      <c r="L301"/>
      <c r="M301"/>
      <c r="N301"/>
      <c r="O301"/>
    </row>
    <row r="302" spans="11:15" x14ac:dyDescent="0.25">
      <c r="K302"/>
      <c r="L302"/>
      <c r="M302"/>
      <c r="N302"/>
      <c r="O302"/>
    </row>
    <row r="303" spans="11:15" x14ac:dyDescent="0.25">
      <c r="K303"/>
      <c r="L303"/>
      <c r="M303"/>
      <c r="N303"/>
      <c r="O303"/>
    </row>
    <row r="304" spans="11:15" x14ac:dyDescent="0.25">
      <c r="K304"/>
      <c r="L304"/>
      <c r="M304"/>
      <c r="N304"/>
      <c r="O304"/>
    </row>
    <row r="305" spans="11:15" x14ac:dyDescent="0.25">
      <c r="K305"/>
      <c r="L305"/>
      <c r="M305"/>
      <c r="N305"/>
      <c r="O305"/>
    </row>
    <row r="306" spans="11:15" x14ac:dyDescent="0.25">
      <c r="K306"/>
      <c r="L306"/>
      <c r="M306"/>
      <c r="N306"/>
      <c r="O306"/>
    </row>
    <row r="307" spans="11:15" x14ac:dyDescent="0.25">
      <c r="K307"/>
      <c r="L307"/>
      <c r="M307"/>
      <c r="N307"/>
      <c r="O307"/>
    </row>
    <row r="308" spans="11:15" x14ac:dyDescent="0.25">
      <c r="K308"/>
      <c r="L308"/>
      <c r="M308"/>
      <c r="N308"/>
      <c r="O308"/>
    </row>
    <row r="309" spans="11:15" x14ac:dyDescent="0.25">
      <c r="K309"/>
      <c r="L309"/>
      <c r="M309"/>
      <c r="N309"/>
      <c r="O309"/>
    </row>
    <row r="310" spans="11:15" x14ac:dyDescent="0.25">
      <c r="K310"/>
      <c r="L310"/>
      <c r="M310"/>
      <c r="N310"/>
      <c r="O310"/>
    </row>
    <row r="311" spans="11:15" x14ac:dyDescent="0.25">
      <c r="K311"/>
      <c r="L311"/>
      <c r="M311"/>
      <c r="N311"/>
      <c r="O311"/>
    </row>
    <row r="312" spans="11:15" x14ac:dyDescent="0.25">
      <c r="K312"/>
      <c r="L312"/>
      <c r="M312"/>
      <c r="N312"/>
      <c r="O312"/>
    </row>
    <row r="313" spans="11:15" x14ac:dyDescent="0.25">
      <c r="K313"/>
      <c r="L313"/>
      <c r="M313"/>
      <c r="N313"/>
      <c r="O313"/>
    </row>
    <row r="314" spans="11:15" x14ac:dyDescent="0.25">
      <c r="K314"/>
      <c r="L314"/>
      <c r="M314"/>
      <c r="N314"/>
      <c r="O314"/>
    </row>
    <row r="315" spans="11:15" x14ac:dyDescent="0.25">
      <c r="K315"/>
      <c r="L315"/>
      <c r="M315"/>
      <c r="N315"/>
      <c r="O315"/>
    </row>
    <row r="316" spans="11:15" x14ac:dyDescent="0.25">
      <c r="K316"/>
      <c r="L316"/>
      <c r="M316"/>
      <c r="N316"/>
      <c r="O316"/>
    </row>
    <row r="317" spans="11:15" x14ac:dyDescent="0.25">
      <c r="K317"/>
      <c r="L317"/>
      <c r="M317"/>
      <c r="N317"/>
      <c r="O317"/>
    </row>
    <row r="318" spans="11:15" x14ac:dyDescent="0.25">
      <c r="K318"/>
      <c r="L318"/>
      <c r="M318"/>
      <c r="N318"/>
      <c r="O318"/>
    </row>
    <row r="319" spans="11:15" x14ac:dyDescent="0.25">
      <c r="K319"/>
      <c r="L319"/>
      <c r="M319"/>
      <c r="N319"/>
      <c r="O319"/>
    </row>
    <row r="320" spans="11:15" x14ac:dyDescent="0.25">
      <c r="K320"/>
      <c r="L320"/>
      <c r="M320"/>
      <c r="N320"/>
      <c r="O320"/>
    </row>
    <row r="321" spans="11:15" x14ac:dyDescent="0.25">
      <c r="K321"/>
      <c r="L321"/>
      <c r="M321"/>
      <c r="N321"/>
      <c r="O321"/>
    </row>
    <row r="322" spans="11:15" x14ac:dyDescent="0.25">
      <c r="K322"/>
      <c r="L322"/>
      <c r="M322"/>
      <c r="N322"/>
      <c r="O322"/>
    </row>
    <row r="323" spans="11:15" x14ac:dyDescent="0.25">
      <c r="K323"/>
      <c r="L323"/>
      <c r="M323"/>
      <c r="N323"/>
      <c r="O323"/>
    </row>
    <row r="324" spans="11:15" x14ac:dyDescent="0.25">
      <c r="K324"/>
      <c r="L324"/>
      <c r="M324"/>
      <c r="N324"/>
      <c r="O324"/>
    </row>
    <row r="325" spans="11:15" x14ac:dyDescent="0.25">
      <c r="K325"/>
      <c r="L325"/>
      <c r="M325"/>
      <c r="N325"/>
      <c r="O325"/>
    </row>
    <row r="326" spans="11:15" x14ac:dyDescent="0.25">
      <c r="K326"/>
      <c r="L326"/>
      <c r="M326"/>
      <c r="N326"/>
      <c r="O326"/>
    </row>
    <row r="327" spans="11:15" x14ac:dyDescent="0.25">
      <c r="K327"/>
      <c r="L327"/>
      <c r="M327"/>
      <c r="N327"/>
      <c r="O327"/>
    </row>
    <row r="328" spans="11:15" x14ac:dyDescent="0.25">
      <c r="K328"/>
      <c r="L328"/>
      <c r="M328"/>
      <c r="N328"/>
      <c r="O328"/>
    </row>
    <row r="329" spans="11:15" x14ac:dyDescent="0.25">
      <c r="K329"/>
      <c r="L329"/>
      <c r="M329"/>
      <c r="N329"/>
      <c r="O329"/>
    </row>
    <row r="330" spans="11:15" x14ac:dyDescent="0.25">
      <c r="K330"/>
      <c r="L330"/>
      <c r="M330"/>
      <c r="N330"/>
      <c r="O330"/>
    </row>
    <row r="331" spans="11:15" x14ac:dyDescent="0.25">
      <c r="K331"/>
      <c r="L331"/>
      <c r="M331"/>
      <c r="N331"/>
      <c r="O331"/>
    </row>
    <row r="332" spans="11:15" x14ac:dyDescent="0.25">
      <c r="K332"/>
      <c r="L332"/>
      <c r="M332"/>
      <c r="N332"/>
      <c r="O332"/>
    </row>
    <row r="333" spans="11:15" x14ac:dyDescent="0.25">
      <c r="K333"/>
      <c r="L333"/>
      <c r="M333"/>
      <c r="N333"/>
      <c r="O333"/>
    </row>
    <row r="334" spans="11:15" x14ac:dyDescent="0.25">
      <c r="K334"/>
      <c r="L334"/>
      <c r="M334"/>
      <c r="N334"/>
      <c r="O334"/>
    </row>
    <row r="335" spans="11:15" x14ac:dyDescent="0.25">
      <c r="K335"/>
      <c r="L335"/>
      <c r="M335"/>
      <c r="N335"/>
      <c r="O335"/>
    </row>
    <row r="336" spans="11:15" x14ac:dyDescent="0.25">
      <c r="K336"/>
      <c r="L336"/>
      <c r="M336"/>
      <c r="N336"/>
      <c r="O336"/>
    </row>
    <row r="337" spans="11:15" x14ac:dyDescent="0.25">
      <c r="K337"/>
      <c r="L337"/>
      <c r="M337"/>
      <c r="N337"/>
      <c r="O337"/>
    </row>
    <row r="338" spans="11:15" x14ac:dyDescent="0.25">
      <c r="K338"/>
      <c r="L338"/>
      <c r="M338"/>
      <c r="N338"/>
      <c r="O338"/>
    </row>
    <row r="339" spans="11:15" x14ac:dyDescent="0.25">
      <c r="K339"/>
      <c r="L339"/>
      <c r="M339"/>
      <c r="N339"/>
      <c r="O339"/>
    </row>
    <row r="340" spans="11:15" x14ac:dyDescent="0.25">
      <c r="K340"/>
      <c r="L340"/>
      <c r="M340"/>
      <c r="N340"/>
      <c r="O340"/>
    </row>
    <row r="341" spans="11:15" x14ac:dyDescent="0.25">
      <c r="K341"/>
      <c r="L341"/>
      <c r="M341"/>
      <c r="N341"/>
      <c r="O341"/>
    </row>
    <row r="342" spans="11:15" x14ac:dyDescent="0.25">
      <c r="K342"/>
      <c r="L342"/>
      <c r="M342"/>
      <c r="N342"/>
      <c r="O342"/>
    </row>
    <row r="343" spans="11:15" x14ac:dyDescent="0.25">
      <c r="K343"/>
      <c r="L343"/>
      <c r="M343"/>
      <c r="N343"/>
      <c r="O343"/>
    </row>
    <row r="344" spans="11:15" x14ac:dyDescent="0.25">
      <c r="K344"/>
      <c r="L344"/>
      <c r="M344"/>
      <c r="N344"/>
      <c r="O344"/>
    </row>
    <row r="345" spans="11:15" x14ac:dyDescent="0.25">
      <c r="K345"/>
      <c r="L345"/>
      <c r="M345"/>
      <c r="N345"/>
      <c r="O345"/>
    </row>
    <row r="346" spans="11:15" x14ac:dyDescent="0.25">
      <c r="K346"/>
      <c r="L346"/>
      <c r="M346"/>
      <c r="N346"/>
      <c r="O346"/>
    </row>
    <row r="347" spans="11:15" x14ac:dyDescent="0.25">
      <c r="K347"/>
      <c r="L347"/>
      <c r="M347"/>
      <c r="N347"/>
      <c r="O347"/>
    </row>
    <row r="348" spans="11:15" x14ac:dyDescent="0.25">
      <c r="K348"/>
      <c r="L348"/>
      <c r="M348"/>
      <c r="N348"/>
      <c r="O348"/>
    </row>
    <row r="349" spans="11:15" x14ac:dyDescent="0.25">
      <c r="K349"/>
      <c r="L349"/>
      <c r="M349"/>
      <c r="N349"/>
      <c r="O349"/>
    </row>
    <row r="350" spans="11:15" x14ac:dyDescent="0.25">
      <c r="K350"/>
      <c r="L350"/>
      <c r="M350"/>
      <c r="N350"/>
      <c r="O350"/>
    </row>
    <row r="351" spans="11:15" x14ac:dyDescent="0.25">
      <c r="K351"/>
      <c r="L351"/>
      <c r="M351"/>
      <c r="N351"/>
      <c r="O351"/>
    </row>
    <row r="352" spans="11:15" x14ac:dyDescent="0.25">
      <c r="K352"/>
      <c r="L352"/>
      <c r="M352"/>
      <c r="N352"/>
      <c r="O352"/>
    </row>
    <row r="353" spans="11:15" x14ac:dyDescent="0.25">
      <c r="K353"/>
      <c r="L353"/>
      <c r="M353"/>
      <c r="N353"/>
      <c r="O353"/>
    </row>
    <row r="354" spans="11:15" x14ac:dyDescent="0.25">
      <c r="K354"/>
      <c r="L354"/>
      <c r="M354"/>
      <c r="N354"/>
      <c r="O354"/>
    </row>
    <row r="355" spans="11:15" x14ac:dyDescent="0.25">
      <c r="K355"/>
      <c r="L355"/>
      <c r="M355"/>
      <c r="N355"/>
      <c r="O355"/>
    </row>
    <row r="356" spans="11:15" x14ac:dyDescent="0.25">
      <c r="K356"/>
      <c r="L356"/>
      <c r="M356"/>
      <c r="N356"/>
      <c r="O356"/>
    </row>
    <row r="357" spans="11:15" x14ac:dyDescent="0.25">
      <c r="K357"/>
      <c r="L357"/>
      <c r="M357"/>
      <c r="N357"/>
      <c r="O357"/>
    </row>
    <row r="358" spans="11:15" x14ac:dyDescent="0.25">
      <c r="K358"/>
      <c r="L358"/>
      <c r="M358"/>
      <c r="N358"/>
      <c r="O358"/>
    </row>
    <row r="359" spans="11:15" x14ac:dyDescent="0.25">
      <c r="K359"/>
      <c r="L359"/>
      <c r="M359"/>
      <c r="N359"/>
      <c r="O359"/>
    </row>
    <row r="360" spans="11:15" x14ac:dyDescent="0.25">
      <c r="K360"/>
      <c r="L360"/>
      <c r="M360"/>
      <c r="N360"/>
      <c r="O360"/>
    </row>
    <row r="361" spans="11:15" x14ac:dyDescent="0.25">
      <c r="K361"/>
      <c r="L361"/>
      <c r="M361"/>
      <c r="N361"/>
      <c r="O361"/>
    </row>
    <row r="362" spans="11:15" x14ac:dyDescent="0.25">
      <c r="K362"/>
      <c r="L362"/>
      <c r="M362"/>
      <c r="N362"/>
      <c r="O362"/>
    </row>
    <row r="363" spans="11:15" x14ac:dyDescent="0.25">
      <c r="K363"/>
      <c r="L363"/>
      <c r="M363"/>
      <c r="N363"/>
      <c r="O363"/>
    </row>
    <row r="364" spans="11:15" x14ac:dyDescent="0.25">
      <c r="K364"/>
      <c r="L364"/>
      <c r="M364"/>
      <c r="N364"/>
      <c r="O364"/>
    </row>
    <row r="365" spans="11:15" x14ac:dyDescent="0.25">
      <c r="K365"/>
      <c r="L365"/>
      <c r="M365"/>
      <c r="N365"/>
      <c r="O365"/>
    </row>
    <row r="366" spans="11:15" x14ac:dyDescent="0.25">
      <c r="K366"/>
      <c r="L366"/>
      <c r="M366"/>
      <c r="N366"/>
      <c r="O366"/>
    </row>
    <row r="367" spans="11:15" x14ac:dyDescent="0.25">
      <c r="K367"/>
      <c r="L367"/>
      <c r="M367"/>
      <c r="N367"/>
      <c r="O367"/>
    </row>
    <row r="368" spans="11:15" x14ac:dyDescent="0.25">
      <c r="K368"/>
      <c r="L368"/>
      <c r="M368"/>
      <c r="N368"/>
      <c r="O368"/>
    </row>
    <row r="369" spans="11:15" x14ac:dyDescent="0.25">
      <c r="K369"/>
      <c r="L369"/>
      <c r="M369"/>
      <c r="N369"/>
      <c r="O369"/>
    </row>
    <row r="370" spans="11:15" x14ac:dyDescent="0.25">
      <c r="K370"/>
      <c r="L370"/>
      <c r="M370"/>
      <c r="N370"/>
      <c r="O370"/>
    </row>
    <row r="371" spans="11:15" x14ac:dyDescent="0.25">
      <c r="K371"/>
      <c r="L371"/>
      <c r="M371"/>
      <c r="N371"/>
      <c r="O371"/>
    </row>
    <row r="372" spans="11:15" x14ac:dyDescent="0.25">
      <c r="K372"/>
      <c r="L372"/>
      <c r="M372"/>
      <c r="N372"/>
      <c r="O372"/>
    </row>
    <row r="373" spans="11:15" x14ac:dyDescent="0.25">
      <c r="K373"/>
      <c r="L373"/>
      <c r="M373"/>
      <c r="N373"/>
      <c r="O373"/>
    </row>
    <row r="374" spans="11:15" x14ac:dyDescent="0.25">
      <c r="K374"/>
      <c r="L374"/>
      <c r="M374"/>
      <c r="N374"/>
      <c r="O374"/>
    </row>
    <row r="375" spans="11:15" x14ac:dyDescent="0.25">
      <c r="K375"/>
      <c r="L375"/>
      <c r="M375"/>
      <c r="N375"/>
      <c r="O375"/>
    </row>
    <row r="376" spans="11:15" x14ac:dyDescent="0.25">
      <c r="K376"/>
      <c r="L376"/>
      <c r="M376"/>
      <c r="N376"/>
      <c r="O376"/>
    </row>
    <row r="377" spans="11:15" x14ac:dyDescent="0.25">
      <c r="K377"/>
      <c r="L377"/>
      <c r="M377"/>
      <c r="N377"/>
      <c r="O377"/>
    </row>
    <row r="378" spans="11:15" x14ac:dyDescent="0.25">
      <c r="K378"/>
      <c r="L378"/>
      <c r="M378"/>
      <c r="N378"/>
      <c r="O378"/>
    </row>
    <row r="379" spans="11:15" x14ac:dyDescent="0.25">
      <c r="K379"/>
      <c r="L379"/>
      <c r="M379"/>
      <c r="N379"/>
      <c r="O379"/>
    </row>
    <row r="380" spans="11:15" x14ac:dyDescent="0.25">
      <c r="K380"/>
      <c r="L380"/>
      <c r="M380"/>
      <c r="N380"/>
      <c r="O380"/>
    </row>
    <row r="381" spans="11:15" x14ac:dyDescent="0.25">
      <c r="K381"/>
      <c r="L381"/>
      <c r="M381"/>
      <c r="N381"/>
      <c r="O381"/>
    </row>
    <row r="382" spans="11:15" x14ac:dyDescent="0.25">
      <c r="K382"/>
      <c r="L382"/>
      <c r="M382"/>
      <c r="N382"/>
      <c r="O382"/>
    </row>
    <row r="383" spans="11:15" x14ac:dyDescent="0.25">
      <c r="K383"/>
      <c r="L383"/>
      <c r="M383"/>
      <c r="N383"/>
      <c r="O383"/>
    </row>
    <row r="384" spans="11:15" x14ac:dyDescent="0.25">
      <c r="K384"/>
      <c r="L384"/>
      <c r="M384"/>
      <c r="N384"/>
      <c r="O384"/>
    </row>
    <row r="385" spans="11:15" x14ac:dyDescent="0.25">
      <c r="K385"/>
      <c r="L385"/>
      <c r="M385"/>
      <c r="N385"/>
      <c r="O385"/>
    </row>
    <row r="386" spans="11:15" x14ac:dyDescent="0.25">
      <c r="K386"/>
      <c r="L386"/>
      <c r="M386"/>
      <c r="N386"/>
      <c r="O386"/>
    </row>
    <row r="387" spans="11:15" x14ac:dyDescent="0.25">
      <c r="K387"/>
      <c r="L387"/>
      <c r="M387"/>
      <c r="N387"/>
      <c r="O387"/>
    </row>
    <row r="388" spans="11:15" x14ac:dyDescent="0.25">
      <c r="K388"/>
      <c r="L388"/>
      <c r="M388"/>
      <c r="N388"/>
      <c r="O388"/>
    </row>
    <row r="389" spans="11:15" x14ac:dyDescent="0.25">
      <c r="K389"/>
      <c r="L389"/>
      <c r="M389"/>
      <c r="N389"/>
      <c r="O389"/>
    </row>
    <row r="390" spans="11:15" x14ac:dyDescent="0.25">
      <c r="K390"/>
      <c r="L390"/>
      <c r="M390"/>
      <c r="N390"/>
      <c r="O390"/>
    </row>
    <row r="391" spans="11:15" x14ac:dyDescent="0.25">
      <c r="K391"/>
      <c r="L391"/>
      <c r="M391"/>
      <c r="N391"/>
      <c r="O391"/>
    </row>
    <row r="392" spans="11:15" x14ac:dyDescent="0.25">
      <c r="K392"/>
      <c r="L392"/>
      <c r="M392"/>
      <c r="N392"/>
      <c r="O392"/>
    </row>
    <row r="393" spans="11:15" x14ac:dyDescent="0.25">
      <c r="K393"/>
      <c r="L393"/>
      <c r="M393"/>
      <c r="N393"/>
      <c r="O393"/>
    </row>
    <row r="394" spans="11:15" x14ac:dyDescent="0.25">
      <c r="K394"/>
      <c r="L394"/>
      <c r="M394"/>
      <c r="N394"/>
      <c r="O394"/>
    </row>
    <row r="395" spans="11:15" x14ac:dyDescent="0.25">
      <c r="K395"/>
      <c r="L395"/>
      <c r="M395"/>
      <c r="N395"/>
      <c r="O395"/>
    </row>
    <row r="396" spans="11:15" x14ac:dyDescent="0.25">
      <c r="K396"/>
      <c r="L396"/>
      <c r="M396"/>
      <c r="N396"/>
      <c r="O396"/>
    </row>
    <row r="397" spans="11:15" x14ac:dyDescent="0.25">
      <c r="K397"/>
      <c r="L397"/>
      <c r="M397"/>
      <c r="N397"/>
      <c r="O397"/>
    </row>
    <row r="398" spans="11:15" x14ac:dyDescent="0.25">
      <c r="K398"/>
      <c r="L398"/>
      <c r="M398"/>
      <c r="N398"/>
      <c r="O398"/>
    </row>
    <row r="399" spans="11:15" x14ac:dyDescent="0.25">
      <c r="K399"/>
      <c r="L399"/>
      <c r="M399"/>
      <c r="N399"/>
      <c r="O399"/>
    </row>
    <row r="400" spans="11:15" x14ac:dyDescent="0.25">
      <c r="K400"/>
      <c r="L400"/>
      <c r="M400"/>
      <c r="N400"/>
      <c r="O400"/>
    </row>
    <row r="401" spans="11:15" x14ac:dyDescent="0.25">
      <c r="K401"/>
      <c r="L401"/>
      <c r="M401"/>
      <c r="N401"/>
      <c r="O401"/>
    </row>
    <row r="402" spans="11:15" x14ac:dyDescent="0.25">
      <c r="K402"/>
      <c r="L402"/>
      <c r="M402"/>
      <c r="N402"/>
      <c r="O402"/>
    </row>
    <row r="403" spans="11:15" x14ac:dyDescent="0.25">
      <c r="K403"/>
      <c r="L403"/>
      <c r="M403"/>
      <c r="N403"/>
      <c r="O403"/>
    </row>
    <row r="404" spans="11:15" x14ac:dyDescent="0.25">
      <c r="K404"/>
      <c r="L404"/>
      <c r="M404"/>
      <c r="N404"/>
      <c r="O404"/>
    </row>
    <row r="405" spans="11:15" x14ac:dyDescent="0.25">
      <c r="K405"/>
      <c r="L405"/>
      <c r="M405"/>
      <c r="N405"/>
      <c r="O405"/>
    </row>
    <row r="406" spans="11:15" x14ac:dyDescent="0.25">
      <c r="K406"/>
      <c r="L406"/>
      <c r="M406"/>
      <c r="N406"/>
      <c r="O406"/>
    </row>
    <row r="407" spans="11:15" x14ac:dyDescent="0.25">
      <c r="K407"/>
      <c r="L407"/>
      <c r="M407"/>
      <c r="N407"/>
      <c r="O407"/>
    </row>
    <row r="408" spans="11:15" x14ac:dyDescent="0.25">
      <c r="K408"/>
      <c r="L408"/>
      <c r="M408"/>
      <c r="N408"/>
      <c r="O408"/>
    </row>
    <row r="409" spans="11:15" x14ac:dyDescent="0.25">
      <c r="K409"/>
      <c r="L409"/>
      <c r="M409"/>
      <c r="N409"/>
      <c r="O409"/>
    </row>
    <row r="410" spans="11:15" x14ac:dyDescent="0.25">
      <c r="K410"/>
      <c r="L410"/>
      <c r="M410"/>
      <c r="N410"/>
      <c r="O410"/>
    </row>
    <row r="411" spans="11:15" x14ac:dyDescent="0.25">
      <c r="K411"/>
      <c r="L411"/>
      <c r="M411"/>
      <c r="N411"/>
      <c r="O411"/>
    </row>
    <row r="412" spans="11:15" x14ac:dyDescent="0.25">
      <c r="K412"/>
      <c r="L412"/>
      <c r="M412"/>
      <c r="N412"/>
      <c r="O412"/>
    </row>
    <row r="413" spans="11:15" x14ac:dyDescent="0.25">
      <c r="K413"/>
      <c r="L413"/>
      <c r="M413"/>
      <c r="N413"/>
      <c r="O413"/>
    </row>
    <row r="414" spans="11:15" x14ac:dyDescent="0.25">
      <c r="K414"/>
      <c r="L414"/>
      <c r="M414"/>
      <c r="N414"/>
      <c r="O414"/>
    </row>
    <row r="415" spans="11:15" x14ac:dyDescent="0.25">
      <c r="K415"/>
      <c r="L415"/>
      <c r="M415"/>
      <c r="N415"/>
      <c r="O415"/>
    </row>
    <row r="416" spans="11:15" x14ac:dyDescent="0.25">
      <c r="K416"/>
      <c r="L416"/>
      <c r="M416"/>
      <c r="N416"/>
      <c r="O416"/>
    </row>
    <row r="417" spans="11:15" x14ac:dyDescent="0.25">
      <c r="K417"/>
      <c r="L417"/>
      <c r="M417"/>
      <c r="N417"/>
      <c r="O417"/>
    </row>
    <row r="418" spans="11:15" x14ac:dyDescent="0.25">
      <c r="K418"/>
      <c r="L418"/>
      <c r="M418"/>
      <c r="N418"/>
      <c r="O418"/>
    </row>
    <row r="419" spans="11:15" x14ac:dyDescent="0.25">
      <c r="K419"/>
      <c r="L419"/>
      <c r="M419"/>
      <c r="N419"/>
      <c r="O419"/>
    </row>
    <row r="420" spans="11:15" x14ac:dyDescent="0.25">
      <c r="K420"/>
      <c r="L420"/>
      <c r="M420"/>
      <c r="N420"/>
      <c r="O420"/>
    </row>
    <row r="421" spans="11:15" x14ac:dyDescent="0.25">
      <c r="K421"/>
      <c r="L421"/>
      <c r="M421"/>
      <c r="N421"/>
      <c r="O421"/>
    </row>
    <row r="422" spans="11:15" x14ac:dyDescent="0.25">
      <c r="K422"/>
      <c r="L422"/>
      <c r="M422"/>
      <c r="N422"/>
      <c r="O422"/>
    </row>
    <row r="423" spans="11:15" x14ac:dyDescent="0.25">
      <c r="K423"/>
      <c r="L423"/>
      <c r="M423"/>
      <c r="N423"/>
      <c r="O423"/>
    </row>
    <row r="424" spans="11:15" x14ac:dyDescent="0.25">
      <c r="K424"/>
      <c r="L424"/>
      <c r="M424"/>
      <c r="N424"/>
      <c r="O424"/>
    </row>
    <row r="425" spans="11:15" x14ac:dyDescent="0.25">
      <c r="K425"/>
      <c r="L425"/>
      <c r="M425"/>
      <c r="N425"/>
      <c r="O425"/>
    </row>
    <row r="426" spans="11:15" x14ac:dyDescent="0.25">
      <c r="K426"/>
      <c r="L426"/>
      <c r="M426"/>
      <c r="N426"/>
      <c r="O426"/>
    </row>
    <row r="427" spans="11:15" x14ac:dyDescent="0.25">
      <c r="K427"/>
      <c r="L427"/>
      <c r="M427"/>
      <c r="N427"/>
      <c r="O427"/>
    </row>
    <row r="428" spans="11:15" x14ac:dyDescent="0.25">
      <c r="K428"/>
      <c r="L428"/>
      <c r="M428"/>
      <c r="N428"/>
      <c r="O428"/>
    </row>
    <row r="429" spans="11:15" x14ac:dyDescent="0.25">
      <c r="K429"/>
      <c r="L429"/>
      <c r="M429"/>
      <c r="N429"/>
      <c r="O429"/>
    </row>
    <row r="430" spans="11:15" x14ac:dyDescent="0.25">
      <c r="K430"/>
      <c r="L430"/>
      <c r="M430"/>
      <c r="N430"/>
      <c r="O430"/>
    </row>
    <row r="431" spans="11:15" x14ac:dyDescent="0.25">
      <c r="K431"/>
      <c r="L431"/>
      <c r="M431"/>
      <c r="N431"/>
      <c r="O431"/>
    </row>
    <row r="432" spans="11:15" x14ac:dyDescent="0.25">
      <c r="K432"/>
      <c r="L432"/>
      <c r="M432"/>
      <c r="N432"/>
      <c r="O432"/>
    </row>
    <row r="433" spans="11:15" x14ac:dyDescent="0.25">
      <c r="K433"/>
      <c r="L433"/>
      <c r="M433"/>
      <c r="N433"/>
      <c r="O433"/>
    </row>
    <row r="434" spans="11:15" x14ac:dyDescent="0.25">
      <c r="K434"/>
      <c r="L434"/>
      <c r="M434"/>
      <c r="N434"/>
      <c r="O434"/>
    </row>
    <row r="435" spans="11:15" x14ac:dyDescent="0.25">
      <c r="K435"/>
      <c r="L435"/>
      <c r="M435"/>
      <c r="N435"/>
      <c r="O435"/>
    </row>
    <row r="436" spans="11:15" x14ac:dyDescent="0.25">
      <c r="K436"/>
      <c r="L436"/>
      <c r="M436"/>
      <c r="N436"/>
      <c r="O436"/>
    </row>
    <row r="437" spans="11:15" x14ac:dyDescent="0.25">
      <c r="K437"/>
      <c r="L437"/>
      <c r="M437"/>
      <c r="N437"/>
      <c r="O437"/>
    </row>
    <row r="438" spans="11:15" x14ac:dyDescent="0.25">
      <c r="K438"/>
      <c r="L438"/>
      <c r="M438"/>
      <c r="N438"/>
      <c r="O438"/>
    </row>
    <row r="439" spans="11:15" x14ac:dyDescent="0.25">
      <c r="K439"/>
      <c r="L439"/>
      <c r="M439"/>
      <c r="N439"/>
      <c r="O439"/>
    </row>
    <row r="440" spans="11:15" x14ac:dyDescent="0.25">
      <c r="K440"/>
      <c r="L440"/>
      <c r="M440"/>
      <c r="N440"/>
      <c r="O440"/>
    </row>
    <row r="441" spans="11:15" x14ac:dyDescent="0.25">
      <c r="K441"/>
      <c r="L441"/>
      <c r="M441"/>
      <c r="N441"/>
      <c r="O441"/>
    </row>
    <row r="442" spans="11:15" x14ac:dyDescent="0.25">
      <c r="K442"/>
      <c r="L442"/>
      <c r="M442"/>
      <c r="N442"/>
      <c r="O442"/>
    </row>
    <row r="443" spans="11:15" x14ac:dyDescent="0.25">
      <c r="K443"/>
      <c r="L443"/>
      <c r="M443"/>
      <c r="N443"/>
      <c r="O443"/>
    </row>
    <row r="444" spans="11:15" x14ac:dyDescent="0.25">
      <c r="K444"/>
      <c r="L444"/>
      <c r="M444"/>
      <c r="N444"/>
      <c r="O444"/>
    </row>
    <row r="445" spans="11:15" x14ac:dyDescent="0.25">
      <c r="K445"/>
      <c r="L445"/>
      <c r="M445"/>
      <c r="N445"/>
      <c r="O445"/>
    </row>
    <row r="446" spans="11:15" x14ac:dyDescent="0.25">
      <c r="K446"/>
      <c r="L446"/>
      <c r="M446"/>
      <c r="N446"/>
      <c r="O446"/>
    </row>
    <row r="447" spans="11:15" x14ac:dyDescent="0.25">
      <c r="K447"/>
      <c r="L447"/>
      <c r="M447"/>
      <c r="N447"/>
      <c r="O447"/>
    </row>
    <row r="448" spans="11:15" x14ac:dyDescent="0.25">
      <c r="K448"/>
      <c r="L448"/>
      <c r="M448"/>
      <c r="N448"/>
      <c r="O448"/>
    </row>
    <row r="449" spans="11:15" x14ac:dyDescent="0.25">
      <c r="K449"/>
      <c r="L449"/>
      <c r="M449"/>
      <c r="N449"/>
      <c r="O449"/>
    </row>
    <row r="450" spans="11:15" x14ac:dyDescent="0.25">
      <c r="K450"/>
      <c r="L450"/>
      <c r="M450"/>
      <c r="N450"/>
      <c r="O450"/>
    </row>
    <row r="451" spans="11:15" x14ac:dyDescent="0.25">
      <c r="K451"/>
      <c r="L451"/>
      <c r="M451"/>
      <c r="N451"/>
      <c r="O451"/>
    </row>
    <row r="452" spans="11:15" x14ac:dyDescent="0.25">
      <c r="K452"/>
      <c r="L452"/>
      <c r="M452"/>
      <c r="N452"/>
      <c r="O452"/>
    </row>
    <row r="453" spans="11:15" x14ac:dyDescent="0.25">
      <c r="K453"/>
      <c r="L453"/>
      <c r="M453"/>
      <c r="N453"/>
      <c r="O453"/>
    </row>
    <row r="454" spans="11:15" x14ac:dyDescent="0.25">
      <c r="K454"/>
      <c r="L454"/>
      <c r="M454"/>
      <c r="N454"/>
      <c r="O454"/>
    </row>
    <row r="455" spans="11:15" x14ac:dyDescent="0.25">
      <c r="K455"/>
      <c r="L455"/>
      <c r="M455"/>
      <c r="N455"/>
      <c r="O455"/>
    </row>
    <row r="456" spans="11:15" x14ac:dyDescent="0.25">
      <c r="K456"/>
      <c r="L456"/>
      <c r="M456"/>
      <c r="N456"/>
      <c r="O456"/>
    </row>
    <row r="457" spans="11:15" x14ac:dyDescent="0.25">
      <c r="K457"/>
      <c r="L457"/>
      <c r="M457"/>
      <c r="N457"/>
      <c r="O457"/>
    </row>
    <row r="458" spans="11:15" x14ac:dyDescent="0.25">
      <c r="K458"/>
      <c r="L458"/>
      <c r="M458"/>
      <c r="N458"/>
      <c r="O458"/>
    </row>
    <row r="459" spans="11:15" x14ac:dyDescent="0.25">
      <c r="K459"/>
      <c r="L459"/>
      <c r="M459"/>
      <c r="N459"/>
      <c r="O459"/>
    </row>
    <row r="460" spans="11:15" x14ac:dyDescent="0.25">
      <c r="K460"/>
      <c r="L460"/>
      <c r="M460"/>
      <c r="N460"/>
      <c r="O460"/>
    </row>
    <row r="461" spans="11:15" x14ac:dyDescent="0.25">
      <c r="K461"/>
      <c r="L461"/>
      <c r="M461"/>
      <c r="N461"/>
      <c r="O461"/>
    </row>
    <row r="462" spans="11:15" x14ac:dyDescent="0.25">
      <c r="K462"/>
      <c r="L462"/>
      <c r="M462"/>
      <c r="N462"/>
      <c r="O462"/>
    </row>
    <row r="463" spans="11:15" x14ac:dyDescent="0.25">
      <c r="K463"/>
      <c r="L463"/>
      <c r="M463"/>
      <c r="N463"/>
      <c r="O463"/>
    </row>
    <row r="464" spans="11:15" x14ac:dyDescent="0.25">
      <c r="K464"/>
      <c r="L464"/>
      <c r="M464"/>
      <c r="N464"/>
      <c r="O464"/>
    </row>
    <row r="465" spans="11:15" x14ac:dyDescent="0.25">
      <c r="K465"/>
      <c r="L465"/>
      <c r="M465"/>
      <c r="N465"/>
      <c r="O465"/>
    </row>
    <row r="466" spans="11:15" x14ac:dyDescent="0.25">
      <c r="K466"/>
      <c r="L466"/>
      <c r="M466"/>
      <c r="N466"/>
      <c r="O466"/>
    </row>
    <row r="467" spans="11:15" x14ac:dyDescent="0.25">
      <c r="K467"/>
      <c r="L467"/>
      <c r="M467"/>
      <c r="N467"/>
      <c r="O467"/>
    </row>
    <row r="468" spans="11:15" x14ac:dyDescent="0.25">
      <c r="K468"/>
      <c r="L468"/>
      <c r="M468"/>
      <c r="N468"/>
      <c r="O468"/>
    </row>
    <row r="469" spans="11:15" x14ac:dyDescent="0.25">
      <c r="K469"/>
      <c r="L469"/>
      <c r="M469"/>
      <c r="N469"/>
      <c r="O469"/>
    </row>
    <row r="470" spans="11:15" x14ac:dyDescent="0.25">
      <c r="K470"/>
      <c r="L470"/>
      <c r="M470"/>
      <c r="N470"/>
      <c r="O470"/>
    </row>
    <row r="471" spans="11:15" x14ac:dyDescent="0.25">
      <c r="K471"/>
      <c r="L471"/>
      <c r="M471"/>
      <c r="N471"/>
      <c r="O471"/>
    </row>
    <row r="472" spans="11:15" x14ac:dyDescent="0.25">
      <c r="K472"/>
      <c r="L472"/>
      <c r="M472"/>
      <c r="N472"/>
      <c r="O472"/>
    </row>
    <row r="473" spans="11:15" x14ac:dyDescent="0.25">
      <c r="K473"/>
      <c r="L473"/>
      <c r="M473"/>
      <c r="N473"/>
      <c r="O473"/>
    </row>
    <row r="474" spans="11:15" x14ac:dyDescent="0.25">
      <c r="K474"/>
      <c r="L474"/>
      <c r="M474"/>
      <c r="N474"/>
      <c r="O474"/>
    </row>
    <row r="475" spans="11:15" x14ac:dyDescent="0.25">
      <c r="K475"/>
      <c r="L475"/>
      <c r="M475"/>
      <c r="N475"/>
      <c r="O475"/>
    </row>
    <row r="476" spans="11:15" x14ac:dyDescent="0.25">
      <c r="K476"/>
      <c r="L476"/>
      <c r="M476"/>
      <c r="N476"/>
      <c r="O476"/>
    </row>
    <row r="477" spans="11:15" x14ac:dyDescent="0.25">
      <c r="K477"/>
      <c r="L477"/>
      <c r="M477"/>
      <c r="N477"/>
      <c r="O477"/>
    </row>
    <row r="478" spans="11:15" x14ac:dyDescent="0.25">
      <c r="K478"/>
      <c r="L478"/>
      <c r="M478"/>
      <c r="N478"/>
      <c r="O478"/>
    </row>
    <row r="479" spans="11:15" x14ac:dyDescent="0.25">
      <c r="K479"/>
      <c r="L479"/>
      <c r="M479"/>
      <c r="N479"/>
      <c r="O479"/>
    </row>
    <row r="480" spans="11:15" x14ac:dyDescent="0.25">
      <c r="K480"/>
      <c r="L480"/>
      <c r="M480"/>
      <c r="N480"/>
      <c r="O480"/>
    </row>
    <row r="481" spans="11:15" x14ac:dyDescent="0.25">
      <c r="K481"/>
      <c r="L481"/>
      <c r="M481"/>
      <c r="N481"/>
      <c r="O481"/>
    </row>
    <row r="482" spans="11:15" x14ac:dyDescent="0.25">
      <c r="K482"/>
      <c r="L482"/>
      <c r="M482"/>
      <c r="N482"/>
      <c r="O482"/>
    </row>
    <row r="483" spans="11:15" x14ac:dyDescent="0.25">
      <c r="K483"/>
      <c r="L483"/>
      <c r="M483"/>
      <c r="N483"/>
      <c r="O483"/>
    </row>
    <row r="484" spans="11:15" x14ac:dyDescent="0.25">
      <c r="K484"/>
      <c r="L484"/>
      <c r="M484"/>
      <c r="N484"/>
      <c r="O484"/>
    </row>
    <row r="485" spans="11:15" x14ac:dyDescent="0.25">
      <c r="K485"/>
      <c r="L485"/>
      <c r="M485"/>
      <c r="N485"/>
      <c r="O485"/>
    </row>
    <row r="486" spans="11:15" x14ac:dyDescent="0.25">
      <c r="K486"/>
      <c r="L486"/>
      <c r="M486"/>
      <c r="N486"/>
      <c r="O486"/>
    </row>
    <row r="487" spans="11:15" x14ac:dyDescent="0.25">
      <c r="K487"/>
      <c r="L487"/>
      <c r="M487"/>
      <c r="N487"/>
      <c r="O487"/>
    </row>
    <row r="488" spans="11:15" x14ac:dyDescent="0.25">
      <c r="K488"/>
      <c r="L488"/>
      <c r="M488"/>
      <c r="N488"/>
      <c r="O488"/>
    </row>
    <row r="489" spans="11:15" x14ac:dyDescent="0.25">
      <c r="K489"/>
      <c r="L489"/>
      <c r="M489"/>
      <c r="N489"/>
      <c r="O489"/>
    </row>
    <row r="490" spans="11:15" x14ac:dyDescent="0.25">
      <c r="K490"/>
      <c r="L490"/>
      <c r="M490"/>
      <c r="N490"/>
      <c r="O490"/>
    </row>
    <row r="491" spans="11:15" x14ac:dyDescent="0.25">
      <c r="K491"/>
      <c r="L491"/>
      <c r="M491"/>
      <c r="N491"/>
      <c r="O491"/>
    </row>
    <row r="492" spans="11:15" x14ac:dyDescent="0.25">
      <c r="K492"/>
      <c r="L492"/>
      <c r="M492"/>
      <c r="N492"/>
      <c r="O492"/>
    </row>
    <row r="493" spans="11:15" x14ac:dyDescent="0.25">
      <c r="K493"/>
      <c r="L493"/>
      <c r="M493"/>
      <c r="N493"/>
      <c r="O493"/>
    </row>
    <row r="494" spans="11:15" x14ac:dyDescent="0.25">
      <c r="K494"/>
      <c r="L494"/>
      <c r="M494"/>
      <c r="N494"/>
      <c r="O494"/>
    </row>
    <row r="495" spans="11:15" x14ac:dyDescent="0.25">
      <c r="K495"/>
      <c r="L495"/>
      <c r="M495"/>
      <c r="N495"/>
      <c r="O495"/>
    </row>
    <row r="496" spans="11:15" x14ac:dyDescent="0.25">
      <c r="K496"/>
      <c r="L496"/>
      <c r="M496"/>
      <c r="N496"/>
      <c r="O496"/>
    </row>
    <row r="497" spans="11:15" x14ac:dyDescent="0.25">
      <c r="K497"/>
      <c r="L497"/>
      <c r="M497"/>
      <c r="N497"/>
      <c r="O497"/>
    </row>
    <row r="498" spans="11:15" x14ac:dyDescent="0.25">
      <c r="K498"/>
      <c r="L498"/>
      <c r="M498"/>
      <c r="N498"/>
      <c r="O498"/>
    </row>
    <row r="499" spans="11:15" x14ac:dyDescent="0.25">
      <c r="K499"/>
      <c r="L499"/>
      <c r="M499"/>
      <c r="N499"/>
      <c r="O499"/>
    </row>
    <row r="500" spans="11:15" x14ac:dyDescent="0.25">
      <c r="K500"/>
      <c r="L500"/>
      <c r="M500"/>
      <c r="N500"/>
      <c r="O500"/>
    </row>
    <row r="501" spans="11:15" x14ac:dyDescent="0.25">
      <c r="K501"/>
      <c r="L501"/>
      <c r="M501"/>
      <c r="N501"/>
      <c r="O501"/>
    </row>
    <row r="502" spans="11:15" x14ac:dyDescent="0.25">
      <c r="K502"/>
      <c r="L502"/>
      <c r="M502"/>
      <c r="N502"/>
      <c r="O502"/>
    </row>
    <row r="503" spans="11:15" x14ac:dyDescent="0.25">
      <c r="K503"/>
      <c r="L503"/>
      <c r="M503"/>
      <c r="N503"/>
      <c r="O503"/>
    </row>
    <row r="504" spans="11:15" x14ac:dyDescent="0.25">
      <c r="K504"/>
      <c r="L504"/>
      <c r="M504"/>
      <c r="N504"/>
      <c r="O504"/>
    </row>
    <row r="505" spans="11:15" x14ac:dyDescent="0.25">
      <c r="K505"/>
      <c r="L505"/>
      <c r="M505"/>
      <c r="N505"/>
      <c r="O505"/>
    </row>
    <row r="506" spans="11:15" x14ac:dyDescent="0.25">
      <c r="K506"/>
      <c r="L506"/>
      <c r="M506"/>
      <c r="N506"/>
      <c r="O506"/>
    </row>
    <row r="507" spans="11:15" x14ac:dyDescent="0.25">
      <c r="K507"/>
      <c r="L507"/>
      <c r="M507"/>
      <c r="N507"/>
      <c r="O507"/>
    </row>
    <row r="508" spans="11:15" x14ac:dyDescent="0.25">
      <c r="K508"/>
      <c r="L508"/>
      <c r="M508"/>
      <c r="N508"/>
      <c r="O508"/>
    </row>
    <row r="509" spans="11:15" x14ac:dyDescent="0.25">
      <c r="K509"/>
      <c r="L509"/>
      <c r="M509"/>
      <c r="N509"/>
      <c r="O509"/>
    </row>
    <row r="510" spans="11:15" x14ac:dyDescent="0.25">
      <c r="K510"/>
      <c r="L510"/>
      <c r="M510"/>
      <c r="N510"/>
      <c r="O510"/>
    </row>
    <row r="511" spans="11:15" x14ac:dyDescent="0.25">
      <c r="K511"/>
      <c r="L511"/>
      <c r="M511"/>
      <c r="N511"/>
      <c r="O511"/>
    </row>
    <row r="512" spans="11:15" x14ac:dyDescent="0.25">
      <c r="K512"/>
      <c r="L512"/>
      <c r="M512"/>
      <c r="N512"/>
      <c r="O512"/>
    </row>
    <row r="513" spans="11:15" x14ac:dyDescent="0.25">
      <c r="K513"/>
      <c r="L513"/>
      <c r="M513"/>
      <c r="N513"/>
      <c r="O513"/>
    </row>
    <row r="514" spans="11:15" x14ac:dyDescent="0.25">
      <c r="K514"/>
      <c r="L514"/>
      <c r="M514"/>
      <c r="N514"/>
      <c r="O514"/>
    </row>
    <row r="515" spans="11:15" x14ac:dyDescent="0.25">
      <c r="K515"/>
      <c r="L515"/>
      <c r="M515"/>
      <c r="N515"/>
      <c r="O515"/>
    </row>
    <row r="516" spans="11:15" x14ac:dyDescent="0.25">
      <c r="K516"/>
      <c r="L516"/>
      <c r="M516"/>
      <c r="N516"/>
      <c r="O516"/>
    </row>
    <row r="517" spans="11:15" x14ac:dyDescent="0.25">
      <c r="K517"/>
      <c r="L517"/>
      <c r="M517"/>
      <c r="N517"/>
      <c r="O517"/>
    </row>
    <row r="518" spans="11:15" x14ac:dyDescent="0.25">
      <c r="K518"/>
      <c r="L518"/>
      <c r="M518"/>
      <c r="N518"/>
      <c r="O518"/>
    </row>
    <row r="519" spans="11:15" x14ac:dyDescent="0.25">
      <c r="K519"/>
      <c r="L519"/>
      <c r="M519"/>
      <c r="N519"/>
      <c r="O519"/>
    </row>
    <row r="520" spans="11:15" x14ac:dyDescent="0.25">
      <c r="K520"/>
      <c r="L520"/>
      <c r="M520"/>
      <c r="N520"/>
      <c r="O520"/>
    </row>
    <row r="521" spans="11:15" x14ac:dyDescent="0.25">
      <c r="K521"/>
      <c r="L521"/>
      <c r="M521"/>
      <c r="N521"/>
      <c r="O521"/>
    </row>
    <row r="522" spans="11:15" x14ac:dyDescent="0.25">
      <c r="K522"/>
      <c r="L522"/>
      <c r="M522"/>
      <c r="N522"/>
      <c r="O522"/>
    </row>
    <row r="523" spans="11:15" x14ac:dyDescent="0.25">
      <c r="K523"/>
      <c r="L523"/>
      <c r="M523"/>
      <c r="N523"/>
      <c r="O523"/>
    </row>
    <row r="524" spans="11:15" x14ac:dyDescent="0.25">
      <c r="K524"/>
      <c r="L524"/>
      <c r="M524"/>
      <c r="N524"/>
      <c r="O524"/>
    </row>
    <row r="525" spans="11:15" x14ac:dyDescent="0.25">
      <c r="K525"/>
      <c r="L525"/>
      <c r="M525"/>
      <c r="N525"/>
      <c r="O525"/>
    </row>
    <row r="526" spans="11:15" x14ac:dyDescent="0.25">
      <c r="K526"/>
      <c r="L526"/>
      <c r="M526"/>
      <c r="N526"/>
      <c r="O526"/>
    </row>
    <row r="527" spans="11:15" x14ac:dyDescent="0.25">
      <c r="K527"/>
      <c r="L527"/>
      <c r="M527"/>
      <c r="N527"/>
      <c r="O527"/>
    </row>
    <row r="528" spans="11:15" x14ac:dyDescent="0.25">
      <c r="K528"/>
      <c r="L528"/>
      <c r="M528"/>
      <c r="N528"/>
      <c r="O528"/>
    </row>
    <row r="529" spans="11:15" x14ac:dyDescent="0.25">
      <c r="K529"/>
      <c r="L529"/>
      <c r="M529"/>
      <c r="N529"/>
      <c r="O529"/>
    </row>
    <row r="530" spans="11:15" x14ac:dyDescent="0.25">
      <c r="K530"/>
      <c r="L530"/>
      <c r="M530"/>
      <c r="N530"/>
      <c r="O530"/>
    </row>
    <row r="531" spans="11:15" x14ac:dyDescent="0.25">
      <c r="K531"/>
      <c r="L531"/>
      <c r="M531"/>
      <c r="N531"/>
      <c r="O531"/>
    </row>
    <row r="532" spans="11:15" x14ac:dyDescent="0.25">
      <c r="K532"/>
      <c r="L532"/>
      <c r="M532"/>
      <c r="N532"/>
      <c r="O532"/>
    </row>
    <row r="533" spans="11:15" x14ac:dyDescent="0.25">
      <c r="K533"/>
      <c r="L533"/>
      <c r="M533"/>
      <c r="N533"/>
      <c r="O533"/>
    </row>
    <row r="534" spans="11:15" x14ac:dyDescent="0.25">
      <c r="K534"/>
      <c r="L534"/>
      <c r="M534"/>
      <c r="N534"/>
      <c r="O534"/>
    </row>
    <row r="535" spans="11:15" x14ac:dyDescent="0.25">
      <c r="K535"/>
      <c r="L535"/>
      <c r="M535"/>
      <c r="N535"/>
      <c r="O535"/>
    </row>
    <row r="536" spans="11:15" x14ac:dyDescent="0.25">
      <c r="K536"/>
      <c r="L536"/>
      <c r="M536"/>
      <c r="N536"/>
      <c r="O536"/>
    </row>
    <row r="537" spans="11:15" x14ac:dyDescent="0.25">
      <c r="K537"/>
      <c r="L537"/>
      <c r="M537"/>
      <c r="N537"/>
      <c r="O537"/>
    </row>
    <row r="538" spans="11:15" x14ac:dyDescent="0.25">
      <c r="K538"/>
      <c r="L538"/>
      <c r="M538"/>
      <c r="N538"/>
      <c r="O538"/>
    </row>
    <row r="539" spans="11:15" x14ac:dyDescent="0.25">
      <c r="K539"/>
      <c r="L539"/>
      <c r="M539"/>
      <c r="N539"/>
      <c r="O539"/>
    </row>
    <row r="540" spans="11:15" x14ac:dyDescent="0.25">
      <c r="K540"/>
      <c r="L540"/>
      <c r="M540"/>
      <c r="N540"/>
      <c r="O540"/>
    </row>
    <row r="541" spans="11:15" x14ac:dyDescent="0.25">
      <c r="K541"/>
      <c r="L541"/>
      <c r="M541"/>
      <c r="N541"/>
      <c r="O541"/>
    </row>
    <row r="542" spans="11:15" x14ac:dyDescent="0.25">
      <c r="K542"/>
      <c r="L542"/>
      <c r="M542"/>
      <c r="N542"/>
      <c r="O542"/>
    </row>
    <row r="543" spans="11:15" x14ac:dyDescent="0.25">
      <c r="K543"/>
      <c r="L543"/>
      <c r="M543"/>
      <c r="N543"/>
      <c r="O543"/>
    </row>
    <row r="544" spans="11:15" x14ac:dyDescent="0.25">
      <c r="K544"/>
      <c r="L544"/>
      <c r="M544"/>
      <c r="N544"/>
      <c r="O544"/>
    </row>
    <row r="545" spans="11:15" x14ac:dyDescent="0.25">
      <c r="K545"/>
      <c r="L545"/>
      <c r="M545"/>
      <c r="N545"/>
      <c r="O545"/>
    </row>
    <row r="546" spans="11:15" x14ac:dyDescent="0.25">
      <c r="K546"/>
      <c r="L546"/>
      <c r="M546"/>
      <c r="N546"/>
      <c r="O546"/>
    </row>
    <row r="547" spans="11:15" x14ac:dyDescent="0.25">
      <c r="K547"/>
      <c r="L547"/>
      <c r="M547"/>
      <c r="N547"/>
      <c r="O547"/>
    </row>
    <row r="548" spans="11:15" x14ac:dyDescent="0.25">
      <c r="K548"/>
      <c r="L548"/>
      <c r="M548"/>
      <c r="N548"/>
      <c r="O548"/>
    </row>
    <row r="549" spans="11:15" x14ac:dyDescent="0.25">
      <c r="K549"/>
      <c r="L549"/>
      <c r="M549"/>
      <c r="N549"/>
      <c r="O549"/>
    </row>
    <row r="550" spans="11:15" x14ac:dyDescent="0.25">
      <c r="K550"/>
      <c r="L550"/>
      <c r="M550"/>
      <c r="N550"/>
      <c r="O550"/>
    </row>
    <row r="551" spans="11:15" x14ac:dyDescent="0.25">
      <c r="K551"/>
      <c r="L551"/>
      <c r="M551"/>
      <c r="N551"/>
      <c r="O551"/>
    </row>
    <row r="552" spans="11:15" x14ac:dyDescent="0.25">
      <c r="K552"/>
      <c r="L552"/>
      <c r="M552"/>
      <c r="N552"/>
      <c r="O552"/>
    </row>
    <row r="553" spans="11:15" x14ac:dyDescent="0.25">
      <c r="K553"/>
      <c r="L553"/>
      <c r="M553"/>
      <c r="N553"/>
      <c r="O553"/>
    </row>
    <row r="554" spans="11:15" x14ac:dyDescent="0.25">
      <c r="K554"/>
      <c r="L554"/>
      <c r="M554"/>
      <c r="N554"/>
      <c r="O554"/>
    </row>
    <row r="555" spans="11:15" x14ac:dyDescent="0.25">
      <c r="K555"/>
      <c r="L555"/>
      <c r="M555"/>
      <c r="N555"/>
      <c r="O555"/>
    </row>
    <row r="556" spans="11:15" x14ac:dyDescent="0.25">
      <c r="K556"/>
      <c r="L556"/>
      <c r="M556"/>
      <c r="N556"/>
      <c r="O556"/>
    </row>
    <row r="557" spans="11:15" x14ac:dyDescent="0.25">
      <c r="K557"/>
      <c r="L557"/>
      <c r="M557"/>
      <c r="N557"/>
      <c r="O557"/>
    </row>
    <row r="558" spans="11:15" x14ac:dyDescent="0.25">
      <c r="K558"/>
      <c r="L558"/>
      <c r="M558"/>
      <c r="N558"/>
      <c r="O558"/>
    </row>
    <row r="559" spans="11:15" x14ac:dyDescent="0.25">
      <c r="K559"/>
      <c r="L559"/>
      <c r="M559"/>
      <c r="N559"/>
      <c r="O559"/>
    </row>
    <row r="560" spans="11:15" x14ac:dyDescent="0.25">
      <c r="K560"/>
      <c r="L560"/>
      <c r="M560"/>
      <c r="N560"/>
      <c r="O560"/>
    </row>
    <row r="561" spans="11:15" x14ac:dyDescent="0.25">
      <c r="K561"/>
      <c r="L561"/>
      <c r="M561"/>
      <c r="N561"/>
      <c r="O561"/>
    </row>
    <row r="562" spans="11:15" x14ac:dyDescent="0.25">
      <c r="K562"/>
      <c r="L562"/>
      <c r="M562"/>
      <c r="N562"/>
      <c r="O562"/>
    </row>
    <row r="563" spans="11:15" x14ac:dyDescent="0.25">
      <c r="K563"/>
      <c r="L563"/>
      <c r="M563"/>
      <c r="N563"/>
      <c r="O563"/>
    </row>
    <row r="564" spans="11:15" x14ac:dyDescent="0.25">
      <c r="K564"/>
      <c r="L564"/>
      <c r="M564"/>
      <c r="N564"/>
      <c r="O564"/>
    </row>
    <row r="565" spans="11:15" x14ac:dyDescent="0.25">
      <c r="K565"/>
      <c r="L565"/>
      <c r="M565"/>
      <c r="N565"/>
      <c r="O565"/>
    </row>
    <row r="566" spans="11:15" x14ac:dyDescent="0.25">
      <c r="K566"/>
      <c r="L566"/>
      <c r="M566"/>
      <c r="N566"/>
      <c r="O566"/>
    </row>
    <row r="567" spans="11:15" x14ac:dyDescent="0.25">
      <c r="K567"/>
      <c r="L567"/>
      <c r="M567"/>
      <c r="N567"/>
      <c r="O567"/>
    </row>
    <row r="568" spans="11:15" x14ac:dyDescent="0.25">
      <c r="K568"/>
      <c r="L568"/>
      <c r="M568"/>
      <c r="N568"/>
      <c r="O568"/>
    </row>
    <row r="569" spans="11:15" x14ac:dyDescent="0.25">
      <c r="K569"/>
      <c r="L569"/>
      <c r="M569"/>
      <c r="N569"/>
      <c r="O569"/>
    </row>
    <row r="570" spans="11:15" x14ac:dyDescent="0.25">
      <c r="K570"/>
      <c r="L570"/>
      <c r="M570"/>
      <c r="N570"/>
      <c r="O570"/>
    </row>
    <row r="571" spans="11:15" x14ac:dyDescent="0.25">
      <c r="K571"/>
      <c r="L571"/>
      <c r="M571"/>
      <c r="N571"/>
      <c r="O571"/>
    </row>
    <row r="572" spans="11:15" x14ac:dyDescent="0.25">
      <c r="K572"/>
      <c r="L572"/>
      <c r="M572"/>
      <c r="N572"/>
      <c r="O572"/>
    </row>
    <row r="573" spans="11:15" x14ac:dyDescent="0.25">
      <c r="K573"/>
      <c r="L573"/>
      <c r="M573"/>
      <c r="N573"/>
      <c r="O573"/>
    </row>
    <row r="574" spans="11:15" x14ac:dyDescent="0.25">
      <c r="K574"/>
      <c r="L574"/>
      <c r="M574"/>
      <c r="N574"/>
      <c r="O574"/>
    </row>
    <row r="575" spans="11:15" x14ac:dyDescent="0.25">
      <c r="K575"/>
      <c r="L575"/>
      <c r="M575"/>
      <c r="N575"/>
      <c r="O575"/>
    </row>
    <row r="576" spans="11:15" x14ac:dyDescent="0.25">
      <c r="K576"/>
      <c r="L576"/>
      <c r="M576"/>
      <c r="N576"/>
      <c r="O576"/>
    </row>
    <row r="577" spans="11:15" x14ac:dyDescent="0.25">
      <c r="K577"/>
      <c r="L577"/>
      <c r="M577"/>
      <c r="N577"/>
      <c r="O577"/>
    </row>
    <row r="578" spans="11:15" x14ac:dyDescent="0.25">
      <c r="K578"/>
      <c r="L578"/>
      <c r="M578"/>
      <c r="N578"/>
      <c r="O578"/>
    </row>
    <row r="579" spans="11:15" x14ac:dyDescent="0.25">
      <c r="K579"/>
      <c r="L579"/>
      <c r="M579"/>
      <c r="N579"/>
      <c r="O579"/>
    </row>
    <row r="580" spans="11:15" x14ac:dyDescent="0.25">
      <c r="K580"/>
      <c r="L580"/>
      <c r="M580"/>
      <c r="N580"/>
      <c r="O580"/>
    </row>
    <row r="581" spans="11:15" x14ac:dyDescent="0.25">
      <c r="K581"/>
      <c r="L581"/>
      <c r="M581"/>
      <c r="N581"/>
      <c r="O581"/>
    </row>
    <row r="582" spans="11:15" x14ac:dyDescent="0.25">
      <c r="K582"/>
      <c r="L582"/>
      <c r="M582"/>
      <c r="N582"/>
      <c r="O582"/>
    </row>
    <row r="583" spans="11:15" x14ac:dyDescent="0.25">
      <c r="K583"/>
      <c r="L583"/>
      <c r="M583"/>
      <c r="N583"/>
      <c r="O583"/>
    </row>
    <row r="584" spans="11:15" x14ac:dyDescent="0.25">
      <c r="K584"/>
      <c r="L584"/>
      <c r="M584"/>
      <c r="N584"/>
      <c r="O584"/>
    </row>
    <row r="585" spans="11:15" x14ac:dyDescent="0.25">
      <c r="K585"/>
      <c r="L585"/>
      <c r="M585"/>
      <c r="N585"/>
      <c r="O585"/>
    </row>
    <row r="586" spans="11:15" x14ac:dyDescent="0.25">
      <c r="K586"/>
      <c r="L586"/>
      <c r="M586"/>
      <c r="N586"/>
      <c r="O586"/>
    </row>
    <row r="587" spans="11:15" x14ac:dyDescent="0.25">
      <c r="K587"/>
      <c r="L587"/>
      <c r="M587"/>
      <c r="N587"/>
      <c r="O587"/>
    </row>
    <row r="588" spans="11:15" x14ac:dyDescent="0.25">
      <c r="K588"/>
      <c r="L588"/>
      <c r="M588"/>
      <c r="N588"/>
      <c r="O588"/>
    </row>
    <row r="589" spans="11:15" x14ac:dyDescent="0.25">
      <c r="K589"/>
      <c r="L589"/>
      <c r="M589"/>
      <c r="N589"/>
      <c r="O589"/>
    </row>
    <row r="590" spans="11:15" x14ac:dyDescent="0.25">
      <c r="K590"/>
      <c r="L590"/>
      <c r="M590"/>
      <c r="N590"/>
      <c r="O590"/>
    </row>
    <row r="591" spans="11:15" x14ac:dyDescent="0.25">
      <c r="K591"/>
      <c r="L591"/>
      <c r="M591"/>
      <c r="N591"/>
      <c r="O591"/>
    </row>
    <row r="592" spans="11:15" x14ac:dyDescent="0.25">
      <c r="K592"/>
      <c r="L592"/>
      <c r="M592"/>
      <c r="N592"/>
      <c r="O592"/>
    </row>
    <row r="593" spans="11:15" x14ac:dyDescent="0.25">
      <c r="K593"/>
      <c r="L593"/>
      <c r="M593"/>
      <c r="N593"/>
      <c r="O593"/>
    </row>
    <row r="594" spans="11:15" x14ac:dyDescent="0.25">
      <c r="K594"/>
      <c r="L594"/>
      <c r="M594"/>
      <c r="N594"/>
      <c r="O594"/>
    </row>
    <row r="595" spans="11:15" x14ac:dyDescent="0.25">
      <c r="K595"/>
      <c r="L595"/>
      <c r="M595"/>
      <c r="N595"/>
      <c r="O595"/>
    </row>
    <row r="596" spans="11:15" x14ac:dyDescent="0.25">
      <c r="K596"/>
      <c r="L596"/>
      <c r="M596"/>
      <c r="N596"/>
      <c r="O596"/>
    </row>
    <row r="597" spans="11:15" x14ac:dyDescent="0.25">
      <c r="K597"/>
      <c r="L597"/>
      <c r="M597"/>
      <c r="N597"/>
      <c r="O597"/>
    </row>
    <row r="598" spans="11:15" x14ac:dyDescent="0.25">
      <c r="K598"/>
      <c r="L598"/>
      <c r="M598"/>
      <c r="N598"/>
      <c r="O598"/>
    </row>
    <row r="599" spans="11:15" x14ac:dyDescent="0.25">
      <c r="K599"/>
      <c r="L599"/>
      <c r="M599"/>
      <c r="N599"/>
      <c r="O599"/>
    </row>
    <row r="600" spans="11:15" x14ac:dyDescent="0.25">
      <c r="K600"/>
      <c r="L600"/>
      <c r="M600"/>
      <c r="N600"/>
      <c r="O600"/>
    </row>
    <row r="601" spans="11:15" x14ac:dyDescent="0.25">
      <c r="K601"/>
      <c r="L601"/>
      <c r="M601"/>
      <c r="N601"/>
      <c r="O601"/>
    </row>
    <row r="602" spans="11:15" x14ac:dyDescent="0.25">
      <c r="K602"/>
      <c r="L602"/>
      <c r="M602"/>
      <c r="N602"/>
      <c r="O602"/>
    </row>
    <row r="603" spans="11:15" x14ac:dyDescent="0.25">
      <c r="K603"/>
      <c r="L603"/>
      <c r="M603"/>
      <c r="N603"/>
      <c r="O603"/>
    </row>
    <row r="604" spans="11:15" x14ac:dyDescent="0.25">
      <c r="K604"/>
      <c r="L604"/>
      <c r="M604"/>
      <c r="N604"/>
      <c r="O604"/>
    </row>
    <row r="605" spans="11:15" x14ac:dyDescent="0.25">
      <c r="K605"/>
      <c r="L605"/>
      <c r="M605"/>
      <c r="N605"/>
      <c r="O605"/>
    </row>
    <row r="606" spans="11:15" x14ac:dyDescent="0.25">
      <c r="K606"/>
      <c r="L606"/>
      <c r="M606"/>
      <c r="N606"/>
      <c r="O606"/>
    </row>
    <row r="607" spans="11:15" x14ac:dyDescent="0.25">
      <c r="K607"/>
      <c r="L607"/>
      <c r="M607"/>
      <c r="N607"/>
      <c r="O607"/>
    </row>
    <row r="608" spans="11:15" x14ac:dyDescent="0.25">
      <c r="K608"/>
      <c r="L608"/>
      <c r="M608"/>
      <c r="N608"/>
      <c r="O608"/>
    </row>
    <row r="609" spans="11:15" x14ac:dyDescent="0.25">
      <c r="K609"/>
      <c r="L609"/>
      <c r="M609"/>
      <c r="N609"/>
      <c r="O609"/>
    </row>
    <row r="610" spans="11:15" x14ac:dyDescent="0.25">
      <c r="K610"/>
      <c r="L610"/>
      <c r="M610"/>
      <c r="N610"/>
      <c r="O610"/>
    </row>
    <row r="611" spans="11:15" x14ac:dyDescent="0.25">
      <c r="K611"/>
      <c r="L611"/>
      <c r="M611"/>
      <c r="N611"/>
      <c r="O611"/>
    </row>
    <row r="612" spans="11:15" x14ac:dyDescent="0.25">
      <c r="K612"/>
      <c r="L612"/>
      <c r="M612"/>
      <c r="N612"/>
      <c r="O612"/>
    </row>
    <row r="613" spans="11:15" x14ac:dyDescent="0.25">
      <c r="K613"/>
      <c r="L613"/>
      <c r="M613"/>
      <c r="N613"/>
      <c r="O613"/>
    </row>
    <row r="614" spans="11:15" x14ac:dyDescent="0.25">
      <c r="K614"/>
      <c r="L614"/>
      <c r="M614"/>
      <c r="N614"/>
      <c r="O614"/>
    </row>
    <row r="615" spans="11:15" x14ac:dyDescent="0.25">
      <c r="K615"/>
      <c r="L615"/>
      <c r="M615"/>
      <c r="N615"/>
      <c r="O615"/>
    </row>
    <row r="616" spans="11:15" x14ac:dyDescent="0.25">
      <c r="K616"/>
      <c r="L616"/>
      <c r="M616"/>
      <c r="N616"/>
      <c r="O616"/>
    </row>
    <row r="617" spans="11:15" x14ac:dyDescent="0.25">
      <c r="K617"/>
      <c r="L617"/>
      <c r="M617"/>
      <c r="N617"/>
      <c r="O617"/>
    </row>
    <row r="618" spans="11:15" x14ac:dyDescent="0.25">
      <c r="K618"/>
      <c r="L618"/>
      <c r="M618"/>
      <c r="N618"/>
      <c r="O618"/>
    </row>
    <row r="619" spans="11:15" x14ac:dyDescent="0.25">
      <c r="K619"/>
      <c r="L619"/>
      <c r="M619"/>
      <c r="N619"/>
      <c r="O619"/>
    </row>
    <row r="620" spans="11:15" x14ac:dyDescent="0.25">
      <c r="K620"/>
      <c r="L620"/>
      <c r="M620"/>
      <c r="N620"/>
      <c r="O620"/>
    </row>
    <row r="621" spans="11:15" x14ac:dyDescent="0.25">
      <c r="K621"/>
      <c r="L621"/>
      <c r="M621"/>
      <c r="N621"/>
      <c r="O621"/>
    </row>
    <row r="622" spans="11:15" x14ac:dyDescent="0.25">
      <c r="K622"/>
      <c r="L622"/>
      <c r="M622"/>
      <c r="N622"/>
      <c r="O622"/>
    </row>
    <row r="623" spans="11:15" x14ac:dyDescent="0.25">
      <c r="K623"/>
      <c r="L623"/>
      <c r="M623"/>
      <c r="N623"/>
      <c r="O623"/>
    </row>
    <row r="624" spans="11:15" x14ac:dyDescent="0.25">
      <c r="K624"/>
      <c r="L624"/>
      <c r="M624"/>
      <c r="N624"/>
      <c r="O624"/>
    </row>
    <row r="625" spans="11:15" x14ac:dyDescent="0.25">
      <c r="K625"/>
      <c r="L625"/>
      <c r="M625"/>
      <c r="N625"/>
      <c r="O625"/>
    </row>
    <row r="626" spans="11:15" x14ac:dyDescent="0.25">
      <c r="K626"/>
      <c r="L626"/>
      <c r="M626"/>
      <c r="N626"/>
      <c r="O626"/>
    </row>
    <row r="627" spans="11:15" x14ac:dyDescent="0.25">
      <c r="K627"/>
      <c r="L627"/>
      <c r="M627"/>
      <c r="N627"/>
      <c r="O627"/>
    </row>
    <row r="628" spans="11:15" x14ac:dyDescent="0.25">
      <c r="K628"/>
      <c r="L628"/>
      <c r="M628"/>
      <c r="N628"/>
      <c r="O628"/>
    </row>
    <row r="629" spans="11:15" x14ac:dyDescent="0.25">
      <c r="K629"/>
      <c r="L629"/>
      <c r="M629"/>
      <c r="N629"/>
      <c r="O629"/>
    </row>
    <row r="630" spans="11:15" x14ac:dyDescent="0.25">
      <c r="K630"/>
      <c r="L630"/>
      <c r="M630"/>
      <c r="N630"/>
      <c r="O630"/>
    </row>
    <row r="631" spans="11:15" x14ac:dyDescent="0.25">
      <c r="K631"/>
      <c r="L631"/>
      <c r="M631"/>
      <c r="N631"/>
      <c r="O631"/>
    </row>
    <row r="632" spans="11:15" x14ac:dyDescent="0.25">
      <c r="K632"/>
      <c r="L632"/>
      <c r="M632"/>
      <c r="N632"/>
      <c r="O632"/>
    </row>
    <row r="633" spans="11:15" x14ac:dyDescent="0.25">
      <c r="K633"/>
      <c r="L633"/>
      <c r="M633"/>
      <c r="N633"/>
      <c r="O633"/>
    </row>
    <row r="634" spans="11:15" x14ac:dyDescent="0.25">
      <c r="K634"/>
      <c r="L634"/>
      <c r="M634"/>
      <c r="N634"/>
      <c r="O634"/>
    </row>
    <row r="635" spans="11:15" x14ac:dyDescent="0.25">
      <c r="K635"/>
      <c r="L635"/>
      <c r="M635"/>
      <c r="N635"/>
      <c r="O635"/>
    </row>
    <row r="636" spans="11:15" x14ac:dyDescent="0.25">
      <c r="K636"/>
      <c r="L636"/>
      <c r="M636"/>
      <c r="N636"/>
      <c r="O636"/>
    </row>
    <row r="637" spans="11:15" x14ac:dyDescent="0.25">
      <c r="K637"/>
      <c r="L637"/>
      <c r="M637"/>
      <c r="N637"/>
      <c r="O637"/>
    </row>
    <row r="638" spans="11:15" x14ac:dyDescent="0.25">
      <c r="K638"/>
      <c r="L638"/>
      <c r="M638"/>
      <c r="N638"/>
      <c r="O638"/>
    </row>
    <row r="639" spans="11:15" x14ac:dyDescent="0.25">
      <c r="K639"/>
      <c r="L639"/>
      <c r="M639"/>
      <c r="N639"/>
      <c r="O639"/>
    </row>
    <row r="640" spans="11:15" x14ac:dyDescent="0.25">
      <c r="K640"/>
      <c r="L640"/>
      <c r="M640"/>
      <c r="N640"/>
      <c r="O640"/>
    </row>
    <row r="641" spans="11:15" x14ac:dyDescent="0.25">
      <c r="K641"/>
      <c r="L641"/>
      <c r="M641"/>
      <c r="N641"/>
      <c r="O641"/>
    </row>
    <row r="642" spans="11:15" x14ac:dyDescent="0.25">
      <c r="K642"/>
      <c r="L642"/>
      <c r="M642"/>
      <c r="N642"/>
      <c r="O642"/>
    </row>
    <row r="643" spans="11:15" x14ac:dyDescent="0.25">
      <c r="K643"/>
      <c r="L643"/>
      <c r="M643"/>
      <c r="N643"/>
      <c r="O643"/>
    </row>
    <row r="644" spans="11:15" x14ac:dyDescent="0.25">
      <c r="K644"/>
      <c r="L644"/>
      <c r="M644"/>
      <c r="N644"/>
      <c r="O644"/>
    </row>
    <row r="645" spans="11:15" x14ac:dyDescent="0.25">
      <c r="K645"/>
      <c r="L645"/>
      <c r="M645"/>
      <c r="N645"/>
      <c r="O645"/>
    </row>
    <row r="646" spans="11:15" x14ac:dyDescent="0.25">
      <c r="K646"/>
      <c r="L646"/>
      <c r="M646"/>
      <c r="N646"/>
      <c r="O646"/>
    </row>
    <row r="647" spans="11:15" x14ac:dyDescent="0.25">
      <c r="K647"/>
      <c r="L647"/>
      <c r="M647"/>
      <c r="N647"/>
      <c r="O647"/>
    </row>
    <row r="648" spans="11:15" x14ac:dyDescent="0.25">
      <c r="K648"/>
      <c r="L648"/>
      <c r="M648"/>
      <c r="N648"/>
      <c r="O648"/>
    </row>
    <row r="649" spans="11:15" x14ac:dyDescent="0.25">
      <c r="K649"/>
      <c r="L649"/>
      <c r="M649"/>
      <c r="N649"/>
      <c r="O649"/>
    </row>
    <row r="650" spans="11:15" x14ac:dyDescent="0.25">
      <c r="K650"/>
      <c r="L650"/>
      <c r="M650"/>
      <c r="N650"/>
      <c r="O650"/>
    </row>
    <row r="651" spans="11:15" x14ac:dyDescent="0.25">
      <c r="K651"/>
      <c r="L651"/>
      <c r="M651"/>
      <c r="N651"/>
      <c r="O651"/>
    </row>
    <row r="652" spans="11:15" x14ac:dyDescent="0.25">
      <c r="K652"/>
      <c r="L652"/>
      <c r="M652"/>
      <c r="N652"/>
      <c r="O652"/>
    </row>
    <row r="653" spans="11:15" x14ac:dyDescent="0.25">
      <c r="K653"/>
      <c r="L653"/>
      <c r="M653"/>
      <c r="N653"/>
      <c r="O653"/>
    </row>
    <row r="654" spans="11:15" x14ac:dyDescent="0.25">
      <c r="K654"/>
      <c r="L654"/>
      <c r="M654"/>
      <c r="N654"/>
      <c r="O654"/>
    </row>
    <row r="655" spans="11:15" x14ac:dyDescent="0.25">
      <c r="K655"/>
      <c r="L655"/>
      <c r="M655"/>
      <c r="N655"/>
      <c r="O655"/>
    </row>
    <row r="656" spans="11:15" x14ac:dyDescent="0.25">
      <c r="K656"/>
      <c r="L656"/>
      <c r="M656"/>
      <c r="N656"/>
      <c r="O656"/>
    </row>
    <row r="657" spans="11:15" x14ac:dyDescent="0.25">
      <c r="K657"/>
      <c r="L657"/>
      <c r="M657"/>
      <c r="N657"/>
      <c r="O657"/>
    </row>
    <row r="658" spans="11:15" x14ac:dyDescent="0.25">
      <c r="K658"/>
      <c r="L658"/>
      <c r="M658"/>
      <c r="N658"/>
      <c r="O658"/>
    </row>
    <row r="659" spans="11:15" x14ac:dyDescent="0.25">
      <c r="K659"/>
      <c r="L659"/>
      <c r="M659"/>
      <c r="N659"/>
      <c r="O659"/>
    </row>
    <row r="660" spans="11:15" x14ac:dyDescent="0.25">
      <c r="K660"/>
      <c r="L660"/>
      <c r="M660"/>
      <c r="N660"/>
      <c r="O660"/>
    </row>
    <row r="661" spans="11:15" x14ac:dyDescent="0.25">
      <c r="K661"/>
      <c r="L661"/>
      <c r="M661"/>
      <c r="N661"/>
      <c r="O661"/>
    </row>
    <row r="662" spans="11:15" x14ac:dyDescent="0.25">
      <c r="K662"/>
      <c r="L662"/>
      <c r="M662"/>
      <c r="N662"/>
      <c r="O662"/>
    </row>
    <row r="663" spans="11:15" x14ac:dyDescent="0.25">
      <c r="K663"/>
      <c r="L663"/>
      <c r="M663"/>
      <c r="N663"/>
      <c r="O663"/>
    </row>
    <row r="664" spans="11:15" x14ac:dyDescent="0.25">
      <c r="K664"/>
      <c r="L664"/>
      <c r="M664"/>
      <c r="N664"/>
      <c r="O664"/>
    </row>
    <row r="665" spans="11:15" x14ac:dyDescent="0.25">
      <c r="K665"/>
      <c r="L665"/>
      <c r="M665"/>
      <c r="N665"/>
      <c r="O665"/>
    </row>
    <row r="666" spans="11:15" x14ac:dyDescent="0.25">
      <c r="K666"/>
      <c r="L666"/>
      <c r="M666"/>
      <c r="N666"/>
      <c r="O666"/>
    </row>
    <row r="667" spans="11:15" x14ac:dyDescent="0.25">
      <c r="K667"/>
      <c r="L667"/>
      <c r="M667"/>
      <c r="N667"/>
      <c r="O667"/>
    </row>
    <row r="668" spans="11:15" x14ac:dyDescent="0.25">
      <c r="K668"/>
      <c r="L668"/>
      <c r="M668"/>
      <c r="N668"/>
      <c r="O668"/>
    </row>
    <row r="669" spans="11:15" x14ac:dyDescent="0.25">
      <c r="K669"/>
      <c r="L669"/>
      <c r="M669"/>
      <c r="N669"/>
      <c r="O669"/>
    </row>
    <row r="670" spans="11:15" x14ac:dyDescent="0.25">
      <c r="K670"/>
      <c r="L670"/>
      <c r="M670"/>
      <c r="N670"/>
      <c r="O670"/>
    </row>
    <row r="671" spans="11:15" x14ac:dyDescent="0.25">
      <c r="K671"/>
      <c r="L671"/>
      <c r="M671"/>
      <c r="N671"/>
      <c r="O671"/>
    </row>
    <row r="672" spans="11:15" x14ac:dyDescent="0.25">
      <c r="K672"/>
      <c r="L672"/>
      <c r="M672"/>
      <c r="N672"/>
      <c r="O672"/>
    </row>
    <row r="673" spans="11:15" x14ac:dyDescent="0.25">
      <c r="K673"/>
      <c r="L673"/>
      <c r="M673"/>
      <c r="N673"/>
      <c r="O673"/>
    </row>
    <row r="674" spans="11:15" x14ac:dyDescent="0.25">
      <c r="K674"/>
      <c r="L674"/>
      <c r="M674"/>
      <c r="N674"/>
      <c r="O674"/>
    </row>
    <row r="675" spans="11:15" x14ac:dyDescent="0.25">
      <c r="K675"/>
      <c r="L675"/>
      <c r="M675"/>
      <c r="N675"/>
      <c r="O675"/>
    </row>
    <row r="676" spans="11:15" x14ac:dyDescent="0.25">
      <c r="K676"/>
      <c r="L676"/>
      <c r="M676"/>
      <c r="N676"/>
      <c r="O676"/>
    </row>
    <row r="677" spans="11:15" x14ac:dyDescent="0.25">
      <c r="K677"/>
      <c r="L677"/>
      <c r="M677"/>
      <c r="N677"/>
      <c r="O677"/>
    </row>
    <row r="678" spans="11:15" x14ac:dyDescent="0.25">
      <c r="K678"/>
      <c r="L678"/>
      <c r="M678"/>
      <c r="N678"/>
      <c r="O678"/>
    </row>
    <row r="679" spans="11:15" x14ac:dyDescent="0.25">
      <c r="K679"/>
      <c r="L679"/>
      <c r="M679"/>
      <c r="N679"/>
      <c r="O679"/>
    </row>
    <row r="680" spans="11:15" x14ac:dyDescent="0.25">
      <c r="K680"/>
      <c r="L680"/>
      <c r="M680"/>
      <c r="N680"/>
      <c r="O680"/>
    </row>
    <row r="681" spans="11:15" x14ac:dyDescent="0.25">
      <c r="K681"/>
      <c r="L681"/>
      <c r="M681"/>
      <c r="N681"/>
      <c r="O681"/>
    </row>
    <row r="682" spans="11:15" x14ac:dyDescent="0.25">
      <c r="K682"/>
      <c r="L682"/>
      <c r="M682"/>
      <c r="N682"/>
      <c r="O682"/>
    </row>
    <row r="683" spans="11:15" x14ac:dyDescent="0.25">
      <c r="K683"/>
      <c r="L683"/>
      <c r="M683"/>
      <c r="N683"/>
      <c r="O683"/>
    </row>
    <row r="684" spans="11:15" x14ac:dyDescent="0.25">
      <c r="K684"/>
      <c r="L684"/>
      <c r="M684"/>
      <c r="N684"/>
      <c r="O684"/>
    </row>
    <row r="685" spans="11:15" x14ac:dyDescent="0.25">
      <c r="K685"/>
      <c r="L685"/>
      <c r="M685"/>
      <c r="N685"/>
      <c r="O685"/>
    </row>
    <row r="686" spans="11:15" x14ac:dyDescent="0.25">
      <c r="K686"/>
      <c r="L686"/>
      <c r="M686"/>
      <c r="N686"/>
      <c r="O686"/>
    </row>
    <row r="687" spans="11:15" x14ac:dyDescent="0.25">
      <c r="K687"/>
      <c r="L687"/>
      <c r="M687"/>
      <c r="N687"/>
      <c r="O687"/>
    </row>
    <row r="688" spans="11:15" x14ac:dyDescent="0.25">
      <c r="K688"/>
      <c r="L688"/>
      <c r="M688"/>
      <c r="N688"/>
      <c r="O688"/>
    </row>
    <row r="689" spans="11:15" x14ac:dyDescent="0.25">
      <c r="K689"/>
      <c r="L689"/>
      <c r="M689"/>
      <c r="N689"/>
      <c r="O689"/>
    </row>
    <row r="690" spans="11:15" x14ac:dyDescent="0.25">
      <c r="K690"/>
      <c r="L690"/>
      <c r="M690"/>
      <c r="N690"/>
      <c r="O690"/>
    </row>
    <row r="691" spans="11:15" x14ac:dyDescent="0.25">
      <c r="K691"/>
      <c r="L691"/>
      <c r="M691"/>
      <c r="N691"/>
      <c r="O691"/>
    </row>
    <row r="692" spans="11:15" x14ac:dyDescent="0.25">
      <c r="K692"/>
      <c r="L692"/>
      <c r="M692"/>
      <c r="N692"/>
      <c r="O692"/>
    </row>
    <row r="693" spans="11:15" x14ac:dyDescent="0.25">
      <c r="K693"/>
      <c r="L693"/>
      <c r="M693"/>
      <c r="N693"/>
      <c r="O693"/>
    </row>
    <row r="694" spans="11:15" x14ac:dyDescent="0.25">
      <c r="K694"/>
      <c r="L694"/>
      <c r="M694"/>
      <c r="N694"/>
      <c r="O694"/>
    </row>
    <row r="695" spans="11:15" x14ac:dyDescent="0.25">
      <c r="K695"/>
      <c r="L695"/>
      <c r="M695"/>
      <c r="N695"/>
      <c r="O695"/>
    </row>
    <row r="696" spans="11:15" x14ac:dyDescent="0.25">
      <c r="K696"/>
      <c r="L696"/>
      <c r="M696"/>
      <c r="N696"/>
      <c r="O696"/>
    </row>
    <row r="697" spans="11:15" x14ac:dyDescent="0.25">
      <c r="K697"/>
      <c r="L697"/>
      <c r="M697"/>
      <c r="N697"/>
      <c r="O697"/>
    </row>
    <row r="698" spans="11:15" x14ac:dyDescent="0.25">
      <c r="K698"/>
      <c r="L698"/>
      <c r="M698"/>
      <c r="N698"/>
      <c r="O698"/>
    </row>
    <row r="699" spans="11:15" x14ac:dyDescent="0.25">
      <c r="K699"/>
      <c r="L699"/>
      <c r="M699"/>
      <c r="N699"/>
      <c r="O699"/>
    </row>
    <row r="700" spans="11:15" x14ac:dyDescent="0.25">
      <c r="K700"/>
      <c r="L700"/>
      <c r="M700"/>
      <c r="N700"/>
      <c r="O700"/>
    </row>
    <row r="701" spans="11:15" x14ac:dyDescent="0.25">
      <c r="K701"/>
      <c r="L701"/>
      <c r="M701"/>
      <c r="N701"/>
      <c r="O701"/>
    </row>
    <row r="702" spans="11:15" x14ac:dyDescent="0.25">
      <c r="K702"/>
      <c r="L702"/>
      <c r="M702"/>
      <c r="N702"/>
      <c r="O702"/>
    </row>
    <row r="703" spans="11:15" x14ac:dyDescent="0.25">
      <c r="K703"/>
      <c r="L703"/>
      <c r="M703"/>
      <c r="N703"/>
      <c r="O703"/>
    </row>
    <row r="704" spans="11:15" x14ac:dyDescent="0.25">
      <c r="K704"/>
      <c r="L704"/>
      <c r="M704"/>
      <c r="N704"/>
      <c r="O704"/>
    </row>
    <row r="705" spans="11:15" x14ac:dyDescent="0.25">
      <c r="K705"/>
      <c r="L705"/>
      <c r="M705"/>
      <c r="N705"/>
      <c r="O705"/>
    </row>
    <row r="706" spans="11:15" x14ac:dyDescent="0.25">
      <c r="K706"/>
      <c r="L706"/>
      <c r="M706"/>
      <c r="N706"/>
      <c r="O706"/>
    </row>
    <row r="707" spans="11:15" x14ac:dyDescent="0.25">
      <c r="K707"/>
      <c r="L707"/>
      <c r="M707"/>
      <c r="N707"/>
      <c r="O707"/>
    </row>
    <row r="708" spans="11:15" x14ac:dyDescent="0.25">
      <c r="K708"/>
      <c r="L708"/>
      <c r="M708"/>
      <c r="N708"/>
      <c r="O708"/>
    </row>
    <row r="709" spans="11:15" x14ac:dyDescent="0.25">
      <c r="K709"/>
      <c r="L709"/>
      <c r="M709"/>
      <c r="N709"/>
      <c r="O709"/>
    </row>
    <row r="710" spans="11:15" x14ac:dyDescent="0.25">
      <c r="K710"/>
      <c r="L710"/>
      <c r="M710"/>
      <c r="N710"/>
      <c r="O710"/>
    </row>
    <row r="711" spans="11:15" x14ac:dyDescent="0.25">
      <c r="K711"/>
      <c r="L711"/>
      <c r="M711"/>
      <c r="N711"/>
      <c r="O711"/>
    </row>
    <row r="712" spans="11:15" x14ac:dyDescent="0.25">
      <c r="K712"/>
      <c r="L712"/>
      <c r="M712"/>
      <c r="N712"/>
      <c r="O712"/>
    </row>
    <row r="713" spans="11:15" x14ac:dyDescent="0.25">
      <c r="K713"/>
      <c r="L713"/>
      <c r="M713"/>
      <c r="N713"/>
      <c r="O713"/>
    </row>
    <row r="714" spans="11:15" x14ac:dyDescent="0.25">
      <c r="K714"/>
      <c r="L714"/>
      <c r="M714"/>
      <c r="N714"/>
      <c r="O714"/>
    </row>
    <row r="715" spans="11:15" x14ac:dyDescent="0.25">
      <c r="K715"/>
      <c r="L715"/>
      <c r="M715"/>
      <c r="N715"/>
      <c r="O715"/>
    </row>
    <row r="716" spans="11:15" x14ac:dyDescent="0.25">
      <c r="K716"/>
      <c r="L716"/>
      <c r="M716"/>
      <c r="N716"/>
      <c r="O716"/>
    </row>
    <row r="717" spans="11:15" x14ac:dyDescent="0.25">
      <c r="K717"/>
      <c r="L717"/>
      <c r="M717"/>
      <c r="N717"/>
      <c r="O717"/>
    </row>
    <row r="718" spans="11:15" x14ac:dyDescent="0.25">
      <c r="K718"/>
      <c r="L718"/>
      <c r="M718"/>
      <c r="N718"/>
      <c r="O718"/>
    </row>
    <row r="719" spans="11:15" x14ac:dyDescent="0.25">
      <c r="K719"/>
      <c r="L719"/>
      <c r="M719"/>
      <c r="N719"/>
      <c r="O719"/>
    </row>
    <row r="720" spans="11:15" x14ac:dyDescent="0.25">
      <c r="K720"/>
      <c r="L720"/>
      <c r="M720"/>
      <c r="N720"/>
      <c r="O720"/>
    </row>
    <row r="721" spans="11:15" x14ac:dyDescent="0.25">
      <c r="K721"/>
      <c r="L721"/>
      <c r="M721"/>
      <c r="N721"/>
      <c r="O721"/>
    </row>
    <row r="722" spans="11:15" x14ac:dyDescent="0.25">
      <c r="K722"/>
      <c r="L722"/>
      <c r="M722"/>
      <c r="N722"/>
      <c r="O722"/>
    </row>
    <row r="723" spans="11:15" x14ac:dyDescent="0.25">
      <c r="K723"/>
      <c r="L723"/>
      <c r="M723"/>
      <c r="N723"/>
      <c r="O723"/>
    </row>
    <row r="724" spans="11:15" x14ac:dyDescent="0.25">
      <c r="K724"/>
      <c r="L724"/>
      <c r="M724"/>
      <c r="N724"/>
      <c r="O724"/>
    </row>
    <row r="725" spans="11:15" x14ac:dyDescent="0.25">
      <c r="K725"/>
      <c r="L725"/>
      <c r="M725"/>
      <c r="N725"/>
      <c r="O725"/>
    </row>
    <row r="726" spans="11:15" x14ac:dyDescent="0.25">
      <c r="K726"/>
      <c r="L726"/>
      <c r="M726"/>
      <c r="N726"/>
      <c r="O726"/>
    </row>
    <row r="727" spans="11:15" x14ac:dyDescent="0.25">
      <c r="K727"/>
      <c r="L727"/>
      <c r="M727"/>
      <c r="N727"/>
      <c r="O727"/>
    </row>
    <row r="728" spans="11:15" x14ac:dyDescent="0.25">
      <c r="K728"/>
      <c r="L728"/>
      <c r="M728"/>
      <c r="N728"/>
      <c r="O728"/>
    </row>
    <row r="729" spans="11:15" x14ac:dyDescent="0.25">
      <c r="K729"/>
      <c r="L729"/>
      <c r="M729"/>
      <c r="N729"/>
      <c r="O729"/>
    </row>
    <row r="730" spans="11:15" x14ac:dyDescent="0.25">
      <c r="K730"/>
      <c r="L730"/>
      <c r="M730"/>
      <c r="N730"/>
      <c r="O730"/>
    </row>
    <row r="731" spans="11:15" x14ac:dyDescent="0.25">
      <c r="K731"/>
      <c r="L731"/>
      <c r="M731"/>
      <c r="N731"/>
      <c r="O731"/>
    </row>
    <row r="732" spans="11:15" x14ac:dyDescent="0.25">
      <c r="K732"/>
      <c r="L732"/>
      <c r="M732"/>
      <c r="N732"/>
      <c r="O732"/>
    </row>
    <row r="733" spans="11:15" x14ac:dyDescent="0.25">
      <c r="K733"/>
      <c r="L733"/>
      <c r="M733"/>
      <c r="N733"/>
      <c r="O733"/>
    </row>
    <row r="734" spans="11:15" x14ac:dyDescent="0.25">
      <c r="K734"/>
      <c r="L734"/>
      <c r="M734"/>
      <c r="N734"/>
      <c r="O734"/>
    </row>
    <row r="735" spans="11:15" x14ac:dyDescent="0.25">
      <c r="K735"/>
      <c r="L735"/>
      <c r="M735"/>
      <c r="N735"/>
      <c r="O735"/>
    </row>
    <row r="736" spans="11:15" x14ac:dyDescent="0.25">
      <c r="K736"/>
      <c r="L736"/>
      <c r="M736"/>
      <c r="N736"/>
      <c r="O736"/>
    </row>
    <row r="737" spans="11:15" x14ac:dyDescent="0.25">
      <c r="K737"/>
      <c r="L737"/>
      <c r="M737"/>
      <c r="N737"/>
      <c r="O737"/>
    </row>
    <row r="738" spans="11:15" x14ac:dyDescent="0.25">
      <c r="K738"/>
      <c r="L738"/>
      <c r="M738"/>
      <c r="N738"/>
      <c r="O738"/>
    </row>
    <row r="739" spans="11:15" x14ac:dyDescent="0.25">
      <c r="K739"/>
      <c r="L739"/>
      <c r="M739"/>
      <c r="N739"/>
      <c r="O739"/>
    </row>
    <row r="740" spans="11:15" x14ac:dyDescent="0.25">
      <c r="K740"/>
      <c r="L740"/>
      <c r="M740"/>
      <c r="N740"/>
      <c r="O740"/>
    </row>
    <row r="741" spans="11:15" x14ac:dyDescent="0.25">
      <c r="K741"/>
      <c r="L741"/>
      <c r="M741"/>
      <c r="N741"/>
      <c r="O741"/>
    </row>
    <row r="742" spans="11:15" x14ac:dyDescent="0.25">
      <c r="K742"/>
      <c r="L742"/>
      <c r="M742"/>
      <c r="N742"/>
      <c r="O742"/>
    </row>
    <row r="743" spans="11:15" x14ac:dyDescent="0.25">
      <c r="K743"/>
      <c r="L743"/>
      <c r="M743"/>
      <c r="N743"/>
      <c r="O743"/>
    </row>
    <row r="744" spans="11:15" x14ac:dyDescent="0.25">
      <c r="K744"/>
      <c r="L744"/>
      <c r="M744"/>
      <c r="N744"/>
      <c r="O744"/>
    </row>
    <row r="745" spans="11:15" x14ac:dyDescent="0.25">
      <c r="K745"/>
      <c r="L745"/>
      <c r="M745"/>
      <c r="N745"/>
      <c r="O745"/>
    </row>
    <row r="746" spans="11:15" x14ac:dyDescent="0.25">
      <c r="K746"/>
      <c r="L746"/>
      <c r="M746"/>
      <c r="N746"/>
      <c r="O746"/>
    </row>
    <row r="747" spans="11:15" x14ac:dyDescent="0.25">
      <c r="K747"/>
      <c r="L747"/>
      <c r="M747"/>
      <c r="N747"/>
      <c r="O747"/>
    </row>
    <row r="748" spans="11:15" x14ac:dyDescent="0.25">
      <c r="K748"/>
      <c r="L748"/>
      <c r="M748"/>
      <c r="N748"/>
      <c r="O748"/>
    </row>
    <row r="749" spans="11:15" x14ac:dyDescent="0.25">
      <c r="K749"/>
      <c r="L749"/>
      <c r="M749"/>
      <c r="N749"/>
      <c r="O749"/>
    </row>
    <row r="750" spans="11:15" x14ac:dyDescent="0.25">
      <c r="K750"/>
      <c r="L750"/>
      <c r="M750"/>
      <c r="N750"/>
      <c r="O750"/>
    </row>
    <row r="751" spans="11:15" x14ac:dyDescent="0.25">
      <c r="K751"/>
      <c r="L751"/>
      <c r="M751"/>
      <c r="N751"/>
      <c r="O751"/>
    </row>
    <row r="752" spans="11:15" x14ac:dyDescent="0.25">
      <c r="K752"/>
      <c r="L752"/>
      <c r="M752"/>
      <c r="N752"/>
      <c r="O752"/>
    </row>
    <row r="753" spans="11:15" x14ac:dyDescent="0.25">
      <c r="K753"/>
      <c r="L753"/>
      <c r="M753"/>
      <c r="N753"/>
      <c r="O753"/>
    </row>
    <row r="754" spans="11:15" x14ac:dyDescent="0.25">
      <c r="K754"/>
      <c r="L754"/>
      <c r="M754"/>
      <c r="N754"/>
      <c r="O754"/>
    </row>
    <row r="755" spans="11:15" x14ac:dyDescent="0.25">
      <c r="K755"/>
      <c r="L755"/>
      <c r="M755"/>
      <c r="N755"/>
      <c r="O755"/>
    </row>
    <row r="756" spans="11:15" x14ac:dyDescent="0.25">
      <c r="K756"/>
      <c r="L756"/>
      <c r="M756"/>
      <c r="N756"/>
      <c r="O756"/>
    </row>
    <row r="757" spans="11:15" x14ac:dyDescent="0.25">
      <c r="K757"/>
      <c r="L757"/>
      <c r="M757"/>
      <c r="N757"/>
      <c r="O757"/>
    </row>
    <row r="758" spans="11:15" x14ac:dyDescent="0.25">
      <c r="K758"/>
      <c r="L758"/>
      <c r="M758"/>
      <c r="N758"/>
      <c r="O758"/>
    </row>
    <row r="759" spans="11:15" x14ac:dyDescent="0.25">
      <c r="K759"/>
      <c r="L759"/>
      <c r="M759"/>
      <c r="N759"/>
      <c r="O759"/>
    </row>
    <row r="760" spans="11:15" x14ac:dyDescent="0.25">
      <c r="K760"/>
      <c r="L760"/>
      <c r="M760"/>
      <c r="N760"/>
      <c r="O760"/>
    </row>
    <row r="761" spans="11:15" x14ac:dyDescent="0.25">
      <c r="K761"/>
      <c r="L761"/>
      <c r="M761"/>
      <c r="N761"/>
      <c r="O761"/>
    </row>
    <row r="762" spans="11:15" x14ac:dyDescent="0.25">
      <c r="K762"/>
      <c r="L762"/>
      <c r="M762"/>
      <c r="N762"/>
      <c r="O762"/>
    </row>
    <row r="763" spans="11:15" x14ac:dyDescent="0.25">
      <c r="K763"/>
      <c r="L763"/>
      <c r="M763"/>
      <c r="N763"/>
      <c r="O763"/>
    </row>
    <row r="764" spans="11:15" x14ac:dyDescent="0.25">
      <c r="K764"/>
      <c r="L764"/>
      <c r="M764"/>
      <c r="N764"/>
      <c r="O764"/>
    </row>
    <row r="765" spans="11:15" x14ac:dyDescent="0.25">
      <c r="K765"/>
      <c r="L765"/>
      <c r="M765"/>
      <c r="N765"/>
      <c r="O765"/>
    </row>
    <row r="766" spans="11:15" x14ac:dyDescent="0.25">
      <c r="K766"/>
      <c r="L766"/>
      <c r="M766"/>
      <c r="N766"/>
      <c r="O766"/>
    </row>
    <row r="767" spans="11:15" x14ac:dyDescent="0.25">
      <c r="K767"/>
      <c r="L767"/>
      <c r="M767"/>
      <c r="N767"/>
      <c r="O767"/>
    </row>
    <row r="768" spans="11:15" x14ac:dyDescent="0.25">
      <c r="K768"/>
      <c r="L768"/>
      <c r="M768"/>
      <c r="N768"/>
      <c r="O768"/>
    </row>
    <row r="769" spans="11:15" x14ac:dyDescent="0.25">
      <c r="K769"/>
      <c r="L769"/>
      <c r="M769"/>
      <c r="N769"/>
      <c r="O769"/>
    </row>
    <row r="770" spans="11:15" x14ac:dyDescent="0.25">
      <c r="K770"/>
      <c r="L770"/>
      <c r="M770"/>
      <c r="N770"/>
      <c r="O770"/>
    </row>
    <row r="771" spans="11:15" x14ac:dyDescent="0.25">
      <c r="K771"/>
      <c r="L771"/>
      <c r="M771"/>
      <c r="N771"/>
      <c r="O771"/>
    </row>
    <row r="772" spans="11:15" x14ac:dyDescent="0.25">
      <c r="K772"/>
      <c r="L772"/>
      <c r="M772"/>
      <c r="N772"/>
      <c r="O772"/>
    </row>
    <row r="773" spans="11:15" x14ac:dyDescent="0.25">
      <c r="K773"/>
      <c r="L773"/>
      <c r="M773"/>
      <c r="N773"/>
      <c r="O773"/>
    </row>
    <row r="774" spans="11:15" x14ac:dyDescent="0.25">
      <c r="K774"/>
      <c r="L774"/>
      <c r="M774"/>
      <c r="N774"/>
      <c r="O774"/>
    </row>
    <row r="775" spans="11:15" x14ac:dyDescent="0.25">
      <c r="K775"/>
      <c r="L775"/>
      <c r="M775"/>
      <c r="N775"/>
      <c r="O775"/>
    </row>
    <row r="776" spans="11:15" x14ac:dyDescent="0.25">
      <c r="K776"/>
      <c r="L776"/>
      <c r="M776"/>
      <c r="N776"/>
      <c r="O776"/>
    </row>
    <row r="777" spans="11:15" x14ac:dyDescent="0.25">
      <c r="K777"/>
      <c r="L777"/>
      <c r="M777"/>
      <c r="N777"/>
      <c r="O777"/>
    </row>
    <row r="778" spans="11:15" x14ac:dyDescent="0.25">
      <c r="K778"/>
      <c r="L778"/>
      <c r="M778"/>
      <c r="N778"/>
      <c r="O778"/>
    </row>
    <row r="779" spans="11:15" x14ac:dyDescent="0.25">
      <c r="K779"/>
      <c r="L779"/>
      <c r="M779"/>
      <c r="N779"/>
      <c r="O779"/>
    </row>
    <row r="780" spans="11:15" x14ac:dyDescent="0.25">
      <c r="K780"/>
      <c r="L780"/>
      <c r="M780"/>
      <c r="N780"/>
      <c r="O780"/>
    </row>
    <row r="781" spans="11:15" x14ac:dyDescent="0.25">
      <c r="K781"/>
      <c r="L781"/>
      <c r="M781"/>
      <c r="N781"/>
      <c r="O781"/>
    </row>
    <row r="782" spans="11:15" x14ac:dyDescent="0.25">
      <c r="K782"/>
      <c r="L782"/>
      <c r="M782"/>
      <c r="N782"/>
      <c r="O782"/>
    </row>
    <row r="783" spans="11:15" x14ac:dyDescent="0.25">
      <c r="K783"/>
      <c r="L783"/>
      <c r="M783"/>
      <c r="N783"/>
      <c r="O783"/>
    </row>
    <row r="784" spans="11:15" x14ac:dyDescent="0.25">
      <c r="K784"/>
      <c r="L784"/>
      <c r="M784"/>
      <c r="N784"/>
      <c r="O784"/>
    </row>
    <row r="785" spans="11:15" x14ac:dyDescent="0.25">
      <c r="K785"/>
      <c r="L785"/>
      <c r="M785"/>
      <c r="N785"/>
      <c r="O785"/>
    </row>
    <row r="786" spans="11:15" x14ac:dyDescent="0.25">
      <c r="K786"/>
      <c r="L786"/>
      <c r="M786"/>
      <c r="N786"/>
      <c r="O786"/>
    </row>
    <row r="787" spans="11:15" x14ac:dyDescent="0.25">
      <c r="K787"/>
      <c r="L787"/>
      <c r="M787"/>
      <c r="N787"/>
      <c r="O787"/>
    </row>
    <row r="788" spans="11:15" x14ac:dyDescent="0.25">
      <c r="K788"/>
      <c r="L788"/>
      <c r="M788"/>
      <c r="N788"/>
      <c r="O788"/>
    </row>
    <row r="789" spans="11:15" x14ac:dyDescent="0.25">
      <c r="K789"/>
      <c r="L789"/>
      <c r="M789"/>
      <c r="N789"/>
      <c r="O789"/>
    </row>
    <row r="790" spans="11:15" x14ac:dyDescent="0.25">
      <c r="K790"/>
      <c r="L790"/>
      <c r="M790"/>
      <c r="N790"/>
      <c r="O790"/>
    </row>
    <row r="791" spans="11:15" x14ac:dyDescent="0.25">
      <c r="K791"/>
      <c r="L791"/>
      <c r="M791"/>
      <c r="N791"/>
      <c r="O791"/>
    </row>
    <row r="792" spans="11:15" x14ac:dyDescent="0.25">
      <c r="K792"/>
      <c r="L792"/>
      <c r="M792"/>
      <c r="N792"/>
      <c r="O792"/>
    </row>
    <row r="793" spans="11:15" x14ac:dyDescent="0.25">
      <c r="K793"/>
      <c r="L793"/>
      <c r="M793"/>
      <c r="N793"/>
      <c r="O793"/>
    </row>
    <row r="794" spans="11:15" x14ac:dyDescent="0.25">
      <c r="K794"/>
      <c r="L794"/>
      <c r="M794"/>
      <c r="N794"/>
      <c r="O794"/>
    </row>
    <row r="795" spans="11:15" x14ac:dyDescent="0.25">
      <c r="K795"/>
      <c r="L795"/>
      <c r="M795"/>
      <c r="N795"/>
      <c r="O795"/>
    </row>
    <row r="796" spans="11:15" x14ac:dyDescent="0.25">
      <c r="K796"/>
      <c r="L796"/>
      <c r="M796"/>
      <c r="N796"/>
      <c r="O796"/>
    </row>
    <row r="797" spans="11:15" x14ac:dyDescent="0.25">
      <c r="K797"/>
      <c r="L797"/>
      <c r="M797"/>
      <c r="N797"/>
      <c r="O797"/>
    </row>
    <row r="798" spans="11:15" x14ac:dyDescent="0.25">
      <c r="K798"/>
      <c r="L798"/>
      <c r="M798"/>
      <c r="N798"/>
      <c r="O798"/>
    </row>
    <row r="799" spans="11:15" x14ac:dyDescent="0.25">
      <c r="K799"/>
      <c r="L799"/>
      <c r="M799"/>
      <c r="N799"/>
      <c r="O799"/>
    </row>
    <row r="800" spans="11:15" x14ac:dyDescent="0.25">
      <c r="K800"/>
      <c r="L800"/>
      <c r="M800"/>
      <c r="N800"/>
      <c r="O800"/>
    </row>
    <row r="801" spans="11:15" x14ac:dyDescent="0.25">
      <c r="K801"/>
      <c r="L801"/>
      <c r="M801"/>
      <c r="N801"/>
      <c r="O801"/>
    </row>
    <row r="802" spans="11:15" x14ac:dyDescent="0.25">
      <c r="K802"/>
      <c r="L802"/>
      <c r="M802"/>
      <c r="N802"/>
      <c r="O802"/>
    </row>
    <row r="803" spans="11:15" x14ac:dyDescent="0.25">
      <c r="K803"/>
      <c r="L803"/>
      <c r="M803"/>
      <c r="N803"/>
      <c r="O803"/>
    </row>
    <row r="804" spans="11:15" x14ac:dyDescent="0.25">
      <c r="K804"/>
      <c r="L804"/>
      <c r="M804"/>
      <c r="N804"/>
      <c r="O804"/>
    </row>
    <row r="805" spans="11:15" x14ac:dyDescent="0.25">
      <c r="K805"/>
      <c r="L805"/>
      <c r="M805"/>
      <c r="N805"/>
      <c r="O805"/>
    </row>
    <row r="806" spans="11:15" x14ac:dyDescent="0.25">
      <c r="K806"/>
      <c r="L806"/>
      <c r="M806"/>
      <c r="N806"/>
      <c r="O806"/>
    </row>
    <row r="807" spans="11:15" x14ac:dyDescent="0.25">
      <c r="K807"/>
      <c r="L807"/>
      <c r="M807"/>
      <c r="N807"/>
      <c r="O807"/>
    </row>
    <row r="808" spans="11:15" x14ac:dyDescent="0.25">
      <c r="K808"/>
      <c r="L808"/>
      <c r="M808"/>
      <c r="N808"/>
      <c r="O808"/>
    </row>
    <row r="809" spans="11:15" x14ac:dyDescent="0.25">
      <c r="K809"/>
      <c r="L809"/>
      <c r="M809"/>
      <c r="N809"/>
      <c r="O809"/>
    </row>
    <row r="810" spans="11:15" x14ac:dyDescent="0.25">
      <c r="K810"/>
      <c r="L810"/>
      <c r="M810"/>
      <c r="N810"/>
      <c r="O810"/>
    </row>
    <row r="811" spans="11:15" x14ac:dyDescent="0.25">
      <c r="K811"/>
      <c r="L811"/>
      <c r="M811"/>
      <c r="N811"/>
      <c r="O811"/>
    </row>
    <row r="812" spans="11:15" x14ac:dyDescent="0.25">
      <c r="K812"/>
      <c r="L812"/>
      <c r="M812"/>
      <c r="N812"/>
      <c r="O812"/>
    </row>
    <row r="813" spans="11:15" x14ac:dyDescent="0.25">
      <c r="K813"/>
      <c r="L813"/>
      <c r="M813"/>
      <c r="N813"/>
      <c r="O813"/>
    </row>
    <row r="814" spans="11:15" x14ac:dyDescent="0.25">
      <c r="K814"/>
      <c r="L814"/>
      <c r="M814"/>
      <c r="N814"/>
      <c r="O814"/>
    </row>
    <row r="815" spans="11:15" x14ac:dyDescent="0.25">
      <c r="K815"/>
      <c r="L815"/>
      <c r="M815"/>
      <c r="N815"/>
      <c r="O815"/>
    </row>
    <row r="816" spans="11:15" x14ac:dyDescent="0.25">
      <c r="K816"/>
      <c r="L816"/>
      <c r="M816"/>
      <c r="N816"/>
      <c r="O816"/>
    </row>
    <row r="817" spans="11:15" x14ac:dyDescent="0.25">
      <c r="K817"/>
      <c r="L817"/>
      <c r="M817"/>
      <c r="N817"/>
      <c r="O817"/>
    </row>
    <row r="818" spans="11:15" x14ac:dyDescent="0.25">
      <c r="K818"/>
      <c r="L818"/>
      <c r="M818"/>
      <c r="N818"/>
      <c r="O818"/>
    </row>
    <row r="819" spans="11:15" x14ac:dyDescent="0.25">
      <c r="K819"/>
      <c r="L819"/>
      <c r="M819"/>
      <c r="N819"/>
      <c r="O819"/>
    </row>
    <row r="820" spans="11:15" x14ac:dyDescent="0.25">
      <c r="K820"/>
      <c r="L820"/>
      <c r="M820"/>
      <c r="N820"/>
      <c r="O820"/>
    </row>
    <row r="821" spans="11:15" x14ac:dyDescent="0.25">
      <c r="K821"/>
      <c r="L821"/>
      <c r="M821"/>
      <c r="N821"/>
      <c r="O821"/>
    </row>
    <row r="822" spans="11:15" x14ac:dyDescent="0.25">
      <c r="K822"/>
      <c r="L822"/>
      <c r="M822"/>
      <c r="N822"/>
      <c r="O822"/>
    </row>
    <row r="823" spans="11:15" x14ac:dyDescent="0.25">
      <c r="K823"/>
      <c r="L823"/>
      <c r="M823"/>
      <c r="N823"/>
      <c r="O823"/>
    </row>
    <row r="824" spans="11:15" x14ac:dyDescent="0.25">
      <c r="K824"/>
      <c r="L824"/>
      <c r="M824"/>
      <c r="N824"/>
      <c r="O824"/>
    </row>
    <row r="825" spans="11:15" x14ac:dyDescent="0.25">
      <c r="K825"/>
      <c r="L825"/>
      <c r="M825"/>
      <c r="N825"/>
      <c r="O825"/>
    </row>
    <row r="826" spans="11:15" x14ac:dyDescent="0.25">
      <c r="K826"/>
      <c r="L826"/>
      <c r="M826"/>
      <c r="N826"/>
      <c r="O826"/>
    </row>
    <row r="827" spans="11:15" x14ac:dyDescent="0.25">
      <c r="K827"/>
      <c r="L827"/>
      <c r="M827"/>
      <c r="N827"/>
      <c r="O827"/>
    </row>
    <row r="828" spans="11:15" x14ac:dyDescent="0.25">
      <c r="K828"/>
      <c r="L828"/>
      <c r="M828"/>
      <c r="N828"/>
      <c r="O828"/>
    </row>
    <row r="829" spans="11:15" x14ac:dyDescent="0.25">
      <c r="K829"/>
      <c r="L829"/>
      <c r="M829"/>
      <c r="N829"/>
      <c r="O829"/>
    </row>
    <row r="830" spans="11:15" x14ac:dyDescent="0.25">
      <c r="K830"/>
      <c r="L830"/>
      <c r="M830"/>
      <c r="N830"/>
      <c r="O830"/>
    </row>
    <row r="831" spans="11:15" x14ac:dyDescent="0.25">
      <c r="K831"/>
      <c r="L831"/>
      <c r="M831"/>
      <c r="N831"/>
      <c r="O831"/>
    </row>
    <row r="832" spans="11:15" x14ac:dyDescent="0.25">
      <c r="K832"/>
      <c r="L832"/>
      <c r="M832"/>
      <c r="N832"/>
      <c r="O832"/>
    </row>
    <row r="833" spans="11:15" x14ac:dyDescent="0.25">
      <c r="K833"/>
      <c r="L833"/>
      <c r="M833"/>
      <c r="N833"/>
      <c r="O833"/>
    </row>
    <row r="834" spans="11:15" x14ac:dyDescent="0.25">
      <c r="K834"/>
      <c r="L834"/>
      <c r="M834"/>
      <c r="N834"/>
      <c r="O834"/>
    </row>
    <row r="835" spans="11:15" x14ac:dyDescent="0.25">
      <c r="K835"/>
      <c r="L835"/>
      <c r="M835"/>
      <c r="N835"/>
      <c r="O835"/>
    </row>
    <row r="836" spans="11:15" x14ac:dyDescent="0.25">
      <c r="K836"/>
      <c r="L836"/>
      <c r="M836"/>
      <c r="N836"/>
      <c r="O836"/>
    </row>
    <row r="837" spans="11:15" x14ac:dyDescent="0.25">
      <c r="K837"/>
      <c r="L837"/>
      <c r="M837"/>
      <c r="N837"/>
      <c r="O837"/>
    </row>
    <row r="838" spans="11:15" x14ac:dyDescent="0.25">
      <c r="K838"/>
      <c r="L838"/>
      <c r="M838"/>
      <c r="N838"/>
      <c r="O838"/>
    </row>
    <row r="839" spans="11:15" x14ac:dyDescent="0.25">
      <c r="K839"/>
      <c r="L839"/>
      <c r="M839"/>
      <c r="N839"/>
      <c r="O839"/>
    </row>
    <row r="840" spans="11:15" x14ac:dyDescent="0.25">
      <c r="K840"/>
      <c r="L840"/>
      <c r="M840"/>
      <c r="N840"/>
      <c r="O840"/>
    </row>
    <row r="841" spans="11:15" x14ac:dyDescent="0.25">
      <c r="K841"/>
      <c r="L841"/>
      <c r="M841"/>
      <c r="N841"/>
      <c r="O841"/>
    </row>
    <row r="842" spans="11:15" x14ac:dyDescent="0.25">
      <c r="K842"/>
      <c r="L842"/>
      <c r="M842"/>
      <c r="N842"/>
      <c r="O842"/>
    </row>
    <row r="843" spans="11:15" x14ac:dyDescent="0.25">
      <c r="K843"/>
      <c r="L843"/>
      <c r="M843"/>
      <c r="N843"/>
      <c r="O843"/>
    </row>
    <row r="844" spans="11:15" x14ac:dyDescent="0.25">
      <c r="K844"/>
      <c r="L844"/>
      <c r="M844"/>
      <c r="N844"/>
      <c r="O844"/>
    </row>
    <row r="845" spans="11:15" x14ac:dyDescent="0.25">
      <c r="K845"/>
      <c r="L845"/>
      <c r="M845"/>
      <c r="N845"/>
      <c r="O845"/>
    </row>
    <row r="846" spans="11:15" x14ac:dyDescent="0.25">
      <c r="K846"/>
      <c r="L846"/>
      <c r="M846"/>
      <c r="N846"/>
      <c r="O846"/>
    </row>
    <row r="847" spans="11:15" x14ac:dyDescent="0.25">
      <c r="K847"/>
      <c r="L847"/>
      <c r="M847"/>
      <c r="N847"/>
      <c r="O847"/>
    </row>
    <row r="848" spans="11:15" x14ac:dyDescent="0.25">
      <c r="K848"/>
      <c r="L848"/>
      <c r="M848"/>
      <c r="N848"/>
      <c r="O848"/>
    </row>
    <row r="849" spans="11:15" x14ac:dyDescent="0.25">
      <c r="K849"/>
      <c r="L849"/>
      <c r="M849"/>
      <c r="N849"/>
      <c r="O849"/>
    </row>
    <row r="850" spans="11:15" x14ac:dyDescent="0.25">
      <c r="K850"/>
      <c r="L850"/>
      <c r="M850"/>
      <c r="N850"/>
      <c r="O850"/>
    </row>
    <row r="851" spans="11:15" x14ac:dyDescent="0.25">
      <c r="K851"/>
      <c r="L851"/>
      <c r="M851"/>
      <c r="N851"/>
      <c r="O851"/>
    </row>
    <row r="852" spans="11:15" x14ac:dyDescent="0.25">
      <c r="K852"/>
      <c r="L852"/>
      <c r="M852"/>
      <c r="N852"/>
      <c r="O852"/>
    </row>
    <row r="853" spans="11:15" x14ac:dyDescent="0.25">
      <c r="K853"/>
      <c r="L853"/>
      <c r="M853"/>
      <c r="N853"/>
      <c r="O853"/>
    </row>
    <row r="854" spans="11:15" x14ac:dyDescent="0.25">
      <c r="K854"/>
      <c r="L854"/>
      <c r="M854"/>
      <c r="N854"/>
      <c r="O854"/>
    </row>
    <row r="855" spans="11:15" x14ac:dyDescent="0.25">
      <c r="K855"/>
      <c r="L855"/>
      <c r="M855"/>
      <c r="N855"/>
      <c r="O855"/>
    </row>
    <row r="856" spans="11:15" x14ac:dyDescent="0.25">
      <c r="K856"/>
      <c r="L856"/>
      <c r="M856"/>
      <c r="N856"/>
      <c r="O856"/>
    </row>
    <row r="857" spans="11:15" x14ac:dyDescent="0.25">
      <c r="K857"/>
      <c r="L857"/>
      <c r="M857"/>
      <c r="N857"/>
      <c r="O857"/>
    </row>
    <row r="858" spans="11:15" x14ac:dyDescent="0.25">
      <c r="K858"/>
      <c r="L858"/>
      <c r="M858"/>
      <c r="N858"/>
      <c r="O858"/>
    </row>
    <row r="859" spans="11:15" x14ac:dyDescent="0.25">
      <c r="K859"/>
      <c r="L859"/>
      <c r="M859"/>
      <c r="N859"/>
      <c r="O859"/>
    </row>
    <row r="860" spans="11:15" x14ac:dyDescent="0.25">
      <c r="K860"/>
      <c r="L860"/>
      <c r="M860"/>
      <c r="N860"/>
      <c r="O860"/>
    </row>
    <row r="861" spans="11:15" x14ac:dyDescent="0.25">
      <c r="K861"/>
      <c r="L861"/>
      <c r="M861"/>
      <c r="N861"/>
      <c r="O861"/>
    </row>
    <row r="862" spans="11:15" x14ac:dyDescent="0.25">
      <c r="K862"/>
      <c r="L862"/>
      <c r="M862"/>
      <c r="N862"/>
      <c r="O862"/>
    </row>
    <row r="863" spans="11:15" x14ac:dyDescent="0.25">
      <c r="K863"/>
      <c r="L863"/>
      <c r="M863"/>
      <c r="N863"/>
      <c r="O863"/>
    </row>
    <row r="864" spans="11:15" x14ac:dyDescent="0.25">
      <c r="K864"/>
      <c r="L864"/>
      <c r="M864"/>
      <c r="N864"/>
      <c r="O864"/>
    </row>
    <row r="865" spans="11:15" x14ac:dyDescent="0.25">
      <c r="K865"/>
      <c r="L865"/>
      <c r="M865"/>
      <c r="N865"/>
      <c r="O865"/>
    </row>
    <row r="866" spans="11:15" x14ac:dyDescent="0.25">
      <c r="K866"/>
      <c r="L866"/>
      <c r="M866"/>
      <c r="N866"/>
      <c r="O866"/>
    </row>
    <row r="867" spans="11:15" x14ac:dyDescent="0.25">
      <c r="K867"/>
      <c r="L867"/>
      <c r="M867"/>
      <c r="N867"/>
      <c r="O867"/>
    </row>
    <row r="868" spans="11:15" x14ac:dyDescent="0.25">
      <c r="K868"/>
      <c r="L868"/>
      <c r="M868"/>
      <c r="N868"/>
      <c r="O868"/>
    </row>
    <row r="869" spans="11:15" x14ac:dyDescent="0.25">
      <c r="K869"/>
      <c r="L869"/>
      <c r="M869"/>
      <c r="N869"/>
      <c r="O869"/>
    </row>
    <row r="870" spans="11:15" x14ac:dyDescent="0.25">
      <c r="K870"/>
      <c r="L870"/>
      <c r="M870"/>
      <c r="N870"/>
      <c r="O870"/>
    </row>
    <row r="871" spans="11:15" x14ac:dyDescent="0.25">
      <c r="K871"/>
      <c r="L871"/>
      <c r="M871"/>
      <c r="N871"/>
      <c r="O871"/>
    </row>
    <row r="872" spans="11:15" x14ac:dyDescent="0.25">
      <c r="K872"/>
      <c r="L872"/>
      <c r="M872"/>
      <c r="N872"/>
      <c r="O872"/>
    </row>
    <row r="873" spans="11:15" x14ac:dyDescent="0.25">
      <c r="K873"/>
      <c r="L873"/>
      <c r="M873"/>
      <c r="N873"/>
      <c r="O873"/>
    </row>
    <row r="874" spans="11:15" x14ac:dyDescent="0.25">
      <c r="K874"/>
      <c r="L874"/>
      <c r="M874"/>
      <c r="N874"/>
      <c r="O874"/>
    </row>
    <row r="875" spans="11:15" x14ac:dyDescent="0.25">
      <c r="K875"/>
      <c r="L875"/>
      <c r="M875"/>
      <c r="N875"/>
      <c r="O875"/>
    </row>
    <row r="876" spans="11:15" x14ac:dyDescent="0.25">
      <c r="K876"/>
      <c r="L876"/>
      <c r="M876"/>
      <c r="N876"/>
      <c r="O876"/>
    </row>
    <row r="877" spans="11:15" x14ac:dyDescent="0.25">
      <c r="K877"/>
      <c r="L877"/>
      <c r="M877"/>
      <c r="N877"/>
      <c r="O877"/>
    </row>
    <row r="878" spans="11:15" x14ac:dyDescent="0.25">
      <c r="K878"/>
      <c r="L878"/>
      <c r="M878"/>
      <c r="N878"/>
      <c r="O878"/>
    </row>
    <row r="879" spans="11:15" x14ac:dyDescent="0.25">
      <c r="K879"/>
      <c r="L879"/>
      <c r="M879"/>
      <c r="N879"/>
      <c r="O879"/>
    </row>
    <row r="880" spans="11:15" x14ac:dyDescent="0.25">
      <c r="K880"/>
      <c r="L880"/>
      <c r="M880"/>
      <c r="N880"/>
      <c r="O880"/>
    </row>
    <row r="881" spans="11:15" x14ac:dyDescent="0.25">
      <c r="K881"/>
      <c r="L881"/>
      <c r="M881"/>
      <c r="N881"/>
      <c r="O881"/>
    </row>
    <row r="882" spans="11:15" x14ac:dyDescent="0.25">
      <c r="K882"/>
      <c r="L882"/>
      <c r="M882"/>
      <c r="N882"/>
      <c r="O882"/>
    </row>
    <row r="883" spans="11:15" x14ac:dyDescent="0.25">
      <c r="K883"/>
      <c r="L883"/>
      <c r="M883"/>
      <c r="N883"/>
      <c r="O883"/>
    </row>
    <row r="884" spans="11:15" x14ac:dyDescent="0.25">
      <c r="K884"/>
      <c r="L884"/>
      <c r="M884"/>
      <c r="N884"/>
      <c r="O884"/>
    </row>
    <row r="885" spans="11:15" x14ac:dyDescent="0.25">
      <c r="K885"/>
      <c r="L885"/>
      <c r="M885"/>
      <c r="N885"/>
      <c r="O885"/>
    </row>
    <row r="886" spans="11:15" x14ac:dyDescent="0.25">
      <c r="K886"/>
      <c r="L886"/>
      <c r="M886"/>
      <c r="N886"/>
      <c r="O886"/>
    </row>
    <row r="887" spans="11:15" x14ac:dyDescent="0.25">
      <c r="K887"/>
      <c r="L887"/>
      <c r="M887"/>
      <c r="N887"/>
      <c r="O887"/>
    </row>
    <row r="888" spans="11:15" x14ac:dyDescent="0.25">
      <c r="K888"/>
      <c r="L888"/>
      <c r="M888"/>
      <c r="N888"/>
      <c r="O888"/>
    </row>
    <row r="889" spans="11:15" x14ac:dyDescent="0.25">
      <c r="K889"/>
      <c r="L889"/>
      <c r="M889"/>
      <c r="N889"/>
      <c r="O889"/>
    </row>
    <row r="890" spans="11:15" x14ac:dyDescent="0.25">
      <c r="K890"/>
      <c r="L890"/>
      <c r="M890"/>
      <c r="N890"/>
      <c r="O890"/>
    </row>
    <row r="891" spans="11:15" x14ac:dyDescent="0.25">
      <c r="K891"/>
      <c r="L891"/>
      <c r="M891"/>
      <c r="N891"/>
      <c r="O891"/>
    </row>
    <row r="892" spans="11:15" x14ac:dyDescent="0.25">
      <c r="K892"/>
      <c r="L892"/>
      <c r="M892"/>
      <c r="N892"/>
      <c r="O892"/>
    </row>
    <row r="893" spans="11:15" x14ac:dyDescent="0.25">
      <c r="K893"/>
      <c r="L893"/>
      <c r="M893"/>
      <c r="N893"/>
      <c r="O893"/>
    </row>
    <row r="894" spans="11:15" x14ac:dyDescent="0.25">
      <c r="K894"/>
      <c r="L894"/>
      <c r="M894"/>
      <c r="N894"/>
      <c r="O894"/>
    </row>
    <row r="895" spans="11:15" x14ac:dyDescent="0.25">
      <c r="K895"/>
      <c r="L895"/>
      <c r="M895"/>
      <c r="N895"/>
      <c r="O895"/>
    </row>
    <row r="896" spans="11:15" x14ac:dyDescent="0.25">
      <c r="K896"/>
      <c r="L896"/>
      <c r="M896"/>
      <c r="N896"/>
      <c r="O896"/>
    </row>
    <row r="897" spans="11:15" x14ac:dyDescent="0.25">
      <c r="K897"/>
      <c r="L897"/>
      <c r="M897"/>
      <c r="N897"/>
      <c r="O897"/>
    </row>
    <row r="898" spans="11:15" x14ac:dyDescent="0.25">
      <c r="K898"/>
      <c r="L898"/>
      <c r="M898"/>
      <c r="N898"/>
      <c r="O898"/>
    </row>
    <row r="899" spans="11:15" x14ac:dyDescent="0.25">
      <c r="K899"/>
      <c r="L899"/>
      <c r="M899"/>
      <c r="N899"/>
      <c r="O899"/>
    </row>
    <row r="900" spans="11:15" x14ac:dyDescent="0.25">
      <c r="K900"/>
      <c r="L900"/>
      <c r="M900"/>
      <c r="N900"/>
      <c r="O900"/>
    </row>
    <row r="901" spans="11:15" x14ac:dyDescent="0.25">
      <c r="K901"/>
      <c r="L901"/>
      <c r="M901"/>
      <c r="N901"/>
      <c r="O901"/>
    </row>
    <row r="902" spans="11:15" x14ac:dyDescent="0.25">
      <c r="K902"/>
      <c r="L902"/>
      <c r="M902"/>
      <c r="N902"/>
      <c r="O902"/>
    </row>
    <row r="903" spans="11:15" x14ac:dyDescent="0.25">
      <c r="K903"/>
      <c r="L903"/>
      <c r="M903"/>
      <c r="N903"/>
      <c r="O903"/>
    </row>
    <row r="904" spans="11:15" x14ac:dyDescent="0.25">
      <c r="K904"/>
      <c r="L904"/>
      <c r="M904"/>
      <c r="N904"/>
      <c r="O904"/>
    </row>
    <row r="905" spans="11:15" x14ac:dyDescent="0.25">
      <c r="K905"/>
      <c r="L905"/>
      <c r="M905"/>
      <c r="N905"/>
      <c r="O905"/>
    </row>
    <row r="906" spans="11:15" x14ac:dyDescent="0.25">
      <c r="K906"/>
      <c r="L906"/>
      <c r="M906"/>
      <c r="N906"/>
      <c r="O906"/>
    </row>
    <row r="907" spans="11:15" x14ac:dyDescent="0.25">
      <c r="K907"/>
      <c r="L907"/>
      <c r="M907"/>
      <c r="N907"/>
      <c r="O907"/>
    </row>
    <row r="908" spans="11:15" x14ac:dyDescent="0.25">
      <c r="K908"/>
      <c r="L908"/>
      <c r="M908"/>
      <c r="N908"/>
      <c r="O908"/>
    </row>
    <row r="909" spans="11:15" x14ac:dyDescent="0.25">
      <c r="K909"/>
      <c r="L909"/>
      <c r="M909"/>
      <c r="N909"/>
      <c r="O909"/>
    </row>
    <row r="910" spans="11:15" x14ac:dyDescent="0.25">
      <c r="K910"/>
      <c r="L910"/>
      <c r="M910"/>
      <c r="N910"/>
      <c r="O910"/>
    </row>
    <row r="911" spans="11:15" x14ac:dyDescent="0.25">
      <c r="K911"/>
      <c r="L911"/>
      <c r="M911"/>
      <c r="N911"/>
      <c r="O911"/>
    </row>
    <row r="912" spans="11:15" x14ac:dyDescent="0.25">
      <c r="K912"/>
      <c r="L912"/>
      <c r="M912"/>
      <c r="N912"/>
      <c r="O912"/>
    </row>
    <row r="913" spans="11:15" x14ac:dyDescent="0.25">
      <c r="K913"/>
      <c r="L913"/>
      <c r="M913"/>
      <c r="N913"/>
      <c r="O913"/>
    </row>
    <row r="914" spans="11:15" x14ac:dyDescent="0.25">
      <c r="K914"/>
      <c r="L914"/>
      <c r="M914"/>
      <c r="N914"/>
      <c r="O914"/>
    </row>
    <row r="915" spans="11:15" x14ac:dyDescent="0.25">
      <c r="K915"/>
      <c r="L915"/>
      <c r="M915"/>
      <c r="N915"/>
      <c r="O915"/>
    </row>
    <row r="916" spans="11:15" x14ac:dyDescent="0.25">
      <c r="K916"/>
      <c r="L916"/>
      <c r="M916"/>
      <c r="N916"/>
      <c r="O916"/>
    </row>
    <row r="917" spans="11:15" x14ac:dyDescent="0.25">
      <c r="K917"/>
      <c r="L917"/>
      <c r="M917"/>
      <c r="N917"/>
      <c r="O917"/>
    </row>
    <row r="918" spans="11:15" x14ac:dyDescent="0.25">
      <c r="K918"/>
      <c r="L918"/>
      <c r="M918"/>
      <c r="N918"/>
      <c r="O918"/>
    </row>
    <row r="919" spans="11:15" x14ac:dyDescent="0.25">
      <c r="K919"/>
      <c r="L919"/>
      <c r="M919"/>
      <c r="N919"/>
      <c r="O919"/>
    </row>
    <row r="920" spans="11:15" x14ac:dyDescent="0.25">
      <c r="K920"/>
      <c r="L920"/>
      <c r="M920"/>
      <c r="N920"/>
      <c r="O920"/>
    </row>
    <row r="921" spans="11:15" x14ac:dyDescent="0.25">
      <c r="K921"/>
      <c r="L921"/>
      <c r="M921"/>
      <c r="N921"/>
      <c r="O921"/>
    </row>
    <row r="922" spans="11:15" x14ac:dyDescent="0.25">
      <c r="K922"/>
      <c r="L922"/>
      <c r="M922"/>
      <c r="N922"/>
      <c r="O922"/>
    </row>
    <row r="923" spans="11:15" x14ac:dyDescent="0.25">
      <c r="K923"/>
      <c r="L923"/>
      <c r="M923"/>
      <c r="N923"/>
      <c r="O923"/>
    </row>
    <row r="924" spans="11:15" x14ac:dyDescent="0.25">
      <c r="K924"/>
      <c r="L924"/>
      <c r="M924"/>
      <c r="N924"/>
      <c r="O924"/>
    </row>
    <row r="925" spans="11:15" x14ac:dyDescent="0.25">
      <c r="K925"/>
      <c r="L925"/>
      <c r="M925"/>
      <c r="N925"/>
      <c r="O925"/>
    </row>
    <row r="926" spans="11:15" x14ac:dyDescent="0.25">
      <c r="K926"/>
      <c r="L926"/>
      <c r="M926"/>
      <c r="N926"/>
      <c r="O926"/>
    </row>
    <row r="927" spans="11:15" x14ac:dyDescent="0.25">
      <c r="K927"/>
      <c r="L927"/>
      <c r="M927"/>
      <c r="N927"/>
      <c r="O927"/>
    </row>
    <row r="928" spans="11:15" x14ac:dyDescent="0.25">
      <c r="K928"/>
      <c r="L928"/>
      <c r="M928"/>
      <c r="N928"/>
      <c r="O928"/>
    </row>
    <row r="929" spans="11:15" x14ac:dyDescent="0.25">
      <c r="K929"/>
      <c r="L929"/>
      <c r="M929"/>
      <c r="N929"/>
      <c r="O929"/>
    </row>
    <row r="930" spans="11:15" x14ac:dyDescent="0.25">
      <c r="K930"/>
      <c r="L930"/>
      <c r="M930"/>
      <c r="N930"/>
      <c r="O930"/>
    </row>
    <row r="931" spans="11:15" x14ac:dyDescent="0.25">
      <c r="K931"/>
      <c r="L931"/>
      <c r="M931"/>
      <c r="N931"/>
      <c r="O931"/>
    </row>
    <row r="932" spans="11:15" x14ac:dyDescent="0.25">
      <c r="K932"/>
      <c r="L932"/>
      <c r="M932"/>
      <c r="N932"/>
      <c r="O932"/>
    </row>
    <row r="933" spans="11:15" x14ac:dyDescent="0.25">
      <c r="K933"/>
      <c r="L933"/>
      <c r="M933"/>
      <c r="N933"/>
      <c r="O933"/>
    </row>
    <row r="934" spans="11:15" x14ac:dyDescent="0.25">
      <c r="K934"/>
      <c r="L934"/>
      <c r="M934"/>
      <c r="N934"/>
      <c r="O934"/>
    </row>
    <row r="935" spans="11:15" x14ac:dyDescent="0.25">
      <c r="K935"/>
      <c r="L935"/>
      <c r="M935"/>
      <c r="N935"/>
      <c r="O935"/>
    </row>
    <row r="936" spans="11:15" x14ac:dyDescent="0.25">
      <c r="K936"/>
      <c r="L936"/>
      <c r="M936"/>
      <c r="N936"/>
      <c r="O936"/>
    </row>
    <row r="937" spans="11:15" x14ac:dyDescent="0.25">
      <c r="K937"/>
      <c r="L937"/>
      <c r="M937"/>
      <c r="N937"/>
      <c r="O937"/>
    </row>
    <row r="938" spans="11:15" x14ac:dyDescent="0.25">
      <c r="K938"/>
      <c r="L938"/>
      <c r="M938"/>
      <c r="N938"/>
      <c r="O938"/>
    </row>
    <row r="939" spans="11:15" x14ac:dyDescent="0.25">
      <c r="K939"/>
      <c r="L939"/>
      <c r="M939"/>
      <c r="N939"/>
      <c r="O939"/>
    </row>
    <row r="940" spans="11:15" x14ac:dyDescent="0.25">
      <c r="K940"/>
      <c r="L940"/>
      <c r="M940"/>
      <c r="N940"/>
      <c r="O940"/>
    </row>
    <row r="941" spans="11:15" x14ac:dyDescent="0.25">
      <c r="K941"/>
      <c r="L941"/>
      <c r="M941"/>
      <c r="N941"/>
      <c r="O941"/>
    </row>
    <row r="942" spans="11:15" x14ac:dyDescent="0.25">
      <c r="K942"/>
      <c r="L942"/>
      <c r="M942"/>
      <c r="N942"/>
      <c r="O942"/>
    </row>
    <row r="943" spans="11:15" x14ac:dyDescent="0.25">
      <c r="K943"/>
      <c r="L943"/>
      <c r="M943"/>
      <c r="N943"/>
      <c r="O943"/>
    </row>
    <row r="944" spans="11:15" x14ac:dyDescent="0.25">
      <c r="K944"/>
      <c r="L944"/>
      <c r="M944"/>
      <c r="N944"/>
      <c r="O944"/>
    </row>
    <row r="945" spans="11:15" x14ac:dyDescent="0.25">
      <c r="K945"/>
      <c r="L945"/>
      <c r="M945"/>
      <c r="N945"/>
      <c r="O945"/>
    </row>
    <row r="946" spans="11:15" x14ac:dyDescent="0.25">
      <c r="K946"/>
      <c r="L946"/>
      <c r="M946"/>
      <c r="N946"/>
      <c r="O946"/>
    </row>
    <row r="947" spans="11:15" x14ac:dyDescent="0.25">
      <c r="K947"/>
      <c r="L947"/>
      <c r="M947"/>
      <c r="N947"/>
      <c r="O947"/>
    </row>
    <row r="948" spans="11:15" x14ac:dyDescent="0.25">
      <c r="K948"/>
      <c r="L948"/>
      <c r="M948"/>
      <c r="N948"/>
      <c r="O948"/>
    </row>
    <row r="949" spans="11:15" x14ac:dyDescent="0.25">
      <c r="K949"/>
      <c r="L949"/>
      <c r="M949"/>
      <c r="N949"/>
      <c r="O949"/>
    </row>
    <row r="950" spans="11:15" x14ac:dyDescent="0.25">
      <c r="K950"/>
      <c r="L950"/>
      <c r="M950"/>
      <c r="N950"/>
      <c r="O950"/>
    </row>
    <row r="951" spans="11:15" x14ac:dyDescent="0.25">
      <c r="K951"/>
      <c r="L951"/>
      <c r="M951"/>
      <c r="N951"/>
      <c r="O951"/>
    </row>
    <row r="952" spans="11:15" x14ac:dyDescent="0.25">
      <c r="K952"/>
      <c r="L952"/>
      <c r="M952"/>
      <c r="N952"/>
      <c r="O952"/>
    </row>
    <row r="953" spans="11:15" x14ac:dyDescent="0.25">
      <c r="K953"/>
      <c r="L953"/>
      <c r="M953"/>
      <c r="N953"/>
      <c r="O953"/>
    </row>
    <row r="954" spans="11:15" x14ac:dyDescent="0.25">
      <c r="K954"/>
      <c r="L954"/>
      <c r="M954"/>
      <c r="N954"/>
      <c r="O954"/>
    </row>
    <row r="955" spans="11:15" x14ac:dyDescent="0.25">
      <c r="K955"/>
      <c r="L955"/>
      <c r="M955"/>
      <c r="N955"/>
      <c r="O955"/>
    </row>
    <row r="956" spans="11:15" x14ac:dyDescent="0.25">
      <c r="K956"/>
      <c r="L956"/>
      <c r="M956"/>
      <c r="N956"/>
      <c r="O956"/>
    </row>
    <row r="957" spans="11:15" x14ac:dyDescent="0.25">
      <c r="K957"/>
      <c r="L957"/>
      <c r="M957"/>
      <c r="N957"/>
      <c r="O957"/>
    </row>
    <row r="958" spans="11:15" x14ac:dyDescent="0.25">
      <c r="K958"/>
      <c r="L958"/>
      <c r="M958"/>
      <c r="N958"/>
      <c r="O958"/>
    </row>
    <row r="959" spans="11:15" x14ac:dyDescent="0.25">
      <c r="K959"/>
      <c r="L959"/>
      <c r="M959"/>
      <c r="N959"/>
      <c r="O959"/>
    </row>
    <row r="960" spans="11:15" x14ac:dyDescent="0.25">
      <c r="K960"/>
      <c r="L960"/>
      <c r="M960"/>
      <c r="N960"/>
      <c r="O960"/>
    </row>
    <row r="961" spans="11:15" x14ac:dyDescent="0.25">
      <c r="K961"/>
      <c r="L961"/>
      <c r="M961"/>
      <c r="N961"/>
      <c r="O961"/>
    </row>
    <row r="962" spans="11:15" x14ac:dyDescent="0.25">
      <c r="K962"/>
      <c r="L962"/>
      <c r="M962"/>
      <c r="N962"/>
      <c r="O962"/>
    </row>
    <row r="963" spans="11:15" x14ac:dyDescent="0.25">
      <c r="K963"/>
      <c r="L963"/>
      <c r="M963"/>
      <c r="N963"/>
      <c r="O963"/>
    </row>
    <row r="964" spans="11:15" x14ac:dyDescent="0.25">
      <c r="K964"/>
      <c r="L964"/>
      <c r="M964"/>
      <c r="N964"/>
      <c r="O964"/>
    </row>
    <row r="965" spans="11:15" x14ac:dyDescent="0.25">
      <c r="K965"/>
      <c r="L965"/>
      <c r="M965"/>
      <c r="N965"/>
      <c r="O965"/>
    </row>
    <row r="966" spans="11:15" x14ac:dyDescent="0.25">
      <c r="K966"/>
      <c r="L966"/>
      <c r="M966"/>
      <c r="N966"/>
      <c r="O966"/>
    </row>
    <row r="967" spans="11:15" x14ac:dyDescent="0.25">
      <c r="K967"/>
      <c r="L967"/>
      <c r="M967"/>
      <c r="N967"/>
      <c r="O967"/>
    </row>
    <row r="968" spans="11:15" x14ac:dyDescent="0.25">
      <c r="K968"/>
      <c r="L968"/>
      <c r="M968"/>
      <c r="N968"/>
      <c r="O968"/>
    </row>
    <row r="969" spans="11:15" x14ac:dyDescent="0.25">
      <c r="K969"/>
      <c r="L969"/>
      <c r="M969"/>
      <c r="N969"/>
      <c r="O969"/>
    </row>
    <row r="970" spans="11:15" x14ac:dyDescent="0.25">
      <c r="K970"/>
      <c r="L970"/>
      <c r="M970"/>
      <c r="N970"/>
      <c r="O970"/>
    </row>
    <row r="971" spans="11:15" x14ac:dyDescent="0.25">
      <c r="K971"/>
      <c r="L971"/>
      <c r="M971"/>
      <c r="N971"/>
      <c r="O971"/>
    </row>
    <row r="972" spans="11:15" x14ac:dyDescent="0.25">
      <c r="K972"/>
      <c r="L972"/>
      <c r="M972"/>
      <c r="N972"/>
      <c r="O972"/>
    </row>
    <row r="973" spans="11:15" x14ac:dyDescent="0.25">
      <c r="K973"/>
      <c r="L973"/>
      <c r="M973"/>
      <c r="N973"/>
      <c r="O973"/>
    </row>
    <row r="974" spans="11:15" x14ac:dyDescent="0.25">
      <c r="K974"/>
      <c r="L974"/>
      <c r="M974"/>
      <c r="N974"/>
      <c r="O974"/>
    </row>
    <row r="975" spans="11:15" x14ac:dyDescent="0.25">
      <c r="K975"/>
      <c r="L975"/>
      <c r="M975"/>
      <c r="N975"/>
      <c r="O975"/>
    </row>
    <row r="976" spans="11:15" x14ac:dyDescent="0.25">
      <c r="K976"/>
      <c r="L976"/>
      <c r="M976"/>
      <c r="N976"/>
      <c r="O976"/>
    </row>
    <row r="977" spans="11:15" x14ac:dyDescent="0.25">
      <c r="K977"/>
      <c r="L977"/>
      <c r="M977"/>
      <c r="N977"/>
      <c r="O977"/>
    </row>
    <row r="978" spans="11:15" x14ac:dyDescent="0.25">
      <c r="K978"/>
      <c r="L978"/>
      <c r="M978"/>
      <c r="N978"/>
      <c r="O978"/>
    </row>
    <row r="979" spans="11:15" x14ac:dyDescent="0.25">
      <c r="K979"/>
      <c r="L979"/>
      <c r="M979"/>
      <c r="N979"/>
      <c r="O979"/>
    </row>
    <row r="980" spans="11:15" x14ac:dyDescent="0.25">
      <c r="K980"/>
      <c r="L980"/>
      <c r="M980"/>
      <c r="N980"/>
      <c r="O980"/>
    </row>
    <row r="981" spans="11:15" x14ac:dyDescent="0.25">
      <c r="K981"/>
      <c r="L981"/>
      <c r="M981"/>
      <c r="N981"/>
      <c r="O981"/>
    </row>
    <row r="982" spans="11:15" x14ac:dyDescent="0.25">
      <c r="K982"/>
      <c r="L982"/>
      <c r="M982"/>
      <c r="N982"/>
      <c r="O982"/>
    </row>
    <row r="983" spans="11:15" x14ac:dyDescent="0.25">
      <c r="K983"/>
      <c r="L983"/>
      <c r="M983"/>
      <c r="N983"/>
      <c r="O983"/>
    </row>
    <row r="984" spans="11:15" x14ac:dyDescent="0.25">
      <c r="K984"/>
      <c r="L984"/>
      <c r="M984"/>
      <c r="N984"/>
      <c r="O984"/>
    </row>
    <row r="985" spans="11:15" x14ac:dyDescent="0.25">
      <c r="K985"/>
      <c r="L985"/>
      <c r="M985"/>
      <c r="N985"/>
      <c r="O985"/>
    </row>
    <row r="986" spans="11:15" x14ac:dyDescent="0.25">
      <c r="K986"/>
      <c r="L986"/>
      <c r="M986"/>
      <c r="N986"/>
      <c r="O986"/>
    </row>
    <row r="987" spans="11:15" x14ac:dyDescent="0.25">
      <c r="K987"/>
      <c r="L987"/>
      <c r="M987"/>
      <c r="N987"/>
      <c r="O987"/>
    </row>
    <row r="988" spans="11:15" x14ac:dyDescent="0.25">
      <c r="K988"/>
      <c r="L988"/>
      <c r="M988"/>
      <c r="N988"/>
      <c r="O988"/>
    </row>
    <row r="989" spans="11:15" x14ac:dyDescent="0.25">
      <c r="K989"/>
      <c r="L989"/>
      <c r="M989"/>
      <c r="N989"/>
      <c r="O989"/>
    </row>
    <row r="990" spans="11:15" x14ac:dyDescent="0.25">
      <c r="K990"/>
      <c r="L990"/>
      <c r="M990"/>
      <c r="N990"/>
      <c r="O990"/>
    </row>
    <row r="991" spans="11:15" x14ac:dyDescent="0.25">
      <c r="K991"/>
      <c r="L991"/>
      <c r="M991"/>
      <c r="N991"/>
      <c r="O991"/>
    </row>
    <row r="992" spans="11:15" x14ac:dyDescent="0.25">
      <c r="K992"/>
      <c r="L992"/>
      <c r="M992"/>
      <c r="N992"/>
      <c r="O992"/>
    </row>
    <row r="993" spans="11:15" x14ac:dyDescent="0.25">
      <c r="K993"/>
      <c r="L993"/>
      <c r="M993"/>
      <c r="N993"/>
      <c r="O993"/>
    </row>
    <row r="994" spans="11:15" x14ac:dyDescent="0.25">
      <c r="K994"/>
      <c r="L994"/>
      <c r="M994"/>
      <c r="N994"/>
      <c r="O994"/>
    </row>
    <row r="995" spans="11:15" x14ac:dyDescent="0.25">
      <c r="K995"/>
      <c r="L995"/>
      <c r="M995"/>
      <c r="N995"/>
      <c r="O995"/>
    </row>
    <row r="996" spans="11:15" x14ac:dyDescent="0.25">
      <c r="K996"/>
      <c r="L996"/>
      <c r="M996"/>
      <c r="N996"/>
      <c r="O996"/>
    </row>
    <row r="997" spans="11:15" x14ac:dyDescent="0.25">
      <c r="K997"/>
      <c r="L997"/>
      <c r="M997"/>
      <c r="N997"/>
      <c r="O997"/>
    </row>
    <row r="998" spans="11:15" x14ac:dyDescent="0.25">
      <c r="K998"/>
      <c r="L998"/>
      <c r="M998"/>
      <c r="N998"/>
      <c r="O998"/>
    </row>
    <row r="999" spans="11:15" x14ac:dyDescent="0.25">
      <c r="K999"/>
      <c r="L999"/>
      <c r="M999"/>
      <c r="N999"/>
      <c r="O999"/>
    </row>
    <row r="1000" spans="11:15" x14ac:dyDescent="0.25">
      <c r="K1000"/>
      <c r="L1000"/>
      <c r="M1000"/>
      <c r="N1000"/>
      <c r="O1000"/>
    </row>
    <row r="1001" spans="11:15" x14ac:dyDescent="0.25">
      <c r="K1001"/>
      <c r="L1001"/>
      <c r="M1001"/>
      <c r="N1001"/>
      <c r="O1001"/>
    </row>
    <row r="1002" spans="11:15" x14ac:dyDescent="0.25">
      <c r="K1002"/>
      <c r="L1002"/>
      <c r="M1002"/>
      <c r="N1002"/>
      <c r="O1002"/>
    </row>
    <row r="1003" spans="11:15" x14ac:dyDescent="0.25">
      <c r="K1003"/>
      <c r="L1003"/>
      <c r="M1003"/>
      <c r="N1003"/>
      <c r="O1003"/>
    </row>
    <row r="1004" spans="11:15" x14ac:dyDescent="0.25">
      <c r="K1004"/>
      <c r="L1004"/>
      <c r="M1004"/>
      <c r="N1004"/>
      <c r="O1004"/>
    </row>
    <row r="1005" spans="11:15" x14ac:dyDescent="0.25">
      <c r="K1005"/>
      <c r="L1005"/>
      <c r="M1005"/>
      <c r="N1005"/>
      <c r="O1005"/>
    </row>
    <row r="1006" spans="11:15" x14ac:dyDescent="0.25">
      <c r="K1006"/>
      <c r="L1006"/>
      <c r="M1006"/>
      <c r="N1006"/>
      <c r="O1006"/>
    </row>
    <row r="1007" spans="11:15" x14ac:dyDescent="0.25">
      <c r="K1007"/>
      <c r="L1007"/>
      <c r="M1007"/>
      <c r="N1007"/>
      <c r="O1007"/>
    </row>
    <row r="1008" spans="11:15" x14ac:dyDescent="0.25">
      <c r="K1008"/>
      <c r="L1008"/>
      <c r="M1008"/>
      <c r="N1008"/>
      <c r="O1008"/>
    </row>
    <row r="1009" spans="11:15" x14ac:dyDescent="0.25">
      <c r="K1009"/>
      <c r="L1009"/>
      <c r="M1009"/>
      <c r="N1009"/>
      <c r="O1009"/>
    </row>
    <row r="1010" spans="11:15" x14ac:dyDescent="0.25">
      <c r="K1010"/>
      <c r="L1010"/>
      <c r="M1010"/>
      <c r="N1010"/>
      <c r="O1010"/>
    </row>
    <row r="1011" spans="11:15" x14ac:dyDescent="0.25">
      <c r="K1011"/>
      <c r="L1011"/>
      <c r="M1011"/>
      <c r="N1011"/>
      <c r="O1011"/>
    </row>
    <row r="1012" spans="11:15" x14ac:dyDescent="0.25">
      <c r="K1012"/>
      <c r="L1012"/>
      <c r="M1012"/>
      <c r="N1012"/>
      <c r="O1012"/>
    </row>
    <row r="1013" spans="11:15" x14ac:dyDescent="0.25">
      <c r="K1013"/>
      <c r="L1013"/>
      <c r="M1013"/>
      <c r="N1013"/>
      <c r="O1013"/>
    </row>
    <row r="1014" spans="11:15" x14ac:dyDescent="0.25">
      <c r="K1014"/>
      <c r="L1014"/>
      <c r="M1014"/>
      <c r="N1014"/>
      <c r="O1014"/>
    </row>
    <row r="1015" spans="11:15" x14ac:dyDescent="0.25">
      <c r="K1015"/>
      <c r="L1015"/>
      <c r="M1015"/>
      <c r="N1015"/>
      <c r="O1015"/>
    </row>
    <row r="1016" spans="11:15" x14ac:dyDescent="0.25">
      <c r="K1016"/>
      <c r="L1016"/>
      <c r="M1016"/>
      <c r="N1016"/>
      <c r="O1016"/>
    </row>
    <row r="1017" spans="11:15" x14ac:dyDescent="0.25">
      <c r="K1017"/>
      <c r="L1017"/>
      <c r="M1017"/>
      <c r="N1017"/>
      <c r="O1017"/>
    </row>
    <row r="1018" spans="11:15" x14ac:dyDescent="0.25">
      <c r="K1018"/>
      <c r="L1018"/>
      <c r="M1018"/>
      <c r="N1018"/>
      <c r="O1018"/>
    </row>
    <row r="1019" spans="11:15" x14ac:dyDescent="0.25">
      <c r="K1019"/>
      <c r="L1019"/>
      <c r="M1019"/>
      <c r="N1019"/>
      <c r="O1019"/>
    </row>
    <row r="1020" spans="11:15" x14ac:dyDescent="0.25">
      <c r="K1020"/>
      <c r="L1020"/>
      <c r="M1020"/>
      <c r="N1020"/>
      <c r="O1020"/>
    </row>
    <row r="1021" spans="11:15" x14ac:dyDescent="0.25">
      <c r="K1021"/>
      <c r="L1021"/>
      <c r="M1021"/>
      <c r="N1021"/>
      <c r="O1021"/>
    </row>
    <row r="1022" spans="11:15" x14ac:dyDescent="0.25">
      <c r="K1022"/>
      <c r="L1022"/>
      <c r="M1022"/>
      <c r="N1022"/>
      <c r="O1022"/>
    </row>
    <row r="1023" spans="11:15" x14ac:dyDescent="0.25">
      <c r="K1023"/>
      <c r="L1023"/>
      <c r="M1023"/>
      <c r="N1023"/>
      <c r="O1023"/>
    </row>
    <row r="1024" spans="11:15" x14ac:dyDescent="0.25">
      <c r="K1024"/>
      <c r="L1024"/>
      <c r="M1024"/>
      <c r="N1024"/>
      <c r="O1024"/>
    </row>
    <row r="1025" spans="11:15" x14ac:dyDescent="0.25">
      <c r="K1025"/>
      <c r="L1025"/>
      <c r="M1025"/>
      <c r="N1025"/>
      <c r="O1025"/>
    </row>
    <row r="1026" spans="11:15" x14ac:dyDescent="0.25">
      <c r="K1026"/>
      <c r="L1026"/>
      <c r="M1026"/>
      <c r="N1026"/>
      <c r="O1026"/>
    </row>
    <row r="1027" spans="11:15" x14ac:dyDescent="0.25">
      <c r="K1027"/>
      <c r="L1027"/>
      <c r="M1027"/>
      <c r="N1027"/>
      <c r="O1027"/>
    </row>
    <row r="1028" spans="11:15" x14ac:dyDescent="0.25">
      <c r="K1028"/>
      <c r="L1028"/>
      <c r="M1028"/>
      <c r="N1028"/>
      <c r="O1028"/>
    </row>
    <row r="1029" spans="11:15" x14ac:dyDescent="0.25">
      <c r="K1029"/>
      <c r="L1029"/>
      <c r="M1029"/>
      <c r="N1029"/>
      <c r="O1029"/>
    </row>
    <row r="1030" spans="11:15" x14ac:dyDescent="0.25">
      <c r="K1030"/>
      <c r="L1030"/>
      <c r="M1030"/>
      <c r="N1030"/>
      <c r="O1030"/>
    </row>
    <row r="1031" spans="11:15" x14ac:dyDescent="0.25">
      <c r="K1031"/>
      <c r="L1031"/>
      <c r="M1031"/>
      <c r="N1031"/>
      <c r="O1031"/>
    </row>
    <row r="1032" spans="11:15" x14ac:dyDescent="0.25">
      <c r="K1032"/>
      <c r="L1032"/>
      <c r="M1032"/>
      <c r="N1032"/>
      <c r="O1032"/>
    </row>
    <row r="1033" spans="11:15" x14ac:dyDescent="0.25">
      <c r="K1033"/>
      <c r="L1033"/>
      <c r="M1033"/>
      <c r="N1033"/>
      <c r="O1033"/>
    </row>
    <row r="1034" spans="11:15" x14ac:dyDescent="0.25">
      <c r="K1034"/>
      <c r="L1034"/>
      <c r="M1034"/>
      <c r="N1034"/>
      <c r="O1034"/>
    </row>
    <row r="1035" spans="11:15" x14ac:dyDescent="0.25">
      <c r="K1035"/>
      <c r="L1035"/>
      <c r="M1035"/>
      <c r="N1035"/>
      <c r="O1035"/>
    </row>
    <row r="1036" spans="11:15" x14ac:dyDescent="0.25">
      <c r="K1036"/>
      <c r="L1036"/>
      <c r="M1036"/>
      <c r="N1036"/>
      <c r="O1036"/>
    </row>
    <row r="1037" spans="11:15" x14ac:dyDescent="0.25">
      <c r="K1037"/>
      <c r="L1037"/>
      <c r="M1037"/>
      <c r="N1037"/>
      <c r="O1037"/>
    </row>
    <row r="1038" spans="11:15" x14ac:dyDescent="0.25">
      <c r="K1038"/>
      <c r="L1038"/>
      <c r="M1038"/>
      <c r="N1038"/>
      <c r="O1038"/>
    </row>
    <row r="1039" spans="11:15" x14ac:dyDescent="0.25">
      <c r="K1039"/>
      <c r="L1039"/>
      <c r="M1039"/>
      <c r="N1039"/>
      <c r="O1039"/>
    </row>
    <row r="1040" spans="11:15" x14ac:dyDescent="0.25">
      <c r="K1040"/>
      <c r="L1040"/>
      <c r="M1040"/>
      <c r="N1040"/>
      <c r="O1040"/>
    </row>
    <row r="1041" spans="11:15" x14ac:dyDescent="0.25">
      <c r="K1041"/>
      <c r="L1041"/>
      <c r="M1041"/>
      <c r="N1041"/>
      <c r="O1041"/>
    </row>
    <row r="1042" spans="11:15" x14ac:dyDescent="0.25">
      <c r="K1042"/>
      <c r="L1042"/>
      <c r="M1042"/>
      <c r="N1042"/>
      <c r="O1042"/>
    </row>
    <row r="1043" spans="11:15" x14ac:dyDescent="0.25">
      <c r="K1043"/>
      <c r="L1043"/>
      <c r="M1043"/>
      <c r="N1043"/>
      <c r="O1043"/>
    </row>
    <row r="1044" spans="11:15" x14ac:dyDescent="0.25">
      <c r="K1044"/>
      <c r="L1044"/>
      <c r="M1044"/>
      <c r="N1044"/>
      <c r="O1044"/>
    </row>
    <row r="1045" spans="11:15" x14ac:dyDescent="0.25">
      <c r="K1045"/>
      <c r="L1045"/>
      <c r="M1045"/>
      <c r="N1045"/>
      <c r="O1045"/>
    </row>
    <row r="1046" spans="11:15" x14ac:dyDescent="0.25">
      <c r="K1046"/>
      <c r="L1046"/>
      <c r="M1046"/>
      <c r="N1046"/>
      <c r="O1046"/>
    </row>
    <row r="1047" spans="11:15" x14ac:dyDescent="0.25">
      <c r="K1047"/>
      <c r="L1047"/>
      <c r="M1047"/>
      <c r="N1047"/>
      <c r="O1047"/>
    </row>
    <row r="1048" spans="11:15" x14ac:dyDescent="0.25">
      <c r="K1048"/>
      <c r="L1048"/>
      <c r="M1048"/>
      <c r="N1048"/>
      <c r="O1048"/>
    </row>
    <row r="1049" spans="11:15" x14ac:dyDescent="0.25">
      <c r="K1049"/>
      <c r="L1049"/>
      <c r="M1049"/>
      <c r="N1049"/>
      <c r="O1049"/>
    </row>
    <row r="1050" spans="11:15" x14ac:dyDescent="0.25">
      <c r="K1050"/>
      <c r="L1050"/>
      <c r="M1050"/>
      <c r="N1050"/>
      <c r="O1050"/>
    </row>
    <row r="1051" spans="11:15" x14ac:dyDescent="0.25">
      <c r="K1051"/>
      <c r="L1051"/>
      <c r="M1051"/>
      <c r="N1051"/>
      <c r="O1051"/>
    </row>
    <row r="1052" spans="11:15" x14ac:dyDescent="0.25">
      <c r="K1052"/>
      <c r="L1052"/>
      <c r="M1052"/>
      <c r="N1052"/>
      <c r="O1052"/>
    </row>
    <row r="1053" spans="11:15" x14ac:dyDescent="0.25">
      <c r="K1053"/>
      <c r="L1053"/>
      <c r="M1053"/>
      <c r="N1053"/>
      <c r="O1053"/>
    </row>
    <row r="1054" spans="11:15" x14ac:dyDescent="0.25">
      <c r="K1054"/>
      <c r="L1054"/>
      <c r="M1054"/>
      <c r="N1054"/>
      <c r="O1054"/>
    </row>
    <row r="1055" spans="11:15" x14ac:dyDescent="0.25">
      <c r="K1055"/>
      <c r="L1055"/>
      <c r="M1055"/>
      <c r="N1055"/>
      <c r="O1055"/>
    </row>
    <row r="1056" spans="11:15" x14ac:dyDescent="0.25">
      <c r="K1056"/>
      <c r="L1056"/>
      <c r="M1056"/>
      <c r="N1056"/>
      <c r="O1056"/>
    </row>
    <row r="1057" spans="11:15" x14ac:dyDescent="0.25">
      <c r="K1057"/>
      <c r="L1057"/>
      <c r="M1057"/>
      <c r="N1057"/>
      <c r="O1057"/>
    </row>
    <row r="1058" spans="11:15" x14ac:dyDescent="0.25">
      <c r="K1058"/>
      <c r="L1058"/>
      <c r="M1058"/>
      <c r="N1058"/>
      <c r="O1058"/>
    </row>
    <row r="1059" spans="11:15" x14ac:dyDescent="0.25">
      <c r="K1059"/>
      <c r="L1059"/>
      <c r="M1059"/>
      <c r="N1059"/>
      <c r="O1059"/>
    </row>
    <row r="1060" spans="11:15" x14ac:dyDescent="0.25">
      <c r="K1060"/>
      <c r="L1060"/>
      <c r="M1060"/>
      <c r="N1060"/>
      <c r="O1060"/>
    </row>
    <row r="1061" spans="11:15" x14ac:dyDescent="0.25">
      <c r="K1061"/>
      <c r="L1061"/>
      <c r="M1061"/>
      <c r="N1061"/>
      <c r="O1061"/>
    </row>
    <row r="1062" spans="11:15" x14ac:dyDescent="0.25">
      <c r="K1062"/>
      <c r="L1062"/>
      <c r="M1062"/>
      <c r="N1062"/>
      <c r="O1062"/>
    </row>
    <row r="1063" spans="11:15" x14ac:dyDescent="0.25">
      <c r="K1063"/>
      <c r="L1063"/>
      <c r="M1063"/>
      <c r="N1063"/>
      <c r="O1063"/>
    </row>
  </sheetData>
  <sheetProtection sheet="1" objects="1" scenarios="1"/>
  <autoFilter ref="G25:G115" xr:uid="{00000000-0009-0000-0000-000006000000}"/>
  <pageMargins left="0.70866141732283472" right="0.51181102362204722" top="0.55118110236220474" bottom="0.55118110236220474" header="0.31496062992125984" footer="0.31496062992125984"/>
  <pageSetup paperSize="9" orientation="portrait" r:id="rId1"/>
  <colBreaks count="2" manualBreakCount="2">
    <brk id="9" max="1048575" man="1"/>
    <brk id="15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961" r:id="rId4" name="Drop Down 1">
              <controlPr defaultSize="0" print="0" autoLine="0" autoPict="0">
                <anchor moveWithCells="1">
                  <from>
                    <xdr:col>6</xdr:col>
                    <xdr:colOff>171450</xdr:colOff>
                    <xdr:row>13</xdr:row>
                    <xdr:rowOff>180975</xdr:rowOff>
                  </from>
                  <to>
                    <xdr:col>9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62" r:id="rId5" name="Check Box 2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13</xdr:row>
                    <xdr:rowOff>161925</xdr:rowOff>
                  </from>
                  <to>
                    <xdr:col>5</xdr:col>
                    <xdr:colOff>981075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63" r:id="rId6" name="Check Box 3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14</xdr:row>
                    <xdr:rowOff>161925</xdr:rowOff>
                  </from>
                  <to>
                    <xdr:col>5</xdr:col>
                    <xdr:colOff>981075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64" r:id="rId7" name="Drop Down 4">
              <controlPr defaultSize="0" print="0" autoLine="0" autoPict="0">
                <anchor moveWithCells="1">
                  <from>
                    <xdr:col>6</xdr:col>
                    <xdr:colOff>171450</xdr:colOff>
                    <xdr:row>15</xdr:row>
                    <xdr:rowOff>0</xdr:rowOff>
                  </from>
                  <to>
                    <xdr:col>9</xdr:col>
                    <xdr:colOff>9525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65" r:id="rId8" name="Check Box 5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15</xdr:row>
                    <xdr:rowOff>161925</xdr:rowOff>
                  </from>
                  <to>
                    <xdr:col>5</xdr:col>
                    <xdr:colOff>981075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66" r:id="rId9" name="Check Box 6">
              <controlPr defaultSize="0" print="0" autoFill="0" autoLine="0" autoPict="0">
                <anchor moveWithCells="1">
                  <from>
                    <xdr:col>6</xdr:col>
                    <xdr:colOff>161925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49"/>
  <dimension ref="A1:P1063"/>
  <sheetViews>
    <sheetView showGridLines="0" topLeftCell="A7" zoomScale="85" zoomScaleNormal="85" workbookViewId="0">
      <selection activeCell="C4" sqref="C4"/>
    </sheetView>
  </sheetViews>
  <sheetFormatPr defaultRowHeight="15" x14ac:dyDescent="0.25"/>
  <cols>
    <col min="1" max="1" width="2.7109375" style="1" customWidth="1"/>
    <col min="2" max="2" width="5.28515625" style="1" customWidth="1"/>
    <col min="3" max="3" width="9" style="1" customWidth="1"/>
    <col min="4" max="5" width="14.28515625" style="1" customWidth="1"/>
    <col min="6" max="6" width="14.85546875" style="1" customWidth="1"/>
    <col min="7" max="7" width="2.7109375" style="1" customWidth="1"/>
    <col min="8" max="8" width="9" style="1" customWidth="1"/>
    <col min="9" max="9" width="12.5703125" style="1" customWidth="1"/>
    <col min="10" max="10" width="2.7109375" style="1" customWidth="1"/>
    <col min="11" max="11" width="9.42578125" style="1" bestFit="1" customWidth="1"/>
    <col min="12" max="12" width="9" style="1" customWidth="1"/>
    <col min="13" max="13" width="14.28515625" style="1" customWidth="1"/>
    <col min="14" max="14" width="39.140625" style="1" bestFit="1" customWidth="1"/>
    <col min="15" max="15" width="8.28515625" style="1" bestFit="1" customWidth="1"/>
    <col min="16" max="16" width="2.7109375" style="1" customWidth="1"/>
    <col min="17" max="17" width="87.140625" style="1" customWidth="1"/>
    <col min="18" max="16384" width="9.140625" style="1"/>
  </cols>
  <sheetData>
    <row r="1" spans="2:16" x14ac:dyDescent="0.25">
      <c r="B1" s="2" t="s">
        <v>3</v>
      </c>
      <c r="H1" s="38" t="s">
        <v>19</v>
      </c>
      <c r="I1" s="15"/>
      <c r="K1" s="12" t="s">
        <v>4</v>
      </c>
      <c r="L1" s="13"/>
      <c r="M1" s="12"/>
      <c r="N1" s="13"/>
      <c r="O1" s="14">
        <f>O3/(L3+O3)</f>
        <v>8.8720147932486136E-3</v>
      </c>
    </row>
    <row r="2" spans="2:16" ht="33" customHeight="1" x14ac:dyDescent="0.25">
      <c r="B2" s="3" t="str">
        <f>B24</f>
        <v>№</v>
      </c>
      <c r="C2" s="3" t="s">
        <v>1</v>
      </c>
      <c r="D2" s="3" t="s">
        <v>0</v>
      </c>
      <c r="E2" s="3" t="s">
        <v>10</v>
      </c>
      <c r="F2" s="4" t="s">
        <v>12</v>
      </c>
      <c r="H2" s="3" t="s">
        <v>1</v>
      </c>
      <c r="I2" s="3" t="s">
        <v>0</v>
      </c>
      <c r="K2" s="5" t="s">
        <v>1</v>
      </c>
      <c r="L2" s="5" t="s">
        <v>6</v>
      </c>
      <c r="M2" s="6" t="s">
        <v>11</v>
      </c>
      <c r="N2" s="5" t="s">
        <v>7</v>
      </c>
      <c r="O2" s="6" t="str">
        <f>"Отходы
"&amp;IF((L3+O3)&gt;0,TEXT(O3/(L3+O3),"0,00%"),"")</f>
        <v>Отходы
001%</v>
      </c>
    </row>
    <row r="3" spans="2:16" x14ac:dyDescent="0.25">
      <c r="B3" s="27"/>
      <c r="C3" s="27">
        <f>IF(COUNT(C4:C13)=COUNT(D4:D13),SUMPRODUCT(C4:C13,D4:D13),)</f>
        <v>101668</v>
      </c>
      <c r="D3" s="23">
        <f>IF(COUNT(C4:C13)=COUNT(D4:D13),SUM(D4:D13),"много")</f>
        <v>20</v>
      </c>
      <c r="E3" s="23">
        <f>SUM(E4:E13)</f>
        <v>20</v>
      </c>
      <c r="F3" s="23">
        <f>IF(D3="много","много",D3-E3)</f>
        <v>0</v>
      </c>
      <c r="H3" s="27">
        <f>SUMPRODUCT(H4:H13,I4:I13)</f>
        <v>0</v>
      </c>
      <c r="I3" s="23">
        <f>IF(COUNT(H4:H13)=COUNT(I4:I13),SUM(I4:I13),"много")</f>
        <v>0</v>
      </c>
      <c r="K3" s="31">
        <f>SUMPRODUCT(K4:K1060,$M4:$M1060)</f>
        <v>101668</v>
      </c>
      <c r="L3" s="31">
        <f>SUMPRODUCT(L4:L1060,$M4:$M1060)</f>
        <v>100766</v>
      </c>
      <c r="M3" s="32">
        <f>SUM(M4:M1060)</f>
        <v>20</v>
      </c>
      <c r="N3" s="33"/>
      <c r="O3" s="31">
        <f t="array" ref="O3">SUM(IF((O4:O1060&lt;D17)+(D17=0),$M4:$M1060*O4:O1060))</f>
        <v>902</v>
      </c>
    </row>
    <row r="4" spans="2:16" x14ac:dyDescent="0.25">
      <c r="B4" s="36">
        <f>IF(N(C4)=0,"",1)</f>
        <v>1</v>
      </c>
      <c r="C4" s="48">
        <v>6000</v>
      </c>
      <c r="D4" s="9">
        <v>15</v>
      </c>
      <c r="E4" s="28">
        <f t="shared" ref="E4:E13" si="0">MIN(SUMIF(K$4:K$1060,C4,M$4:M$1060),D4)</f>
        <v>15</v>
      </c>
      <c r="F4" s="28">
        <f>IF(D4,D4-E4,)</f>
        <v>0</v>
      </c>
      <c r="H4" s="51"/>
      <c r="I4" s="41"/>
      <c r="K4" s="66">
        <v>6000</v>
      </c>
      <c r="L4" s="65">
        <v>6000</v>
      </c>
      <c r="M4" s="72">
        <v>1</v>
      </c>
      <c r="N4" s="69" t="s">
        <v>200</v>
      </c>
      <c r="O4" s="65">
        <f t="shared" ref="O4:O19" si="1">K4-L4</f>
        <v>0</v>
      </c>
    </row>
    <row r="5" spans="2:16" x14ac:dyDescent="0.25">
      <c r="B5" s="34">
        <f>IF(N(C5)=0,"",IF(ISNUMBER(MATCH(C5,C$4:C4,)),INDEX(B$4:B4,MATCH(C5,C$4:C4,)),MAX(B$4:B4)+1))</f>
        <v>2</v>
      </c>
      <c r="C5" s="49">
        <v>1211</v>
      </c>
      <c r="D5" s="10">
        <v>1</v>
      </c>
      <c r="E5" s="29">
        <f t="shared" si="0"/>
        <v>1</v>
      </c>
      <c r="F5" s="29">
        <f>IF(D5,D5-E5,)</f>
        <v>0</v>
      </c>
      <c r="H5" s="52"/>
      <c r="I5" s="42"/>
      <c r="K5" s="67">
        <v>6000</v>
      </c>
      <c r="L5" s="45">
        <v>5998</v>
      </c>
      <c r="M5" s="73">
        <v>2</v>
      </c>
      <c r="N5" s="70" t="s">
        <v>201</v>
      </c>
      <c r="O5" s="45">
        <f t="shared" si="1"/>
        <v>2</v>
      </c>
    </row>
    <row r="6" spans="2:16" x14ac:dyDescent="0.25">
      <c r="B6" s="34">
        <f>IF(N(C6)=0,"",IF(ISNUMBER(MATCH(C6,C$4:C5,)),INDEX(B$4:B5,MATCH(C6,C$4:C5,)),MAX(B$4:B5)+1))</f>
        <v>3</v>
      </c>
      <c r="C6" s="49">
        <v>1711</v>
      </c>
      <c r="D6" s="10">
        <v>1</v>
      </c>
      <c r="E6" s="29">
        <f t="shared" si="0"/>
        <v>1</v>
      </c>
      <c r="F6" s="29">
        <f t="shared" ref="F6:F11" si="2">IF(D6,D6-E6,)</f>
        <v>0</v>
      </c>
      <c r="H6" s="52"/>
      <c r="I6" s="42"/>
      <c r="K6" s="67">
        <v>6000</v>
      </c>
      <c r="L6" s="45">
        <v>5996</v>
      </c>
      <c r="M6" s="73">
        <v>1</v>
      </c>
      <c r="N6" s="70" t="s">
        <v>202</v>
      </c>
      <c r="O6" s="45">
        <f t="shared" si="1"/>
        <v>4</v>
      </c>
    </row>
    <row r="7" spans="2:16" x14ac:dyDescent="0.25">
      <c r="B7" s="34">
        <f>IF(N(C7)=0,"",IF(ISNUMBER(MATCH(C7,C$4:C6,)),INDEX(B$4:B6,MATCH(C7,C$4:C6,)),MAX(B$4:B6)+1))</f>
        <v>4</v>
      </c>
      <c r="C7" s="49">
        <v>1920</v>
      </c>
      <c r="D7" s="10">
        <v>1</v>
      </c>
      <c r="E7" s="29">
        <f t="shared" si="0"/>
        <v>1</v>
      </c>
      <c r="F7" s="29">
        <f t="shared" si="2"/>
        <v>0</v>
      </c>
      <c r="H7" s="52"/>
      <c r="I7" s="42"/>
      <c r="K7" s="67">
        <v>6000</v>
      </c>
      <c r="L7" s="45">
        <v>5988</v>
      </c>
      <c r="M7" s="73">
        <v>1</v>
      </c>
      <c r="N7" s="70" t="s">
        <v>210</v>
      </c>
      <c r="O7" s="45">
        <f t="shared" si="1"/>
        <v>12</v>
      </c>
    </row>
    <row r="8" spans="2:16" x14ac:dyDescent="0.25">
      <c r="B8" s="34">
        <f>IF(N(C8)=0,"",IF(ISNUMBER(MATCH(C8,C$4:C7,)),INDEX(B$4:B7,MATCH(C8,C$4:C7,)),MAX(B$4:B7)+1))</f>
        <v>5</v>
      </c>
      <c r="C8" s="49">
        <v>2058</v>
      </c>
      <c r="D8" s="10">
        <v>1</v>
      </c>
      <c r="E8" s="29">
        <f t="shared" si="0"/>
        <v>1</v>
      </c>
      <c r="F8" s="29">
        <f t="shared" si="2"/>
        <v>0</v>
      </c>
      <c r="H8" s="52"/>
      <c r="I8" s="42"/>
      <c r="K8" s="67">
        <v>6000</v>
      </c>
      <c r="L8" s="45">
        <v>5988</v>
      </c>
      <c r="M8" s="73">
        <v>1</v>
      </c>
      <c r="N8" s="70" t="s">
        <v>208</v>
      </c>
      <c r="O8" s="45">
        <f t="shared" si="1"/>
        <v>12</v>
      </c>
    </row>
    <row r="9" spans="2:16" x14ac:dyDescent="0.25">
      <c r="B9" s="34">
        <f>IF(N(C9)=0,"",IF(ISNUMBER(MATCH(C9,C$4:C8,)),INDEX(B$4:B8,MATCH(C9,C$4:C8,)),MAX(B$4:B8)+1))</f>
        <v>6</v>
      </c>
      <c r="C9" s="49">
        <v>4768</v>
      </c>
      <c r="D9" s="10">
        <v>1</v>
      </c>
      <c r="E9" s="29">
        <f t="shared" si="0"/>
        <v>1</v>
      </c>
      <c r="F9" s="29">
        <f t="shared" si="2"/>
        <v>0</v>
      </c>
      <c r="H9" s="52"/>
      <c r="I9" s="42"/>
      <c r="K9" s="67">
        <v>6000</v>
      </c>
      <c r="L9" s="45">
        <v>5980</v>
      </c>
      <c r="M9" s="73">
        <v>1</v>
      </c>
      <c r="N9" s="70" t="s">
        <v>211</v>
      </c>
      <c r="O9" s="45">
        <f t="shared" si="1"/>
        <v>20</v>
      </c>
    </row>
    <row r="10" spans="2:16" x14ac:dyDescent="0.25">
      <c r="B10" s="34" t="str">
        <f>IF(N(C10)=0,"",IF(ISNUMBER(MATCH(C10,C$4:C9,)),INDEX(B$4:B9,MATCH(C10,C$4:C9,)),MAX(B$4:B9)+1))</f>
        <v/>
      </c>
      <c r="C10" s="49"/>
      <c r="D10" s="10"/>
      <c r="E10" s="29">
        <f t="shared" si="0"/>
        <v>0</v>
      </c>
      <c r="F10" s="29">
        <f t="shared" si="2"/>
        <v>0</v>
      </c>
      <c r="H10" s="52"/>
      <c r="I10" s="42"/>
      <c r="K10" s="67">
        <v>6000</v>
      </c>
      <c r="L10" s="45">
        <v>5936</v>
      </c>
      <c r="M10" s="73">
        <v>2</v>
      </c>
      <c r="N10" s="70" t="s">
        <v>203</v>
      </c>
      <c r="O10" s="45">
        <f t="shared" si="1"/>
        <v>64</v>
      </c>
    </row>
    <row r="11" spans="2:16" x14ac:dyDescent="0.25">
      <c r="B11" s="34" t="str">
        <f>IF(N(C11)=0,"",IF(ISNUMBER(MATCH(C11,C$4:C10,)),INDEX(B$4:B10,MATCH(C11,C$4:C10,)),MAX(B$4:B10)+1))</f>
        <v/>
      </c>
      <c r="C11" s="49"/>
      <c r="D11" s="10"/>
      <c r="E11" s="29">
        <f t="shared" si="0"/>
        <v>0</v>
      </c>
      <c r="F11" s="29">
        <f t="shared" si="2"/>
        <v>0</v>
      </c>
      <c r="H11" s="52"/>
      <c r="I11" s="42"/>
      <c r="K11" s="67">
        <v>6000</v>
      </c>
      <c r="L11" s="45">
        <v>5928</v>
      </c>
      <c r="M11" s="73">
        <v>1</v>
      </c>
      <c r="N11" s="70" t="s">
        <v>212</v>
      </c>
      <c r="O11" s="45">
        <f t="shared" si="1"/>
        <v>72</v>
      </c>
    </row>
    <row r="12" spans="2:16" x14ac:dyDescent="0.25">
      <c r="B12" s="34" t="str">
        <f>IF(N(C12)=0,"",IF(ISNUMBER(MATCH(C12,C$4:C11,)),INDEX(B$4:B11,MATCH(C12,C$4:C11,)),MAX(B$4:B11)+1))</f>
        <v/>
      </c>
      <c r="C12" s="49"/>
      <c r="D12" s="10"/>
      <c r="E12" s="29">
        <f t="shared" si="0"/>
        <v>0</v>
      </c>
      <c r="F12" s="29">
        <f>IF(D12,D12-E12,)</f>
        <v>0</v>
      </c>
      <c r="H12" s="52"/>
      <c r="I12" s="42"/>
      <c r="K12" s="67">
        <v>6000</v>
      </c>
      <c r="L12" s="45">
        <v>5928</v>
      </c>
      <c r="M12" s="73">
        <v>3</v>
      </c>
      <c r="N12" s="70" t="s">
        <v>204</v>
      </c>
      <c r="O12" s="45">
        <f t="shared" si="1"/>
        <v>72</v>
      </c>
    </row>
    <row r="13" spans="2:16" x14ac:dyDescent="0.25">
      <c r="B13" s="35" t="str">
        <f>IF(N(C13)=0,"",IF(ISNUMBER(MATCH(C13,C$4:C12,)),INDEX(B$4:B12,MATCH(C13,C$4:C12,)),MAX(B$4:B12)+1))</f>
        <v/>
      </c>
      <c r="C13" s="50"/>
      <c r="D13" s="11"/>
      <c r="E13" s="30">
        <f t="shared" si="0"/>
        <v>0</v>
      </c>
      <c r="F13" s="30">
        <f>IF(D13,D13-E13,)</f>
        <v>0</v>
      </c>
      <c r="H13" s="53"/>
      <c r="I13" s="43"/>
      <c r="K13" s="67">
        <v>6000</v>
      </c>
      <c r="L13" s="45">
        <v>5926</v>
      </c>
      <c r="M13" s="73">
        <v>1</v>
      </c>
      <c r="N13" s="70" t="s">
        <v>213</v>
      </c>
      <c r="O13" s="45">
        <f t="shared" si="1"/>
        <v>74</v>
      </c>
    </row>
    <row r="14" spans="2:16" x14ac:dyDescent="0.25">
      <c r="J14" s="15"/>
      <c r="K14" s="67">
        <v>6000</v>
      </c>
      <c r="L14" s="45">
        <v>5918</v>
      </c>
      <c r="M14" s="73">
        <v>1</v>
      </c>
      <c r="N14" s="70" t="s">
        <v>209</v>
      </c>
      <c r="O14" s="45">
        <f t="shared" si="1"/>
        <v>82</v>
      </c>
      <c r="P14" s="15"/>
    </row>
    <row r="15" spans="2:16" x14ac:dyDescent="0.25">
      <c r="B15" s="2" t="s">
        <v>13</v>
      </c>
      <c r="D15" s="37">
        <v>6</v>
      </c>
      <c r="E15" s="21" t="b">
        <v>1</v>
      </c>
      <c r="G15" s="17" t="s">
        <v>40</v>
      </c>
      <c r="H15" s="21">
        <v>3</v>
      </c>
      <c r="I15" s="17"/>
      <c r="J15" s="15"/>
      <c r="K15" s="67">
        <v>4768</v>
      </c>
      <c r="L15" s="45">
        <v>4768</v>
      </c>
      <c r="M15" s="73">
        <v>1</v>
      </c>
      <c r="N15" s="70" t="s">
        <v>214</v>
      </c>
      <c r="O15" s="45">
        <f t="shared" si="1"/>
        <v>0</v>
      </c>
      <c r="P15" s="15"/>
    </row>
    <row r="16" spans="2:16" x14ac:dyDescent="0.25">
      <c r="B16" s="38" t="s">
        <v>17</v>
      </c>
      <c r="C16" s="15"/>
      <c r="D16" s="39">
        <v>0</v>
      </c>
      <c r="E16" s="22" t="b">
        <v>1</v>
      </c>
      <c r="G16" s="17" t="s">
        <v>41</v>
      </c>
      <c r="H16" s="21">
        <v>1</v>
      </c>
      <c r="I16" s="17"/>
      <c r="J16" s="15"/>
      <c r="K16" s="67">
        <v>2058</v>
      </c>
      <c r="L16" s="45">
        <v>2034</v>
      </c>
      <c r="M16" s="73">
        <v>1</v>
      </c>
      <c r="N16" s="70" t="s">
        <v>205</v>
      </c>
      <c r="O16" s="45">
        <f t="shared" si="1"/>
        <v>24</v>
      </c>
      <c r="P16" s="15"/>
    </row>
    <row r="17" spans="1:16" x14ac:dyDescent="0.25">
      <c r="B17" s="38" t="s">
        <v>18</v>
      </c>
      <c r="C17" s="15"/>
      <c r="D17" s="39">
        <v>1000</v>
      </c>
      <c r="E17" s="22" t="b">
        <v>0</v>
      </c>
      <c r="F17" s="22" t="b">
        <v>0</v>
      </c>
      <c r="G17" s="17" t="s">
        <v>42</v>
      </c>
      <c r="I17" s="17"/>
      <c r="J17" s="15"/>
      <c r="K17" s="67">
        <v>1920</v>
      </c>
      <c r="L17" s="45">
        <v>1864</v>
      </c>
      <c r="M17" s="73">
        <v>1</v>
      </c>
      <c r="N17" s="70" t="s">
        <v>206</v>
      </c>
      <c r="O17" s="45">
        <f t="shared" si="1"/>
        <v>56</v>
      </c>
      <c r="P17" s="15"/>
    </row>
    <row r="18" spans="1:16" x14ac:dyDescent="0.25">
      <c r="B18" s="38"/>
      <c r="C18" s="15"/>
      <c r="D18" s="40"/>
      <c r="E18" s="22"/>
      <c r="G18" s="17" t="s">
        <v>43</v>
      </c>
      <c r="H18" s="15"/>
      <c r="I18" s="17"/>
      <c r="J18" s="15"/>
      <c r="K18" s="67">
        <v>1711</v>
      </c>
      <c r="L18" s="45">
        <v>1632</v>
      </c>
      <c r="M18" s="73">
        <v>1</v>
      </c>
      <c r="N18" s="70" t="s">
        <v>207</v>
      </c>
      <c r="O18" s="45">
        <f t="shared" si="1"/>
        <v>79</v>
      </c>
      <c r="P18" s="15"/>
    </row>
    <row r="19" spans="1:16" x14ac:dyDescent="0.25">
      <c r="B19" s="38"/>
      <c r="C19" s="15"/>
      <c r="D19" s="40"/>
      <c r="E19" s="22"/>
      <c r="G19" s="17" t="s">
        <v>44</v>
      </c>
      <c r="H19" s="15"/>
      <c r="I19" s="16"/>
      <c r="J19" s="15"/>
      <c r="K19" s="68">
        <v>1211</v>
      </c>
      <c r="L19" s="46">
        <v>1092</v>
      </c>
      <c r="M19" s="74">
        <v>1</v>
      </c>
      <c r="N19" s="71" t="s">
        <v>215</v>
      </c>
      <c r="O19" s="46">
        <f t="shared" si="1"/>
        <v>119</v>
      </c>
      <c r="P19" s="15"/>
    </row>
    <row r="20" spans="1:16" x14ac:dyDescent="0.25">
      <c r="B20" s="38"/>
      <c r="C20" s="15"/>
      <c r="D20" s="40"/>
      <c r="E20" s="22"/>
      <c r="H20" s="15"/>
      <c r="I20" s="16"/>
      <c r="J20" s="15"/>
      <c r="K20"/>
      <c r="L20"/>
      <c r="M20"/>
      <c r="N20"/>
      <c r="O20"/>
      <c r="P20" s="15"/>
    </row>
    <row r="21" spans="1:16" x14ac:dyDescent="0.25">
      <c r="B21" s="38"/>
      <c r="C21" s="15"/>
      <c r="D21" s="40"/>
      <c r="E21" s="22"/>
      <c r="H21" s="15"/>
      <c r="I21" s="16"/>
      <c r="J21" s="15"/>
      <c r="K21"/>
      <c r="L21"/>
      <c r="M21"/>
      <c r="N21"/>
      <c r="O21"/>
      <c r="P21" s="15"/>
    </row>
    <row r="22" spans="1:16" x14ac:dyDescent="0.25">
      <c r="B22" s="38"/>
      <c r="C22" s="15"/>
      <c r="D22" s="40"/>
      <c r="E22" s="22"/>
      <c r="H22" s="15"/>
      <c r="I22" s="16"/>
      <c r="J22" s="15"/>
      <c r="K22"/>
      <c r="L22"/>
      <c r="M22"/>
      <c r="N22"/>
      <c r="O22"/>
      <c r="P22" s="15"/>
    </row>
    <row r="23" spans="1:16" x14ac:dyDescent="0.25">
      <c r="B23" s="2" t="s">
        <v>2</v>
      </c>
      <c r="H23" s="2" t="s">
        <v>5</v>
      </c>
      <c r="I23" s="2"/>
      <c r="J23" s="15"/>
      <c r="K23"/>
      <c r="L23"/>
      <c r="M23"/>
      <c r="N23"/>
      <c r="O23"/>
      <c r="P23" s="15"/>
    </row>
    <row r="24" spans="1:16" x14ac:dyDescent="0.25">
      <c r="B24" s="3" t="s">
        <v>14</v>
      </c>
      <c r="C24" s="3" t="s">
        <v>1</v>
      </c>
      <c r="D24" s="3" t="s">
        <v>0</v>
      </c>
      <c r="E24" s="3" t="s">
        <v>8</v>
      </c>
      <c r="F24" s="4" t="s">
        <v>9</v>
      </c>
      <c r="H24" s="3" t="s">
        <v>1</v>
      </c>
      <c r="I24" s="3" t="s">
        <v>0</v>
      </c>
      <c r="J24" s="15"/>
      <c r="K24"/>
      <c r="L24"/>
      <c r="M24"/>
      <c r="N24"/>
      <c r="O24"/>
      <c r="P24" s="15"/>
    </row>
    <row r="25" spans="1:16" x14ac:dyDescent="0.25">
      <c r="B25" s="27"/>
      <c r="C25" s="27">
        <f>IF(D25="много","много",SUMPRODUCT(C26:C115,D26:D115))</f>
        <v>100382</v>
      </c>
      <c r="D25" s="23">
        <f t="array" ref="D25">IF(OR((D26:D115="")+(C26:C115="")=1),"много",SUM(D26:D115))</f>
        <v>64</v>
      </c>
      <c r="E25" s="23">
        <f>SUM(E26:E115)</f>
        <v>64</v>
      </c>
      <c r="F25" s="23">
        <f>IF(D25="много","много",SUM(F26:F115))</f>
        <v>0</v>
      </c>
      <c r="H25" s="27">
        <f>SUMPRODUCT(H26:H115,I26:I115)</f>
        <v>0</v>
      </c>
      <c r="I25" s="23">
        <f>SUM(I26:I115)</f>
        <v>0</v>
      </c>
      <c r="J25" s="15"/>
      <c r="K25"/>
      <c r="L25"/>
      <c r="M25"/>
      <c r="N25"/>
      <c r="O25"/>
      <c r="P25" s="15"/>
    </row>
    <row r="26" spans="1:16" x14ac:dyDescent="0.25">
      <c r="A26" s="17">
        <v>2</v>
      </c>
      <c r="B26" s="36">
        <f>IF(N(C26)=0,"",1)</f>
        <v>1</v>
      </c>
      <c r="C26" s="54">
        <v>2666</v>
      </c>
      <c r="D26" s="44">
        <v>9</v>
      </c>
      <c r="E26" s="24">
        <f t="shared" ref="E26:E89" si="3">IF($K$3=0,0,IF(ISNA(VLOOKUP(C26,H$26:I$115,2,))*C26,D26,IF(C26="","",IF(D26="",TRUNC($C$3/C26)-VLOOKUP(C26,H$26:I$115,2,),D26-VLOOKUP(C26,H$26:I$115,2,)))))</f>
        <v>9</v>
      </c>
      <c r="F26" s="24">
        <f t="shared" ref="F26:F89" si="4">IF($K$3=0,"",IF(AND(C26&lt;&gt;"",D26&lt;&gt;""),D26-E26,IF(D26="","",TRUNC($C$3/C26)-VLOOKUP(C26,H$26:I$115,2,))))</f>
        <v>0</v>
      </c>
      <c r="G26" s="47">
        <f>--(C26+H26+K26&gt;0)</f>
        <v>1</v>
      </c>
      <c r="H26" s="51"/>
      <c r="I26" s="18"/>
      <c r="J26" s="15"/>
      <c r="K26"/>
      <c r="L26"/>
      <c r="M26"/>
      <c r="N26"/>
      <c r="O26"/>
      <c r="P26" s="15"/>
    </row>
    <row r="27" spans="1:16" x14ac:dyDescent="0.25">
      <c r="A27" s="17">
        <v>3</v>
      </c>
      <c r="B27" s="34">
        <f>IF(N(C27)=0,"",IF(ISNUMBER(MATCH(C27,C$26:C26,)),INDEX(B$26:B26,MATCH(C27,C$26:C26,)),MAX(B$26:B26)+1))</f>
        <v>2</v>
      </c>
      <c r="C27" s="55">
        <v>2660</v>
      </c>
      <c r="D27" s="7">
        <v>1</v>
      </c>
      <c r="E27" s="25">
        <f t="shared" si="3"/>
        <v>1</v>
      </c>
      <c r="F27" s="25">
        <f t="shared" si="4"/>
        <v>0</v>
      </c>
      <c r="G27" s="47">
        <f t="shared" ref="G27:G90" si="5">--(C27+H27+K27&gt;0)</f>
        <v>1</v>
      </c>
      <c r="H27" s="52"/>
      <c r="I27" s="19"/>
      <c r="J27" s="15"/>
      <c r="K27"/>
      <c r="L27"/>
      <c r="M27"/>
      <c r="N27"/>
      <c r="O27"/>
      <c r="P27" s="15"/>
    </row>
    <row r="28" spans="1:16" x14ac:dyDescent="0.25">
      <c r="A28" s="17">
        <v>4</v>
      </c>
      <c r="B28" s="34">
        <f>IF(N(C28)=0,"",IF(ISNUMBER(MATCH(C28,C$26:C27,)),INDEX(B$26:B27,MATCH(C28,C$26:C27,)),MAX(B$26:B27)+1))</f>
        <v>3</v>
      </c>
      <c r="C28" s="55">
        <v>2656</v>
      </c>
      <c r="D28" s="7">
        <v>2</v>
      </c>
      <c r="E28" s="25">
        <f t="shared" si="3"/>
        <v>2</v>
      </c>
      <c r="F28" s="25">
        <f t="shared" si="4"/>
        <v>0</v>
      </c>
      <c r="G28" s="47">
        <f t="shared" si="5"/>
        <v>1</v>
      </c>
      <c r="H28" s="52"/>
      <c r="I28" s="19"/>
      <c r="J28" s="15"/>
      <c r="K28"/>
      <c r="L28"/>
      <c r="M28"/>
      <c r="N28"/>
      <c r="O28"/>
      <c r="P28" s="15"/>
    </row>
    <row r="29" spans="1:16" x14ac:dyDescent="0.25">
      <c r="A29" s="17">
        <v>5</v>
      </c>
      <c r="B29" s="34">
        <f>IF(N(C29)=0,"",IF(ISNUMBER(MATCH(C29,C$26:C28,)),INDEX(B$26:B28,MATCH(C29,C$26:C28,)),MAX(B$26:B28)+1))</f>
        <v>4</v>
      </c>
      <c r="C29" s="55">
        <v>2260</v>
      </c>
      <c r="D29" s="7">
        <v>1</v>
      </c>
      <c r="E29" s="25">
        <f t="shared" si="3"/>
        <v>1</v>
      </c>
      <c r="F29" s="25">
        <f t="shared" si="4"/>
        <v>0</v>
      </c>
      <c r="G29" s="47">
        <f t="shared" si="5"/>
        <v>1</v>
      </c>
      <c r="H29" s="52"/>
      <c r="I29" s="19"/>
      <c r="J29" s="15"/>
      <c r="K29"/>
      <c r="L29"/>
      <c r="M29"/>
      <c r="N29"/>
      <c r="O29"/>
      <c r="P29" s="15"/>
    </row>
    <row r="30" spans="1:16" x14ac:dyDescent="0.25">
      <c r="A30" s="17">
        <v>6</v>
      </c>
      <c r="B30" s="34">
        <f>IF(N(C30)=0,"",IF(ISNUMBER(MATCH(C30,C$26:C29,)),INDEX(B$26:B29,MATCH(C30,C$26:C29,)),MAX(B$26:B29)+1))</f>
        <v>5</v>
      </c>
      <c r="C30" s="55">
        <v>1766</v>
      </c>
      <c r="D30" s="7">
        <v>2</v>
      </c>
      <c r="E30" s="25">
        <f t="shared" si="3"/>
        <v>2</v>
      </c>
      <c r="F30" s="25">
        <f t="shared" si="4"/>
        <v>0</v>
      </c>
      <c r="G30" s="47">
        <f t="shared" si="5"/>
        <v>1</v>
      </c>
      <c r="H30" s="52"/>
      <c r="I30" s="19"/>
      <c r="J30" s="15"/>
      <c r="K30"/>
      <c r="L30"/>
      <c r="M30"/>
      <c r="N30"/>
      <c r="O30"/>
      <c r="P30" s="15"/>
    </row>
    <row r="31" spans="1:16" x14ac:dyDescent="0.25">
      <c r="A31" s="17">
        <v>7</v>
      </c>
      <c r="B31" s="34">
        <f>IF(N(C31)=0,"",IF(ISNUMBER(MATCH(C31,C$26:C30,)),INDEX(B$26:B30,MATCH(C31,C$26:C30,)),MAX(B$26:B30)+1))</f>
        <v>6</v>
      </c>
      <c r="C31" s="55">
        <v>1746</v>
      </c>
      <c r="D31" s="7">
        <v>14</v>
      </c>
      <c r="E31" s="25">
        <f t="shared" si="3"/>
        <v>14</v>
      </c>
      <c r="F31" s="25">
        <f t="shared" si="4"/>
        <v>0</v>
      </c>
      <c r="G31" s="47">
        <f t="shared" si="5"/>
        <v>1</v>
      </c>
      <c r="H31" s="52"/>
      <c r="I31" s="19"/>
      <c r="J31" s="15"/>
      <c r="K31"/>
      <c r="L31"/>
      <c r="M31"/>
      <c r="N31"/>
      <c r="O31"/>
      <c r="P31" s="15"/>
    </row>
    <row r="32" spans="1:16" x14ac:dyDescent="0.25">
      <c r="A32" s="17">
        <v>8</v>
      </c>
      <c r="B32" s="34">
        <f>IF(N(C32)=0,"",IF(ISNUMBER(MATCH(C32,C$26:C31,)),INDEX(B$26:B31,MATCH(C32,C$26:C31,)),MAX(B$26:B31)+1))</f>
        <v>7</v>
      </c>
      <c r="C32" s="55">
        <v>1626</v>
      </c>
      <c r="D32" s="7">
        <v>7</v>
      </c>
      <c r="E32" s="25">
        <f t="shared" si="3"/>
        <v>7</v>
      </c>
      <c r="F32" s="25">
        <f t="shared" si="4"/>
        <v>0</v>
      </c>
      <c r="G32" s="47">
        <f t="shared" si="5"/>
        <v>1</v>
      </c>
      <c r="H32" s="52"/>
      <c r="I32" s="19"/>
      <c r="J32" s="15"/>
      <c r="K32"/>
      <c r="L32"/>
      <c r="M32"/>
      <c r="N32"/>
      <c r="O32"/>
      <c r="P32" s="15"/>
    </row>
    <row r="33" spans="1:16" x14ac:dyDescent="0.25">
      <c r="A33" s="17">
        <v>16</v>
      </c>
      <c r="B33" s="34">
        <f>IF(N(C33)=0,"",IF(ISNUMBER(MATCH(C33,C$26:C32,)),INDEX(B$26:B32,MATCH(C33,C$26:C32,)),MAX(B$26:B32)+1))</f>
        <v>8</v>
      </c>
      <c r="C33" s="55">
        <v>1436</v>
      </c>
      <c r="D33" s="7">
        <v>1</v>
      </c>
      <c r="E33" s="25">
        <f t="shared" si="3"/>
        <v>1</v>
      </c>
      <c r="F33" s="25">
        <f t="shared" si="4"/>
        <v>0</v>
      </c>
      <c r="G33" s="47">
        <f t="shared" si="5"/>
        <v>1</v>
      </c>
      <c r="H33" s="52"/>
      <c r="I33" s="19"/>
      <c r="J33" s="15"/>
      <c r="K33"/>
      <c r="L33"/>
      <c r="M33"/>
      <c r="N33"/>
      <c r="O33"/>
      <c r="P33" s="15"/>
    </row>
    <row r="34" spans="1:16" x14ac:dyDescent="0.25">
      <c r="A34" s="17">
        <v>17</v>
      </c>
      <c r="B34" s="34">
        <f>IF(N(C34)=0,"",IF(ISNUMBER(MATCH(C34,C$26:C33,)),INDEX(B$26:B33,MATCH(C34,C$26:C33,)),MAX(B$26:B33)+1))</f>
        <v>9</v>
      </c>
      <c r="C34" s="55">
        <v>1356</v>
      </c>
      <c r="D34" s="7">
        <v>1</v>
      </c>
      <c r="E34" s="25">
        <f t="shared" si="3"/>
        <v>1</v>
      </c>
      <c r="F34" s="25">
        <f t="shared" si="4"/>
        <v>0</v>
      </c>
      <c r="G34" s="47">
        <f t="shared" si="5"/>
        <v>1</v>
      </c>
      <c r="H34" s="52"/>
      <c r="I34" s="19"/>
      <c r="J34" s="15"/>
      <c r="K34"/>
      <c r="L34"/>
      <c r="M34"/>
      <c r="N34"/>
      <c r="O34"/>
      <c r="P34" s="15"/>
    </row>
    <row r="35" spans="1:16" x14ac:dyDescent="0.25">
      <c r="A35" s="17">
        <v>18</v>
      </c>
      <c r="B35" s="34">
        <f>IF(N(C35)=0,"",IF(ISNUMBER(MATCH(C35,C$26:C34,)),INDEX(B$26:B34,MATCH(C35,C$26:C34,)),MAX(B$26:B34)+1))</f>
        <v>10</v>
      </c>
      <c r="C35" s="55">
        <v>1166</v>
      </c>
      <c r="D35" s="7">
        <v>4</v>
      </c>
      <c r="E35" s="25">
        <f t="shared" si="3"/>
        <v>4</v>
      </c>
      <c r="F35" s="25">
        <f t="shared" si="4"/>
        <v>0</v>
      </c>
      <c r="G35" s="47">
        <f t="shared" si="5"/>
        <v>1</v>
      </c>
      <c r="H35" s="52"/>
      <c r="I35" s="19"/>
      <c r="J35" s="15"/>
      <c r="K35"/>
      <c r="L35"/>
      <c r="M35"/>
      <c r="N35"/>
      <c r="O35"/>
      <c r="P35" s="15"/>
    </row>
    <row r="36" spans="1:16" x14ac:dyDescent="0.25">
      <c r="A36" s="17">
        <v>19</v>
      </c>
      <c r="B36" s="34">
        <f>IF(N(C36)=0,"",IF(ISNUMBER(MATCH(C36,C$26:C35,)),INDEX(B$26:B35,MATCH(C36,C$26:C35,)),MAX(B$26:B35)+1))</f>
        <v>11</v>
      </c>
      <c r="C36" s="55">
        <v>1086</v>
      </c>
      <c r="D36" s="7">
        <v>5</v>
      </c>
      <c r="E36" s="25">
        <f t="shared" si="3"/>
        <v>5</v>
      </c>
      <c r="F36" s="25">
        <f t="shared" si="4"/>
        <v>0</v>
      </c>
      <c r="G36" s="47">
        <f t="shared" si="5"/>
        <v>1</v>
      </c>
      <c r="H36" s="52"/>
      <c r="I36" s="19"/>
      <c r="J36" s="15"/>
      <c r="K36"/>
      <c r="L36"/>
      <c r="M36"/>
      <c r="N36"/>
      <c r="O36"/>
      <c r="P36" s="15"/>
    </row>
    <row r="37" spans="1:16" x14ac:dyDescent="0.25">
      <c r="A37" s="17">
        <v>20</v>
      </c>
      <c r="B37" s="34">
        <f>IF(N(C37)=0,"",IF(ISNUMBER(MATCH(C37,C$26:C36,)),INDEX(B$26:B36,MATCH(C37,C$26:C36,)),MAX(B$26:B36)+1))</f>
        <v>12</v>
      </c>
      <c r="C37" s="55">
        <v>1076</v>
      </c>
      <c r="D37" s="7">
        <v>1</v>
      </c>
      <c r="E37" s="25">
        <f t="shared" si="3"/>
        <v>1</v>
      </c>
      <c r="F37" s="25">
        <f t="shared" si="4"/>
        <v>0</v>
      </c>
      <c r="G37" s="47">
        <f t="shared" si="5"/>
        <v>1</v>
      </c>
      <c r="H37" s="52"/>
      <c r="I37" s="19"/>
      <c r="J37" s="15"/>
      <c r="K37"/>
      <c r="L37"/>
      <c r="M37"/>
      <c r="N37"/>
      <c r="O37"/>
      <c r="P37" s="15"/>
    </row>
    <row r="38" spans="1:16" x14ac:dyDescent="0.25">
      <c r="A38" s="17">
        <v>21</v>
      </c>
      <c r="B38" s="34">
        <f>IF(N(C38)=0,"",IF(ISNUMBER(MATCH(C38,C$26:C37,)),INDEX(B$26:B37,MATCH(C38,C$26:C37,)),MAX(B$26:B37)+1))</f>
        <v>13</v>
      </c>
      <c r="C38" s="55">
        <v>1056</v>
      </c>
      <c r="D38" s="7">
        <v>6</v>
      </c>
      <c r="E38" s="25">
        <f t="shared" si="3"/>
        <v>6</v>
      </c>
      <c r="F38" s="25">
        <f t="shared" si="4"/>
        <v>0</v>
      </c>
      <c r="G38" s="47">
        <f t="shared" si="5"/>
        <v>1</v>
      </c>
      <c r="H38" s="52"/>
      <c r="I38" s="19"/>
      <c r="J38" s="15"/>
      <c r="K38"/>
      <c r="L38"/>
      <c r="M38"/>
      <c r="N38"/>
      <c r="O38"/>
      <c r="P38" s="15"/>
    </row>
    <row r="39" spans="1:16" x14ac:dyDescent="0.25">
      <c r="A39" s="17">
        <v>22</v>
      </c>
      <c r="B39" s="34">
        <f>IF(N(C39)=0,"",IF(ISNUMBER(MATCH(C39,C$26:C38,)),INDEX(B$26:B38,MATCH(C39,C$26:C38,)),MAX(B$26:B38)+1))</f>
        <v>14</v>
      </c>
      <c r="C39" s="55">
        <v>686</v>
      </c>
      <c r="D39" s="7">
        <v>2</v>
      </c>
      <c r="E39" s="25">
        <f t="shared" si="3"/>
        <v>2</v>
      </c>
      <c r="F39" s="25">
        <f t="shared" si="4"/>
        <v>0</v>
      </c>
      <c r="G39" s="47">
        <f t="shared" si="5"/>
        <v>1</v>
      </c>
      <c r="H39" s="52"/>
      <c r="I39" s="19"/>
      <c r="J39" s="15"/>
      <c r="K39"/>
      <c r="L39"/>
      <c r="M39"/>
      <c r="N39"/>
      <c r="O39"/>
      <c r="P39" s="15"/>
    </row>
    <row r="40" spans="1:16" x14ac:dyDescent="0.25">
      <c r="A40" s="17">
        <v>23</v>
      </c>
      <c r="B40" s="34">
        <f>IF(N(C40)=0,"",IF(ISNUMBER(MATCH(C40,C$26:C39,)),INDEX(B$26:B39,MATCH(C40,C$26:C39,)),MAX(B$26:B39)+1))</f>
        <v>15</v>
      </c>
      <c r="C40" s="55">
        <v>666</v>
      </c>
      <c r="D40" s="7">
        <v>4</v>
      </c>
      <c r="E40" s="25">
        <f t="shared" si="3"/>
        <v>4</v>
      </c>
      <c r="F40" s="25">
        <f t="shared" si="4"/>
        <v>0</v>
      </c>
      <c r="G40" s="47">
        <f t="shared" si="5"/>
        <v>1</v>
      </c>
      <c r="H40" s="52"/>
      <c r="I40" s="19"/>
      <c r="J40" s="15"/>
      <c r="K40"/>
      <c r="L40"/>
      <c r="M40"/>
      <c r="N40"/>
      <c r="O40"/>
      <c r="P40" s="15"/>
    </row>
    <row r="41" spans="1:16" x14ac:dyDescent="0.25">
      <c r="A41" s="17">
        <v>24</v>
      </c>
      <c r="B41" s="34">
        <f>IF(N(C41)=0,"",IF(ISNUMBER(MATCH(C41,C$26:C40,)),INDEX(B$26:B40,MATCH(C41,C$26:C40,)),MAX(B$26:B40)+1))</f>
        <v>16</v>
      </c>
      <c r="C41" s="55">
        <v>646</v>
      </c>
      <c r="D41" s="7">
        <v>2</v>
      </c>
      <c r="E41" s="25">
        <f t="shared" si="3"/>
        <v>2</v>
      </c>
      <c r="F41" s="25">
        <f t="shared" si="4"/>
        <v>0</v>
      </c>
      <c r="G41" s="47">
        <f t="shared" si="5"/>
        <v>1</v>
      </c>
      <c r="H41" s="52"/>
      <c r="I41" s="19"/>
      <c r="J41" s="15"/>
      <c r="K41"/>
      <c r="L41"/>
      <c r="M41"/>
      <c r="N41"/>
      <c r="O41"/>
      <c r="P41" s="15"/>
    </row>
    <row r="42" spans="1:16" x14ac:dyDescent="0.25">
      <c r="A42" s="17">
        <v>25</v>
      </c>
      <c r="B42" s="34">
        <f>IF(N(C42)=0,"",IF(ISNUMBER(MATCH(C42,C$26:C41,)),INDEX(B$26:B41,MATCH(C42,C$26:C41,)),MAX(B$26:B41)+1))</f>
        <v>17</v>
      </c>
      <c r="C42" s="55">
        <v>586</v>
      </c>
      <c r="D42" s="7">
        <v>2</v>
      </c>
      <c r="E42" s="25">
        <f t="shared" si="3"/>
        <v>2</v>
      </c>
      <c r="F42" s="25">
        <f t="shared" si="4"/>
        <v>0</v>
      </c>
      <c r="G42" s="47">
        <f t="shared" si="5"/>
        <v>1</v>
      </c>
      <c r="H42" s="52"/>
      <c r="I42" s="19"/>
      <c r="J42" s="15"/>
      <c r="K42"/>
      <c r="L42"/>
      <c r="M42"/>
      <c r="N42"/>
      <c r="O42"/>
      <c r="P42" s="15"/>
    </row>
    <row r="43" spans="1:16" x14ac:dyDescent="0.25">
      <c r="A43" s="17">
        <v>26</v>
      </c>
      <c r="B43" s="34" t="str">
        <f>IF(N(C43)=0,"",IF(ISNUMBER(MATCH(C43,C$26:C42,)),INDEX(B$26:B42,MATCH(C43,C$26:C42,)),MAX(B$26:B42)+1))</f>
        <v/>
      </c>
      <c r="C43" s="55"/>
      <c r="D43" s="7"/>
      <c r="E43" s="25" t="str">
        <f t="shared" si="3"/>
        <v/>
      </c>
      <c r="F43" s="25" t="str">
        <f t="shared" si="4"/>
        <v/>
      </c>
      <c r="G43" s="47">
        <f t="shared" si="5"/>
        <v>0</v>
      </c>
      <c r="H43" s="52"/>
      <c r="I43" s="19"/>
      <c r="J43" s="15"/>
      <c r="K43"/>
      <c r="L43"/>
      <c r="M43"/>
      <c r="N43"/>
      <c r="O43"/>
      <c r="P43" s="15"/>
    </row>
    <row r="44" spans="1:16" x14ac:dyDescent="0.25">
      <c r="A44" s="17">
        <v>27</v>
      </c>
      <c r="B44" s="34" t="str">
        <f>IF(N(C44)=0,"",IF(ISNUMBER(MATCH(C44,C$26:C43,)),INDEX(B$26:B43,MATCH(C44,C$26:C43,)),MAX(B$26:B43)+1))</f>
        <v/>
      </c>
      <c r="C44" s="55"/>
      <c r="D44" s="7"/>
      <c r="E44" s="25" t="str">
        <f t="shared" si="3"/>
        <v/>
      </c>
      <c r="F44" s="25" t="str">
        <f t="shared" si="4"/>
        <v/>
      </c>
      <c r="G44" s="47">
        <f t="shared" si="5"/>
        <v>0</v>
      </c>
      <c r="H44" s="52"/>
      <c r="I44" s="19"/>
      <c r="J44" s="15"/>
      <c r="K44"/>
      <c r="L44"/>
      <c r="M44"/>
      <c r="N44"/>
      <c r="O44"/>
      <c r="P44" s="15"/>
    </row>
    <row r="45" spans="1:16" x14ac:dyDescent="0.25">
      <c r="A45" s="17">
        <v>28</v>
      </c>
      <c r="B45" s="34" t="str">
        <f>IF(N(C45)=0,"",IF(ISNUMBER(MATCH(C45,C$26:C44,)),INDEX(B$26:B44,MATCH(C45,C$26:C44,)),MAX(B$26:B44)+1))</f>
        <v/>
      </c>
      <c r="C45" s="55"/>
      <c r="D45" s="7"/>
      <c r="E45" s="25" t="str">
        <f t="shared" si="3"/>
        <v/>
      </c>
      <c r="F45" s="25" t="str">
        <f t="shared" si="4"/>
        <v/>
      </c>
      <c r="G45" s="47">
        <f t="shared" si="5"/>
        <v>0</v>
      </c>
      <c r="H45" s="52"/>
      <c r="I45" s="19"/>
      <c r="J45" s="15"/>
      <c r="K45"/>
      <c r="L45"/>
      <c r="M45"/>
      <c r="N45"/>
      <c r="O45"/>
      <c r="P45" s="15"/>
    </row>
    <row r="46" spans="1:16" x14ac:dyDescent="0.25">
      <c r="A46" s="17">
        <v>29</v>
      </c>
      <c r="B46" s="34" t="str">
        <f>IF(N(C46)=0,"",IF(ISNUMBER(MATCH(C46,C$26:C45,)),INDEX(B$26:B45,MATCH(C46,C$26:C45,)),MAX(B$26:B45)+1))</f>
        <v/>
      </c>
      <c r="C46" s="55"/>
      <c r="D46" s="7"/>
      <c r="E46" s="25" t="str">
        <f t="shared" si="3"/>
        <v/>
      </c>
      <c r="F46" s="25" t="str">
        <f t="shared" si="4"/>
        <v/>
      </c>
      <c r="G46" s="47">
        <f t="shared" si="5"/>
        <v>0</v>
      </c>
      <c r="H46" s="52"/>
      <c r="I46" s="19"/>
      <c r="J46" s="15"/>
      <c r="K46"/>
      <c r="L46"/>
      <c r="M46"/>
      <c r="N46"/>
      <c r="O46"/>
      <c r="P46" s="15"/>
    </row>
    <row r="47" spans="1:16" x14ac:dyDescent="0.25">
      <c r="A47" s="17">
        <v>30</v>
      </c>
      <c r="B47" s="34" t="str">
        <f>IF(N(C47)=0,"",IF(ISNUMBER(MATCH(C47,C$26:C46,)),INDEX(B$26:B46,MATCH(C47,C$26:C46,)),MAX(B$26:B46)+1))</f>
        <v/>
      </c>
      <c r="C47" s="55"/>
      <c r="D47" s="7"/>
      <c r="E47" s="25" t="str">
        <f t="shared" si="3"/>
        <v/>
      </c>
      <c r="F47" s="25" t="str">
        <f t="shared" si="4"/>
        <v/>
      </c>
      <c r="G47" s="47">
        <f t="shared" si="5"/>
        <v>0</v>
      </c>
      <c r="H47" s="52"/>
      <c r="I47" s="19"/>
      <c r="J47" s="15"/>
      <c r="K47"/>
      <c r="L47"/>
      <c r="M47"/>
      <c r="N47"/>
      <c r="O47"/>
      <c r="P47" s="15"/>
    </row>
    <row r="48" spans="1:16" x14ac:dyDescent="0.25">
      <c r="A48" s="17">
        <v>31</v>
      </c>
      <c r="B48" s="34" t="str">
        <f>IF(N(C48)=0,"",IF(ISNUMBER(MATCH(C48,C$26:C47,)),INDEX(B$26:B47,MATCH(C48,C$26:C47,)),MAX(B$26:B47)+1))</f>
        <v/>
      </c>
      <c r="C48" s="55"/>
      <c r="D48" s="7"/>
      <c r="E48" s="25" t="str">
        <f t="shared" si="3"/>
        <v/>
      </c>
      <c r="F48" s="25" t="str">
        <f t="shared" si="4"/>
        <v/>
      </c>
      <c r="G48" s="47">
        <f t="shared" si="5"/>
        <v>0</v>
      </c>
      <c r="H48" s="52"/>
      <c r="I48" s="19"/>
      <c r="J48" s="15"/>
      <c r="K48"/>
      <c r="L48"/>
      <c r="M48"/>
      <c r="N48"/>
      <c r="O48"/>
      <c r="P48" s="15"/>
    </row>
    <row r="49" spans="1:16" x14ac:dyDescent="0.25">
      <c r="A49" s="17">
        <v>32</v>
      </c>
      <c r="B49" s="34" t="str">
        <f>IF(N(C49)=0,"",IF(ISNUMBER(MATCH(C49,C$26:C48,)),INDEX(B$26:B48,MATCH(C49,C$26:C48,)),MAX(B$26:B48)+1))</f>
        <v/>
      </c>
      <c r="C49" s="55"/>
      <c r="D49" s="7"/>
      <c r="E49" s="25" t="str">
        <f t="shared" si="3"/>
        <v/>
      </c>
      <c r="F49" s="25" t="str">
        <f t="shared" si="4"/>
        <v/>
      </c>
      <c r="G49" s="47">
        <f t="shared" si="5"/>
        <v>0</v>
      </c>
      <c r="H49" s="52"/>
      <c r="I49" s="19"/>
      <c r="J49" s="15"/>
      <c r="K49"/>
      <c r="L49"/>
      <c r="M49"/>
      <c r="N49"/>
      <c r="O49"/>
      <c r="P49" s="15"/>
    </row>
    <row r="50" spans="1:16" x14ac:dyDescent="0.25">
      <c r="A50" s="17">
        <v>33</v>
      </c>
      <c r="B50" s="34" t="str">
        <f>IF(N(C50)=0,"",IF(ISNUMBER(MATCH(C50,C$26:C49,)),INDEX(B$26:B49,MATCH(C50,C$26:C49,)),MAX(B$26:B49)+1))</f>
        <v/>
      </c>
      <c r="C50" s="55"/>
      <c r="D50" s="7"/>
      <c r="E50" s="25" t="str">
        <f t="shared" si="3"/>
        <v/>
      </c>
      <c r="F50" s="25" t="str">
        <f t="shared" si="4"/>
        <v/>
      </c>
      <c r="G50" s="47">
        <f t="shared" si="5"/>
        <v>0</v>
      </c>
      <c r="H50" s="52"/>
      <c r="I50" s="19"/>
      <c r="J50" s="15"/>
      <c r="K50"/>
      <c r="L50"/>
      <c r="M50"/>
      <c r="N50"/>
      <c r="O50"/>
      <c r="P50" s="15"/>
    </row>
    <row r="51" spans="1:16" x14ac:dyDescent="0.25">
      <c r="A51" s="17">
        <v>34</v>
      </c>
      <c r="B51" s="34" t="str">
        <f>IF(N(C51)=0,"",IF(ISNUMBER(MATCH(C51,C$26:C50,)),INDEX(B$26:B50,MATCH(C51,C$26:C50,)),MAX(B$26:B50)+1))</f>
        <v/>
      </c>
      <c r="C51" s="55"/>
      <c r="D51" s="7"/>
      <c r="E51" s="25" t="str">
        <f t="shared" si="3"/>
        <v/>
      </c>
      <c r="F51" s="25" t="str">
        <f t="shared" si="4"/>
        <v/>
      </c>
      <c r="G51" s="47">
        <f t="shared" si="5"/>
        <v>0</v>
      </c>
      <c r="H51" s="52"/>
      <c r="I51" s="19"/>
      <c r="J51" s="15"/>
      <c r="K51"/>
      <c r="L51"/>
      <c r="M51"/>
      <c r="N51"/>
      <c r="O51"/>
      <c r="P51" s="15"/>
    </row>
    <row r="52" spans="1:16" x14ac:dyDescent="0.25">
      <c r="A52" s="17">
        <v>35</v>
      </c>
      <c r="B52" s="34" t="str">
        <f>IF(N(C52)=0,"",IF(ISNUMBER(MATCH(C52,C$26:C51,)),INDEX(B$26:B51,MATCH(C52,C$26:C51,)),MAX(B$26:B51)+1))</f>
        <v/>
      </c>
      <c r="C52" s="55"/>
      <c r="D52" s="7"/>
      <c r="E52" s="25" t="str">
        <f t="shared" si="3"/>
        <v/>
      </c>
      <c r="F52" s="25" t="str">
        <f t="shared" si="4"/>
        <v/>
      </c>
      <c r="G52" s="47">
        <f t="shared" si="5"/>
        <v>0</v>
      </c>
      <c r="H52" s="52"/>
      <c r="I52" s="19"/>
      <c r="J52" s="15"/>
      <c r="K52"/>
      <c r="L52"/>
      <c r="M52"/>
      <c r="N52"/>
      <c r="O52"/>
      <c r="P52" s="15"/>
    </row>
    <row r="53" spans="1:16" x14ac:dyDescent="0.25">
      <c r="A53" s="17">
        <v>36</v>
      </c>
      <c r="B53" s="34" t="str">
        <f>IF(N(C53)=0,"",IF(ISNUMBER(MATCH(C53,C$26:C52,)),INDEX(B$26:B52,MATCH(C53,C$26:C52,)),MAX(B$26:B52)+1))</f>
        <v/>
      </c>
      <c r="C53" s="55"/>
      <c r="D53" s="7"/>
      <c r="E53" s="25" t="str">
        <f t="shared" si="3"/>
        <v/>
      </c>
      <c r="F53" s="25" t="str">
        <f t="shared" si="4"/>
        <v/>
      </c>
      <c r="G53" s="47">
        <f t="shared" si="5"/>
        <v>0</v>
      </c>
      <c r="H53" s="52"/>
      <c r="I53" s="19"/>
      <c r="J53" s="15"/>
      <c r="K53"/>
      <c r="L53"/>
      <c r="M53"/>
      <c r="N53"/>
      <c r="O53"/>
      <c r="P53" s="15"/>
    </row>
    <row r="54" spans="1:16" x14ac:dyDescent="0.25">
      <c r="A54" s="17">
        <v>37</v>
      </c>
      <c r="B54" s="34" t="str">
        <f>IF(N(C54)=0,"",IF(ISNUMBER(MATCH(C54,C$26:C53,)),INDEX(B$26:B53,MATCH(C54,C$26:C53,)),MAX(B$26:B53)+1))</f>
        <v/>
      </c>
      <c r="C54" s="55"/>
      <c r="D54" s="7"/>
      <c r="E54" s="25" t="str">
        <f t="shared" si="3"/>
        <v/>
      </c>
      <c r="F54" s="25" t="str">
        <f t="shared" si="4"/>
        <v/>
      </c>
      <c r="G54" s="47">
        <f t="shared" si="5"/>
        <v>0</v>
      </c>
      <c r="H54" s="52"/>
      <c r="I54" s="19"/>
      <c r="J54" s="15"/>
      <c r="K54"/>
      <c r="L54"/>
      <c r="M54"/>
      <c r="N54"/>
      <c r="O54"/>
      <c r="P54" s="15"/>
    </row>
    <row r="55" spans="1:16" x14ac:dyDescent="0.25">
      <c r="A55" s="17">
        <v>38</v>
      </c>
      <c r="B55" s="34" t="str">
        <f>IF(N(C55)=0,"",IF(ISNUMBER(MATCH(C55,C$26:C54,)),INDEX(B$26:B54,MATCH(C55,C$26:C54,)),MAX(B$26:B54)+1))</f>
        <v/>
      </c>
      <c r="C55" s="55"/>
      <c r="D55" s="7"/>
      <c r="E55" s="25" t="str">
        <f t="shared" si="3"/>
        <v/>
      </c>
      <c r="F55" s="25" t="str">
        <f t="shared" si="4"/>
        <v/>
      </c>
      <c r="G55" s="47">
        <f t="shared" si="5"/>
        <v>0</v>
      </c>
      <c r="H55" s="52"/>
      <c r="I55" s="19"/>
      <c r="J55" s="15"/>
      <c r="K55"/>
      <c r="L55"/>
      <c r="M55"/>
      <c r="N55"/>
      <c r="O55"/>
      <c r="P55" s="15"/>
    </row>
    <row r="56" spans="1:16" x14ac:dyDescent="0.25">
      <c r="A56" s="17">
        <v>39</v>
      </c>
      <c r="B56" s="34" t="str">
        <f>IF(N(C56)=0,"",IF(ISNUMBER(MATCH(C56,C$26:C55,)),INDEX(B$26:B55,MATCH(C56,C$26:C55,)),MAX(B$26:B55)+1))</f>
        <v/>
      </c>
      <c r="C56" s="55"/>
      <c r="D56" s="7"/>
      <c r="E56" s="25" t="str">
        <f t="shared" si="3"/>
        <v/>
      </c>
      <c r="F56" s="25" t="str">
        <f t="shared" si="4"/>
        <v/>
      </c>
      <c r="G56" s="47">
        <f t="shared" si="5"/>
        <v>0</v>
      </c>
      <c r="H56" s="52"/>
      <c r="I56" s="19"/>
      <c r="J56" s="15"/>
      <c r="K56"/>
      <c r="L56"/>
      <c r="M56"/>
      <c r="N56"/>
      <c r="O56"/>
      <c r="P56" s="15"/>
    </row>
    <row r="57" spans="1:16" x14ac:dyDescent="0.25">
      <c r="A57" s="17">
        <v>40</v>
      </c>
      <c r="B57" s="34" t="str">
        <f>IF(N(C57)=0,"",IF(ISNUMBER(MATCH(C57,C$26:C56,)),INDEX(B$26:B56,MATCH(C57,C$26:C56,)),MAX(B$26:B56)+1))</f>
        <v/>
      </c>
      <c r="C57" s="55"/>
      <c r="D57" s="7"/>
      <c r="E57" s="25" t="str">
        <f t="shared" si="3"/>
        <v/>
      </c>
      <c r="F57" s="25" t="str">
        <f t="shared" si="4"/>
        <v/>
      </c>
      <c r="G57" s="47">
        <f t="shared" si="5"/>
        <v>0</v>
      </c>
      <c r="H57" s="52"/>
      <c r="I57" s="19"/>
      <c r="J57" s="15"/>
      <c r="K57"/>
      <c r="L57"/>
      <c r="M57"/>
      <c r="N57"/>
      <c r="O57"/>
      <c r="P57" s="15"/>
    </row>
    <row r="58" spans="1:16" x14ac:dyDescent="0.25">
      <c r="A58" s="17">
        <v>41</v>
      </c>
      <c r="B58" s="34" t="str">
        <f>IF(N(C58)=0,"",IF(ISNUMBER(MATCH(C58,C$26:C57,)),INDEX(B$26:B57,MATCH(C58,C$26:C57,)),MAX(B$26:B57)+1))</f>
        <v/>
      </c>
      <c r="C58" s="55"/>
      <c r="D58" s="7"/>
      <c r="E58" s="25" t="str">
        <f t="shared" si="3"/>
        <v/>
      </c>
      <c r="F58" s="25" t="str">
        <f t="shared" si="4"/>
        <v/>
      </c>
      <c r="G58" s="47">
        <f t="shared" si="5"/>
        <v>0</v>
      </c>
      <c r="H58" s="52"/>
      <c r="I58" s="19"/>
      <c r="J58" s="15"/>
      <c r="K58"/>
      <c r="L58"/>
      <c r="M58"/>
      <c r="N58"/>
      <c r="O58"/>
      <c r="P58" s="15"/>
    </row>
    <row r="59" spans="1:16" x14ac:dyDescent="0.25">
      <c r="A59" s="17">
        <v>42</v>
      </c>
      <c r="B59" s="34" t="str">
        <f>IF(N(C59)=0,"",IF(ISNUMBER(MATCH(C59,C$26:C58,)),INDEX(B$26:B58,MATCH(C59,C$26:C58,)),MAX(B$26:B58)+1))</f>
        <v/>
      </c>
      <c r="C59" s="55"/>
      <c r="D59" s="7"/>
      <c r="E59" s="25" t="str">
        <f t="shared" si="3"/>
        <v/>
      </c>
      <c r="F59" s="25" t="str">
        <f t="shared" si="4"/>
        <v/>
      </c>
      <c r="G59" s="47">
        <f t="shared" si="5"/>
        <v>0</v>
      </c>
      <c r="H59" s="52"/>
      <c r="I59" s="19"/>
      <c r="J59" s="15"/>
      <c r="K59"/>
      <c r="L59"/>
      <c r="M59"/>
      <c r="N59"/>
      <c r="O59"/>
      <c r="P59" s="15"/>
    </row>
    <row r="60" spans="1:16" x14ac:dyDescent="0.25">
      <c r="A60" s="17">
        <v>43</v>
      </c>
      <c r="B60" s="34" t="str">
        <f>IF(N(C60)=0,"",IF(ISNUMBER(MATCH(C60,C$26:C59,)),INDEX(B$26:B59,MATCH(C60,C$26:C59,)),MAX(B$26:B59)+1))</f>
        <v/>
      </c>
      <c r="C60" s="55"/>
      <c r="D60" s="7"/>
      <c r="E60" s="25" t="str">
        <f t="shared" si="3"/>
        <v/>
      </c>
      <c r="F60" s="25" t="str">
        <f t="shared" si="4"/>
        <v/>
      </c>
      <c r="G60" s="47">
        <f t="shared" si="5"/>
        <v>0</v>
      </c>
      <c r="H60" s="52"/>
      <c r="I60" s="19"/>
      <c r="J60" s="15"/>
      <c r="K60"/>
      <c r="L60"/>
      <c r="M60"/>
      <c r="N60"/>
      <c r="O60"/>
      <c r="P60" s="15"/>
    </row>
    <row r="61" spans="1:16" x14ac:dyDescent="0.25">
      <c r="A61" s="17">
        <v>44</v>
      </c>
      <c r="B61" s="34" t="str">
        <f>IF(N(C61)=0,"",IF(ISNUMBER(MATCH(C61,C$26:C60,)),INDEX(B$26:B60,MATCH(C61,C$26:C60,)),MAX(B$26:B60)+1))</f>
        <v/>
      </c>
      <c r="C61" s="55"/>
      <c r="D61" s="7"/>
      <c r="E61" s="25" t="str">
        <f t="shared" si="3"/>
        <v/>
      </c>
      <c r="F61" s="25" t="str">
        <f t="shared" si="4"/>
        <v/>
      </c>
      <c r="G61" s="47">
        <f t="shared" si="5"/>
        <v>0</v>
      </c>
      <c r="H61" s="52"/>
      <c r="I61" s="19"/>
      <c r="J61" s="15"/>
      <c r="K61"/>
      <c r="L61"/>
      <c r="M61"/>
      <c r="N61"/>
      <c r="O61"/>
      <c r="P61" s="15"/>
    </row>
    <row r="62" spans="1:16" x14ac:dyDescent="0.25">
      <c r="A62" s="17">
        <v>45</v>
      </c>
      <c r="B62" s="34" t="str">
        <f>IF(N(C62)=0,"",IF(ISNUMBER(MATCH(C62,C$26:C61,)),INDEX(B$26:B61,MATCH(C62,C$26:C61,)),MAX(B$26:B61)+1))</f>
        <v/>
      </c>
      <c r="C62" s="55"/>
      <c r="D62" s="7"/>
      <c r="E62" s="25" t="str">
        <f t="shared" si="3"/>
        <v/>
      </c>
      <c r="F62" s="25" t="str">
        <f t="shared" si="4"/>
        <v/>
      </c>
      <c r="G62" s="47">
        <f t="shared" si="5"/>
        <v>0</v>
      </c>
      <c r="H62" s="52"/>
      <c r="I62" s="19"/>
      <c r="J62" s="15"/>
      <c r="K62"/>
      <c r="L62"/>
      <c r="M62"/>
      <c r="N62"/>
      <c r="O62"/>
      <c r="P62" s="15"/>
    </row>
    <row r="63" spans="1:16" x14ac:dyDescent="0.25">
      <c r="A63" s="17">
        <v>46</v>
      </c>
      <c r="B63" s="34" t="str">
        <f>IF(N(C63)=0,"",IF(ISNUMBER(MATCH(C63,C$26:C62,)),INDEX(B$26:B62,MATCH(C63,C$26:C62,)),MAX(B$26:B62)+1))</f>
        <v/>
      </c>
      <c r="C63" s="55"/>
      <c r="D63" s="7"/>
      <c r="E63" s="25" t="str">
        <f t="shared" si="3"/>
        <v/>
      </c>
      <c r="F63" s="25" t="str">
        <f t="shared" si="4"/>
        <v/>
      </c>
      <c r="G63" s="47">
        <f t="shared" si="5"/>
        <v>0</v>
      </c>
      <c r="H63" s="52"/>
      <c r="I63" s="19"/>
      <c r="J63" s="15"/>
      <c r="K63"/>
      <c r="L63"/>
      <c r="M63"/>
      <c r="N63"/>
      <c r="O63"/>
      <c r="P63" s="15"/>
    </row>
    <row r="64" spans="1:16" x14ac:dyDescent="0.25">
      <c r="A64" s="17">
        <v>47</v>
      </c>
      <c r="B64" s="34" t="str">
        <f>IF(N(C64)=0,"",IF(ISNUMBER(MATCH(C64,C$26:C63,)),INDEX(B$26:B63,MATCH(C64,C$26:C63,)),MAX(B$26:B63)+1))</f>
        <v/>
      </c>
      <c r="C64" s="55"/>
      <c r="D64" s="7"/>
      <c r="E64" s="25" t="str">
        <f t="shared" si="3"/>
        <v/>
      </c>
      <c r="F64" s="25" t="str">
        <f t="shared" si="4"/>
        <v/>
      </c>
      <c r="G64" s="47">
        <f t="shared" si="5"/>
        <v>0</v>
      </c>
      <c r="H64" s="52"/>
      <c r="I64" s="19"/>
      <c r="J64" s="15"/>
      <c r="K64"/>
      <c r="L64"/>
      <c r="M64"/>
      <c r="N64"/>
      <c r="O64"/>
      <c r="P64" s="15"/>
    </row>
    <row r="65" spans="1:16" x14ac:dyDescent="0.25">
      <c r="A65" s="17">
        <v>48</v>
      </c>
      <c r="B65" s="34" t="str">
        <f>IF(N(C65)=0,"",IF(ISNUMBER(MATCH(C65,C$26:C64,)),INDEX(B$26:B64,MATCH(C65,C$26:C64,)),MAX(B$26:B64)+1))</f>
        <v/>
      </c>
      <c r="C65" s="55"/>
      <c r="D65" s="7"/>
      <c r="E65" s="25" t="str">
        <f t="shared" si="3"/>
        <v/>
      </c>
      <c r="F65" s="25" t="str">
        <f t="shared" si="4"/>
        <v/>
      </c>
      <c r="G65" s="47">
        <f t="shared" si="5"/>
        <v>0</v>
      </c>
      <c r="H65" s="52"/>
      <c r="I65" s="19"/>
      <c r="J65" s="15"/>
      <c r="K65"/>
      <c r="L65"/>
      <c r="M65"/>
      <c r="N65"/>
      <c r="O65"/>
      <c r="P65" s="15"/>
    </row>
    <row r="66" spans="1:16" x14ac:dyDescent="0.25">
      <c r="A66" s="17">
        <v>49</v>
      </c>
      <c r="B66" s="34" t="str">
        <f>IF(N(C66)=0,"",IF(ISNUMBER(MATCH(C66,C$26:C65,)),INDEX(B$26:B65,MATCH(C66,C$26:C65,)),MAX(B$26:B65)+1))</f>
        <v/>
      </c>
      <c r="C66" s="55"/>
      <c r="D66" s="7"/>
      <c r="E66" s="25" t="str">
        <f t="shared" si="3"/>
        <v/>
      </c>
      <c r="F66" s="25" t="str">
        <f t="shared" si="4"/>
        <v/>
      </c>
      <c r="G66" s="47">
        <f t="shared" si="5"/>
        <v>0</v>
      </c>
      <c r="H66" s="52"/>
      <c r="I66" s="19"/>
      <c r="J66" s="15"/>
      <c r="K66"/>
      <c r="L66"/>
      <c r="M66"/>
      <c r="N66"/>
      <c r="O66"/>
      <c r="P66" s="15"/>
    </row>
    <row r="67" spans="1:16" x14ac:dyDescent="0.25">
      <c r="A67" s="17">
        <v>50</v>
      </c>
      <c r="B67" s="34" t="str">
        <f>IF(N(C67)=0,"",IF(ISNUMBER(MATCH(C67,C$26:C66,)),INDEX(B$26:B66,MATCH(C67,C$26:C66,)),MAX(B$26:B66)+1))</f>
        <v/>
      </c>
      <c r="C67" s="55"/>
      <c r="D67" s="7"/>
      <c r="E67" s="25" t="str">
        <f t="shared" si="3"/>
        <v/>
      </c>
      <c r="F67" s="25" t="str">
        <f t="shared" si="4"/>
        <v/>
      </c>
      <c r="G67" s="47">
        <f t="shared" si="5"/>
        <v>0</v>
      </c>
      <c r="H67" s="52"/>
      <c r="I67" s="19"/>
      <c r="J67" s="15"/>
      <c r="K67"/>
      <c r="L67"/>
      <c r="M67"/>
      <c r="N67"/>
      <c r="O67"/>
      <c r="P67" s="15"/>
    </row>
    <row r="68" spans="1:16" x14ac:dyDescent="0.25">
      <c r="A68" s="17">
        <v>51</v>
      </c>
      <c r="B68" s="34" t="str">
        <f>IF(N(C68)=0,"",IF(ISNUMBER(MATCH(C68,C$26:C67,)),INDEX(B$26:B67,MATCH(C68,C$26:C67,)),MAX(B$26:B67)+1))</f>
        <v/>
      </c>
      <c r="C68" s="55"/>
      <c r="D68" s="7"/>
      <c r="E68" s="25" t="str">
        <f t="shared" si="3"/>
        <v/>
      </c>
      <c r="F68" s="25" t="str">
        <f t="shared" si="4"/>
        <v/>
      </c>
      <c r="G68" s="47">
        <f t="shared" si="5"/>
        <v>0</v>
      </c>
      <c r="H68" s="52"/>
      <c r="I68" s="19"/>
      <c r="J68" s="15"/>
      <c r="K68"/>
      <c r="L68"/>
      <c r="M68"/>
      <c r="N68"/>
      <c r="O68"/>
      <c r="P68" s="15"/>
    </row>
    <row r="69" spans="1:16" x14ac:dyDescent="0.25">
      <c r="A69" s="17">
        <v>52</v>
      </c>
      <c r="B69" s="34" t="str">
        <f>IF(N(C69)=0,"",IF(ISNUMBER(MATCH(C69,C$26:C68,)),INDEX(B$26:B68,MATCH(C69,C$26:C68,)),MAX(B$26:B68)+1))</f>
        <v/>
      </c>
      <c r="C69" s="55"/>
      <c r="D69" s="7"/>
      <c r="E69" s="25" t="str">
        <f t="shared" si="3"/>
        <v/>
      </c>
      <c r="F69" s="25" t="str">
        <f t="shared" si="4"/>
        <v/>
      </c>
      <c r="G69" s="47">
        <f t="shared" si="5"/>
        <v>0</v>
      </c>
      <c r="H69" s="52"/>
      <c r="I69" s="19"/>
      <c r="J69" s="15"/>
      <c r="K69"/>
      <c r="L69"/>
      <c r="M69"/>
      <c r="N69"/>
      <c r="O69"/>
      <c r="P69" s="15"/>
    </row>
    <row r="70" spans="1:16" x14ac:dyDescent="0.25">
      <c r="A70" s="17">
        <v>53</v>
      </c>
      <c r="B70" s="34" t="str">
        <f>IF(N(C70)=0,"",IF(ISNUMBER(MATCH(C70,C$26:C69,)),INDEX(B$26:B69,MATCH(C70,C$26:C69,)),MAX(B$26:B69)+1))</f>
        <v/>
      </c>
      <c r="C70" s="55"/>
      <c r="D70" s="7"/>
      <c r="E70" s="25" t="str">
        <f t="shared" si="3"/>
        <v/>
      </c>
      <c r="F70" s="25" t="str">
        <f t="shared" si="4"/>
        <v/>
      </c>
      <c r="G70" s="47">
        <f t="shared" si="5"/>
        <v>0</v>
      </c>
      <c r="H70" s="52"/>
      <c r="I70" s="19"/>
      <c r="J70" s="15"/>
      <c r="K70"/>
      <c r="L70"/>
      <c r="M70"/>
      <c r="N70"/>
      <c r="O70"/>
      <c r="P70" s="15"/>
    </row>
    <row r="71" spans="1:16" x14ac:dyDescent="0.25">
      <c r="A71" s="17">
        <v>54</v>
      </c>
      <c r="B71" s="34" t="str">
        <f>IF(N(C71)=0,"",IF(ISNUMBER(MATCH(C71,C$26:C70,)),INDEX(B$26:B70,MATCH(C71,C$26:C70,)),MAX(B$26:B70)+1))</f>
        <v/>
      </c>
      <c r="C71" s="55"/>
      <c r="D71" s="7"/>
      <c r="E71" s="25" t="str">
        <f t="shared" si="3"/>
        <v/>
      </c>
      <c r="F71" s="25" t="str">
        <f t="shared" si="4"/>
        <v/>
      </c>
      <c r="G71" s="47">
        <f t="shared" si="5"/>
        <v>0</v>
      </c>
      <c r="H71" s="52"/>
      <c r="I71" s="19"/>
      <c r="J71" s="15"/>
      <c r="K71"/>
      <c r="L71"/>
      <c r="M71"/>
      <c r="N71"/>
      <c r="O71"/>
      <c r="P71" s="15"/>
    </row>
    <row r="72" spans="1:16" x14ac:dyDescent="0.25">
      <c r="A72" s="17">
        <v>55</v>
      </c>
      <c r="B72" s="34" t="str">
        <f>IF(N(C72)=0,"",IF(ISNUMBER(MATCH(C72,C$26:C71,)),INDEX(B$26:B71,MATCH(C72,C$26:C71,)),MAX(B$26:B71)+1))</f>
        <v/>
      </c>
      <c r="C72" s="55"/>
      <c r="D72" s="7"/>
      <c r="E72" s="25" t="str">
        <f t="shared" si="3"/>
        <v/>
      </c>
      <c r="F72" s="25" t="str">
        <f t="shared" si="4"/>
        <v/>
      </c>
      <c r="G72" s="47">
        <f t="shared" si="5"/>
        <v>0</v>
      </c>
      <c r="H72" s="52"/>
      <c r="I72" s="19"/>
      <c r="J72" s="15"/>
      <c r="K72"/>
      <c r="L72"/>
      <c r="M72"/>
      <c r="N72"/>
      <c r="O72"/>
      <c r="P72" s="15"/>
    </row>
    <row r="73" spans="1:16" x14ac:dyDescent="0.25">
      <c r="A73" s="17">
        <v>56</v>
      </c>
      <c r="B73" s="34" t="str">
        <f>IF(N(C73)=0,"",IF(ISNUMBER(MATCH(C73,C$26:C72,)),INDEX(B$26:B72,MATCH(C73,C$26:C72,)),MAX(B$26:B72)+1))</f>
        <v/>
      </c>
      <c r="C73" s="55"/>
      <c r="D73" s="7"/>
      <c r="E73" s="25" t="str">
        <f t="shared" si="3"/>
        <v/>
      </c>
      <c r="F73" s="25" t="str">
        <f t="shared" si="4"/>
        <v/>
      </c>
      <c r="G73" s="47">
        <f t="shared" si="5"/>
        <v>0</v>
      </c>
      <c r="H73" s="52"/>
      <c r="I73" s="19"/>
      <c r="J73" s="15"/>
      <c r="K73"/>
      <c r="L73"/>
      <c r="M73"/>
      <c r="N73"/>
      <c r="O73"/>
      <c r="P73" s="15"/>
    </row>
    <row r="74" spans="1:16" x14ac:dyDescent="0.25">
      <c r="A74" s="17">
        <v>57</v>
      </c>
      <c r="B74" s="34" t="str">
        <f>IF(N(C74)=0,"",IF(ISNUMBER(MATCH(C74,C$26:C73,)),INDEX(B$26:B73,MATCH(C74,C$26:C73,)),MAX(B$26:B73)+1))</f>
        <v/>
      </c>
      <c r="C74" s="55"/>
      <c r="D74" s="7"/>
      <c r="E74" s="25" t="str">
        <f t="shared" si="3"/>
        <v/>
      </c>
      <c r="F74" s="25" t="str">
        <f t="shared" si="4"/>
        <v/>
      </c>
      <c r="G74" s="47">
        <f t="shared" si="5"/>
        <v>0</v>
      </c>
      <c r="H74" s="52"/>
      <c r="I74" s="19"/>
      <c r="J74" s="15"/>
      <c r="K74"/>
      <c r="L74"/>
      <c r="M74"/>
      <c r="N74"/>
      <c r="O74"/>
      <c r="P74" s="15"/>
    </row>
    <row r="75" spans="1:16" x14ac:dyDescent="0.25">
      <c r="A75" s="17">
        <v>58</v>
      </c>
      <c r="B75" s="34" t="str">
        <f>IF(N(C75)=0,"",IF(ISNUMBER(MATCH(C75,C$26:C74,)),INDEX(B$26:B74,MATCH(C75,C$26:C74,)),MAX(B$26:B74)+1))</f>
        <v/>
      </c>
      <c r="C75" s="55"/>
      <c r="D75" s="7"/>
      <c r="E75" s="25" t="str">
        <f t="shared" si="3"/>
        <v/>
      </c>
      <c r="F75" s="25" t="str">
        <f t="shared" si="4"/>
        <v/>
      </c>
      <c r="G75" s="47">
        <f t="shared" si="5"/>
        <v>0</v>
      </c>
      <c r="H75" s="52"/>
      <c r="I75" s="19"/>
      <c r="J75" s="15"/>
      <c r="K75"/>
      <c r="L75"/>
      <c r="M75"/>
      <c r="N75"/>
      <c r="O75"/>
      <c r="P75" s="15"/>
    </row>
    <row r="76" spans="1:16" x14ac:dyDescent="0.25">
      <c r="A76" s="17">
        <v>59</v>
      </c>
      <c r="B76" s="34" t="str">
        <f>IF(N(C76)=0,"",IF(ISNUMBER(MATCH(C76,C$26:C75,)),INDEX(B$26:B75,MATCH(C76,C$26:C75,)),MAX(B$26:B75)+1))</f>
        <v/>
      </c>
      <c r="C76" s="55"/>
      <c r="D76" s="7"/>
      <c r="E76" s="25" t="str">
        <f t="shared" si="3"/>
        <v/>
      </c>
      <c r="F76" s="25" t="str">
        <f t="shared" si="4"/>
        <v/>
      </c>
      <c r="G76" s="47">
        <f t="shared" si="5"/>
        <v>0</v>
      </c>
      <c r="H76" s="52"/>
      <c r="I76" s="19"/>
      <c r="J76" s="15"/>
      <c r="K76"/>
      <c r="L76"/>
      <c r="M76"/>
      <c r="N76"/>
      <c r="O76"/>
      <c r="P76" s="15"/>
    </row>
    <row r="77" spans="1:16" x14ac:dyDescent="0.25">
      <c r="A77" s="17">
        <v>60</v>
      </c>
      <c r="B77" s="34" t="str">
        <f>IF(N(C77)=0,"",IF(ISNUMBER(MATCH(C77,C$26:C76,)),INDEX(B$26:B76,MATCH(C77,C$26:C76,)),MAX(B$26:B76)+1))</f>
        <v/>
      </c>
      <c r="C77" s="55"/>
      <c r="D77" s="7"/>
      <c r="E77" s="25" t="str">
        <f t="shared" si="3"/>
        <v/>
      </c>
      <c r="F77" s="25" t="str">
        <f t="shared" si="4"/>
        <v/>
      </c>
      <c r="G77" s="47">
        <f t="shared" si="5"/>
        <v>0</v>
      </c>
      <c r="H77" s="52"/>
      <c r="I77" s="19"/>
      <c r="J77" s="15"/>
      <c r="K77"/>
      <c r="L77"/>
      <c r="M77"/>
      <c r="N77"/>
      <c r="O77"/>
      <c r="P77" s="15"/>
    </row>
    <row r="78" spans="1:16" x14ac:dyDescent="0.25">
      <c r="A78" s="17">
        <v>61</v>
      </c>
      <c r="B78" s="34" t="str">
        <f>IF(N(C78)=0,"",IF(ISNUMBER(MATCH(C78,C$26:C77,)),INDEX(B$26:B77,MATCH(C78,C$26:C77,)),MAX(B$26:B77)+1))</f>
        <v/>
      </c>
      <c r="C78" s="55"/>
      <c r="D78" s="7"/>
      <c r="E78" s="25" t="str">
        <f t="shared" si="3"/>
        <v/>
      </c>
      <c r="F78" s="25" t="str">
        <f t="shared" si="4"/>
        <v/>
      </c>
      <c r="G78" s="47">
        <f t="shared" si="5"/>
        <v>0</v>
      </c>
      <c r="H78" s="52"/>
      <c r="I78" s="19"/>
      <c r="J78" s="15"/>
      <c r="K78"/>
      <c r="L78"/>
      <c r="M78"/>
      <c r="N78"/>
      <c r="O78"/>
      <c r="P78" s="15"/>
    </row>
    <row r="79" spans="1:16" x14ac:dyDescent="0.25">
      <c r="A79" s="17">
        <v>62</v>
      </c>
      <c r="B79" s="34" t="str">
        <f>IF(N(C79)=0,"",IF(ISNUMBER(MATCH(C79,C$26:C78,)),INDEX(B$26:B78,MATCH(C79,C$26:C78,)),MAX(B$26:B78)+1))</f>
        <v/>
      </c>
      <c r="C79" s="55"/>
      <c r="D79" s="7"/>
      <c r="E79" s="25" t="str">
        <f t="shared" si="3"/>
        <v/>
      </c>
      <c r="F79" s="25" t="str">
        <f t="shared" si="4"/>
        <v/>
      </c>
      <c r="G79" s="47">
        <f t="shared" si="5"/>
        <v>0</v>
      </c>
      <c r="H79" s="52"/>
      <c r="I79" s="19"/>
      <c r="J79" s="15"/>
      <c r="K79"/>
      <c r="L79"/>
      <c r="M79"/>
      <c r="N79"/>
      <c r="O79"/>
      <c r="P79" s="15"/>
    </row>
    <row r="80" spans="1:16" x14ac:dyDescent="0.25">
      <c r="A80" s="17">
        <v>63</v>
      </c>
      <c r="B80" s="34" t="str">
        <f>IF(N(C80)=0,"",IF(ISNUMBER(MATCH(C80,C$26:C79,)),INDEX(B$26:B79,MATCH(C80,C$26:C79,)),MAX(B$26:B79)+1))</f>
        <v/>
      </c>
      <c r="C80" s="55"/>
      <c r="D80" s="7"/>
      <c r="E80" s="25" t="str">
        <f t="shared" si="3"/>
        <v/>
      </c>
      <c r="F80" s="25" t="str">
        <f t="shared" si="4"/>
        <v/>
      </c>
      <c r="G80" s="47">
        <f t="shared" si="5"/>
        <v>0</v>
      </c>
      <c r="H80" s="52"/>
      <c r="I80" s="19"/>
      <c r="J80" s="15"/>
      <c r="K80"/>
      <c r="L80"/>
      <c r="M80"/>
      <c r="N80"/>
      <c r="O80"/>
      <c r="P80" s="15"/>
    </row>
    <row r="81" spans="1:16" x14ac:dyDescent="0.25">
      <c r="A81" s="17">
        <v>64</v>
      </c>
      <c r="B81" s="34" t="str">
        <f>IF(N(C81)=0,"",IF(ISNUMBER(MATCH(C81,C$26:C80,)),INDEX(B$26:B80,MATCH(C81,C$26:C80,)),MAX(B$26:B80)+1))</f>
        <v/>
      </c>
      <c r="C81" s="55"/>
      <c r="D81" s="7"/>
      <c r="E81" s="25" t="str">
        <f t="shared" si="3"/>
        <v/>
      </c>
      <c r="F81" s="25" t="str">
        <f t="shared" si="4"/>
        <v/>
      </c>
      <c r="G81" s="47">
        <f t="shared" si="5"/>
        <v>0</v>
      </c>
      <c r="H81" s="52"/>
      <c r="I81" s="19"/>
      <c r="J81" s="15"/>
      <c r="K81"/>
      <c r="L81"/>
      <c r="M81"/>
      <c r="N81"/>
      <c r="O81"/>
      <c r="P81" s="15"/>
    </row>
    <row r="82" spans="1:16" x14ac:dyDescent="0.25">
      <c r="A82" s="17">
        <v>65</v>
      </c>
      <c r="B82" s="34" t="str">
        <f>IF(N(C82)=0,"",IF(ISNUMBER(MATCH(C82,C$26:C81,)),INDEX(B$26:B81,MATCH(C82,C$26:C81,)),MAX(B$26:B81)+1))</f>
        <v/>
      </c>
      <c r="C82" s="55"/>
      <c r="D82" s="7"/>
      <c r="E82" s="25" t="str">
        <f t="shared" si="3"/>
        <v/>
      </c>
      <c r="F82" s="25" t="str">
        <f t="shared" si="4"/>
        <v/>
      </c>
      <c r="G82" s="47">
        <f t="shared" si="5"/>
        <v>0</v>
      </c>
      <c r="H82" s="52"/>
      <c r="I82" s="19"/>
      <c r="J82" s="15"/>
      <c r="K82"/>
      <c r="L82"/>
      <c r="M82"/>
      <c r="N82"/>
      <c r="O82"/>
      <c r="P82" s="15"/>
    </row>
    <row r="83" spans="1:16" x14ac:dyDescent="0.25">
      <c r="A83" s="17">
        <v>66</v>
      </c>
      <c r="B83" s="34" t="str">
        <f>IF(N(C83)=0,"",IF(ISNUMBER(MATCH(C83,C$26:C82,)),INDEX(B$26:B82,MATCH(C83,C$26:C82,)),MAX(B$26:B82)+1))</f>
        <v/>
      </c>
      <c r="C83" s="55"/>
      <c r="D83" s="7"/>
      <c r="E83" s="25" t="str">
        <f t="shared" si="3"/>
        <v/>
      </c>
      <c r="F83" s="25" t="str">
        <f t="shared" si="4"/>
        <v/>
      </c>
      <c r="G83" s="47">
        <f t="shared" si="5"/>
        <v>0</v>
      </c>
      <c r="H83" s="52"/>
      <c r="I83" s="19"/>
      <c r="J83" s="15"/>
      <c r="K83"/>
      <c r="L83"/>
      <c r="M83"/>
      <c r="N83"/>
      <c r="O83"/>
      <c r="P83" s="15"/>
    </row>
    <row r="84" spans="1:16" x14ac:dyDescent="0.25">
      <c r="A84" s="17">
        <v>67</v>
      </c>
      <c r="B84" s="34" t="str">
        <f>IF(N(C84)=0,"",IF(ISNUMBER(MATCH(C84,C$26:C83,)),INDEX(B$26:B83,MATCH(C84,C$26:C83,)),MAX(B$26:B83)+1))</f>
        <v/>
      </c>
      <c r="C84" s="55"/>
      <c r="D84" s="7"/>
      <c r="E84" s="25" t="str">
        <f t="shared" si="3"/>
        <v/>
      </c>
      <c r="F84" s="25" t="str">
        <f t="shared" si="4"/>
        <v/>
      </c>
      <c r="G84" s="47">
        <f t="shared" si="5"/>
        <v>0</v>
      </c>
      <c r="H84" s="52"/>
      <c r="I84" s="19"/>
      <c r="J84" s="15"/>
      <c r="K84"/>
      <c r="L84"/>
      <c r="M84"/>
      <c r="N84"/>
      <c r="O84"/>
      <c r="P84" s="15"/>
    </row>
    <row r="85" spans="1:16" x14ac:dyDescent="0.25">
      <c r="A85" s="17">
        <v>68</v>
      </c>
      <c r="B85" s="34" t="str">
        <f>IF(N(C85)=0,"",IF(ISNUMBER(MATCH(C85,C$26:C84,)),INDEX(B$26:B84,MATCH(C85,C$26:C84,)),MAX(B$26:B84)+1))</f>
        <v/>
      </c>
      <c r="C85" s="55"/>
      <c r="D85" s="7"/>
      <c r="E85" s="25" t="str">
        <f t="shared" si="3"/>
        <v/>
      </c>
      <c r="F85" s="25" t="str">
        <f t="shared" si="4"/>
        <v/>
      </c>
      <c r="G85" s="47">
        <f t="shared" si="5"/>
        <v>0</v>
      </c>
      <c r="H85" s="52"/>
      <c r="I85" s="19"/>
      <c r="J85" s="15"/>
      <c r="K85"/>
      <c r="L85"/>
      <c r="M85"/>
      <c r="N85"/>
      <c r="O85"/>
    </row>
    <row r="86" spans="1:16" x14ac:dyDescent="0.25">
      <c r="A86" s="17">
        <v>69</v>
      </c>
      <c r="B86" s="34" t="str">
        <f>IF(N(C86)=0,"",IF(ISNUMBER(MATCH(C86,C$26:C85,)),INDEX(B$26:B85,MATCH(C86,C$26:C85,)),MAX(B$26:B85)+1))</f>
        <v/>
      </c>
      <c r="C86" s="55"/>
      <c r="D86" s="7"/>
      <c r="E86" s="25" t="str">
        <f t="shared" si="3"/>
        <v/>
      </c>
      <c r="F86" s="25" t="str">
        <f t="shared" si="4"/>
        <v/>
      </c>
      <c r="G86" s="47">
        <f t="shared" si="5"/>
        <v>0</v>
      </c>
      <c r="H86" s="52"/>
      <c r="I86" s="19"/>
      <c r="J86" s="15"/>
      <c r="K86"/>
      <c r="L86"/>
      <c r="M86"/>
      <c r="N86"/>
      <c r="O86"/>
    </row>
    <row r="87" spans="1:16" x14ac:dyDescent="0.25">
      <c r="A87" s="17">
        <v>70</v>
      </c>
      <c r="B87" s="34" t="str">
        <f>IF(N(C87)=0,"",IF(ISNUMBER(MATCH(C87,C$26:C86,)),INDEX(B$26:B86,MATCH(C87,C$26:C86,)),MAX(B$26:B86)+1))</f>
        <v/>
      </c>
      <c r="C87" s="55"/>
      <c r="D87" s="7"/>
      <c r="E87" s="25" t="str">
        <f t="shared" si="3"/>
        <v/>
      </c>
      <c r="F87" s="25" t="str">
        <f t="shared" si="4"/>
        <v/>
      </c>
      <c r="G87" s="47">
        <f t="shared" si="5"/>
        <v>0</v>
      </c>
      <c r="H87" s="52"/>
      <c r="I87" s="19"/>
      <c r="J87" s="15"/>
      <c r="K87"/>
      <c r="L87"/>
      <c r="M87"/>
      <c r="N87"/>
      <c r="O87"/>
    </row>
    <row r="88" spans="1:16" x14ac:dyDescent="0.25">
      <c r="A88" s="17">
        <v>71</v>
      </c>
      <c r="B88" s="34" t="str">
        <f>IF(N(C88)=0,"",IF(ISNUMBER(MATCH(C88,C$26:C87,)),INDEX(B$26:B87,MATCH(C88,C$26:C87,)),MAX(B$26:B87)+1))</f>
        <v/>
      </c>
      <c r="C88" s="55"/>
      <c r="D88" s="7"/>
      <c r="E88" s="25" t="str">
        <f t="shared" si="3"/>
        <v/>
      </c>
      <c r="F88" s="25" t="str">
        <f t="shared" si="4"/>
        <v/>
      </c>
      <c r="G88" s="47">
        <f t="shared" si="5"/>
        <v>0</v>
      </c>
      <c r="H88" s="52"/>
      <c r="I88" s="19"/>
      <c r="J88" s="15"/>
      <c r="K88"/>
      <c r="L88"/>
      <c r="M88"/>
      <c r="N88"/>
      <c r="O88"/>
    </row>
    <row r="89" spans="1:16" x14ac:dyDescent="0.25">
      <c r="A89" s="17">
        <v>72</v>
      </c>
      <c r="B89" s="34" t="str">
        <f>IF(N(C89)=0,"",IF(ISNUMBER(MATCH(C89,C$26:C88,)),INDEX(B$26:B88,MATCH(C89,C$26:C88,)),MAX(B$26:B88)+1))</f>
        <v/>
      </c>
      <c r="C89" s="55"/>
      <c r="D89" s="7"/>
      <c r="E89" s="25" t="str">
        <f t="shared" si="3"/>
        <v/>
      </c>
      <c r="F89" s="25" t="str">
        <f t="shared" si="4"/>
        <v/>
      </c>
      <c r="G89" s="47">
        <f t="shared" si="5"/>
        <v>0</v>
      </c>
      <c r="H89" s="52"/>
      <c r="I89" s="19"/>
      <c r="J89" s="15"/>
      <c r="K89"/>
      <c r="L89"/>
      <c r="M89"/>
      <c r="N89"/>
      <c r="O89"/>
    </row>
    <row r="90" spans="1:16" x14ac:dyDescent="0.25">
      <c r="A90" s="17">
        <v>73</v>
      </c>
      <c r="B90" s="34" t="str">
        <f>IF(N(C90)=0,"",IF(ISNUMBER(MATCH(C90,C$26:C89,)),INDEX(B$26:B89,MATCH(C90,C$26:C89,)),MAX(B$26:B89)+1))</f>
        <v/>
      </c>
      <c r="C90" s="55"/>
      <c r="D90" s="7"/>
      <c r="E90" s="25" t="str">
        <f t="shared" ref="E90:E115" si="6">IF($K$3=0,0,IF(ISNA(VLOOKUP(C90,H$26:I$115,2,))*C90,D90,IF(C90="","",IF(D90="",TRUNC($C$3/C90)-VLOOKUP(C90,H$26:I$115,2,),D90-VLOOKUP(C90,H$26:I$115,2,)))))</f>
        <v/>
      </c>
      <c r="F90" s="25" t="str">
        <f t="shared" ref="F90:F115" si="7">IF($K$3=0,"",IF(AND(C90&lt;&gt;"",D90&lt;&gt;""),D90-E90,IF(D90="","",TRUNC($C$3/C90)-VLOOKUP(C90,H$26:I$115,2,))))</f>
        <v/>
      </c>
      <c r="G90" s="47">
        <f t="shared" si="5"/>
        <v>0</v>
      </c>
      <c r="H90" s="52"/>
      <c r="I90" s="19"/>
      <c r="J90" s="15"/>
      <c r="K90"/>
      <c r="L90"/>
      <c r="M90"/>
      <c r="N90"/>
      <c r="O90"/>
    </row>
    <row r="91" spans="1:16" x14ac:dyDescent="0.25">
      <c r="A91" s="17">
        <v>74</v>
      </c>
      <c r="B91" s="34" t="str">
        <f>IF(N(C91)=0,"",IF(ISNUMBER(MATCH(C91,C$26:C90,)),INDEX(B$26:B90,MATCH(C91,C$26:C90,)),MAX(B$26:B90)+1))</f>
        <v/>
      </c>
      <c r="C91" s="55"/>
      <c r="D91" s="7"/>
      <c r="E91" s="25" t="str">
        <f t="shared" si="6"/>
        <v/>
      </c>
      <c r="F91" s="25" t="str">
        <f t="shared" si="7"/>
        <v/>
      </c>
      <c r="G91" s="47">
        <f t="shared" ref="G91:G114" si="8">--(C91+H91+K91&gt;0)</f>
        <v>0</v>
      </c>
      <c r="H91" s="52"/>
      <c r="I91" s="19"/>
      <c r="J91" s="15"/>
      <c r="K91"/>
      <c r="L91"/>
      <c r="M91"/>
      <c r="N91"/>
      <c r="O91"/>
    </row>
    <row r="92" spans="1:16" x14ac:dyDescent="0.25">
      <c r="A92" s="17">
        <v>75</v>
      </c>
      <c r="B92" s="34" t="str">
        <f>IF(N(C92)=0,"",IF(ISNUMBER(MATCH(C92,C$26:C91,)),INDEX(B$26:B91,MATCH(C92,C$26:C91,)),MAX(B$26:B91)+1))</f>
        <v/>
      </c>
      <c r="C92" s="55"/>
      <c r="D92" s="7"/>
      <c r="E92" s="25" t="str">
        <f t="shared" si="6"/>
        <v/>
      </c>
      <c r="F92" s="25" t="str">
        <f t="shared" si="7"/>
        <v/>
      </c>
      <c r="G92" s="47">
        <f t="shared" si="8"/>
        <v>0</v>
      </c>
      <c r="H92" s="52"/>
      <c r="I92" s="19"/>
      <c r="J92" s="15"/>
      <c r="K92"/>
      <c r="L92"/>
      <c r="M92"/>
      <c r="N92"/>
      <c r="O92"/>
    </row>
    <row r="93" spans="1:16" x14ac:dyDescent="0.25">
      <c r="A93" s="17">
        <v>76</v>
      </c>
      <c r="B93" s="34" t="str">
        <f>IF(N(C93)=0,"",IF(ISNUMBER(MATCH(C93,C$26:C92,)),INDEX(B$26:B92,MATCH(C93,C$26:C92,)),MAX(B$26:B92)+1))</f>
        <v/>
      </c>
      <c r="C93" s="55"/>
      <c r="D93" s="7"/>
      <c r="E93" s="25" t="str">
        <f t="shared" si="6"/>
        <v/>
      </c>
      <c r="F93" s="25" t="str">
        <f t="shared" si="7"/>
        <v/>
      </c>
      <c r="G93" s="47">
        <f t="shared" si="8"/>
        <v>0</v>
      </c>
      <c r="H93" s="52"/>
      <c r="I93" s="19"/>
      <c r="J93" s="15"/>
      <c r="K93"/>
      <c r="L93"/>
      <c r="M93"/>
      <c r="N93"/>
      <c r="O93"/>
    </row>
    <row r="94" spans="1:16" x14ac:dyDescent="0.25">
      <c r="A94" s="17">
        <v>77</v>
      </c>
      <c r="B94" s="34" t="str">
        <f>IF(N(C94)=0,"",IF(ISNUMBER(MATCH(C94,C$26:C93,)),INDEX(B$26:B93,MATCH(C94,C$26:C93,)),MAX(B$26:B93)+1))</f>
        <v/>
      </c>
      <c r="C94" s="55"/>
      <c r="D94" s="7"/>
      <c r="E94" s="25" t="str">
        <f t="shared" si="6"/>
        <v/>
      </c>
      <c r="F94" s="25" t="str">
        <f t="shared" si="7"/>
        <v/>
      </c>
      <c r="G94" s="47">
        <f t="shared" si="8"/>
        <v>0</v>
      </c>
      <c r="H94" s="52"/>
      <c r="I94" s="19"/>
      <c r="J94" s="15"/>
      <c r="K94"/>
      <c r="L94"/>
      <c r="M94"/>
      <c r="N94"/>
      <c r="O94"/>
    </row>
    <row r="95" spans="1:16" x14ac:dyDescent="0.25">
      <c r="A95" s="17">
        <v>78</v>
      </c>
      <c r="B95" s="34" t="str">
        <f>IF(N(C95)=0,"",IF(ISNUMBER(MATCH(C95,C$26:C94,)),INDEX(B$26:B94,MATCH(C95,C$26:C94,)),MAX(B$26:B94)+1))</f>
        <v/>
      </c>
      <c r="C95" s="55"/>
      <c r="D95" s="7"/>
      <c r="E95" s="25" t="str">
        <f t="shared" si="6"/>
        <v/>
      </c>
      <c r="F95" s="25" t="str">
        <f t="shared" si="7"/>
        <v/>
      </c>
      <c r="G95" s="47">
        <f t="shared" si="8"/>
        <v>0</v>
      </c>
      <c r="H95" s="52"/>
      <c r="I95" s="19"/>
      <c r="J95" s="15"/>
      <c r="K95"/>
      <c r="L95"/>
      <c r="M95"/>
      <c r="N95"/>
      <c r="O95"/>
    </row>
    <row r="96" spans="1:16" x14ac:dyDescent="0.25">
      <c r="A96" s="17">
        <v>79</v>
      </c>
      <c r="B96" s="34" t="str">
        <f>IF(N(C96)=0,"",IF(ISNUMBER(MATCH(C96,C$26:C95,)),INDEX(B$26:B95,MATCH(C96,C$26:C95,)),MAX(B$26:B95)+1))</f>
        <v/>
      </c>
      <c r="C96" s="55"/>
      <c r="D96" s="7"/>
      <c r="E96" s="25" t="str">
        <f t="shared" si="6"/>
        <v/>
      </c>
      <c r="F96" s="25" t="str">
        <f t="shared" si="7"/>
        <v/>
      </c>
      <c r="G96" s="47">
        <f t="shared" si="8"/>
        <v>0</v>
      </c>
      <c r="H96" s="52"/>
      <c r="I96" s="19"/>
      <c r="J96" s="15"/>
      <c r="K96"/>
      <c r="L96"/>
      <c r="M96"/>
      <c r="N96"/>
      <c r="O96"/>
    </row>
    <row r="97" spans="1:15" x14ac:dyDescent="0.25">
      <c r="A97" s="17">
        <v>80</v>
      </c>
      <c r="B97" s="34" t="str">
        <f>IF(N(C97)=0,"",IF(ISNUMBER(MATCH(C97,C$26:C96,)),INDEX(B$26:B96,MATCH(C97,C$26:C96,)),MAX(B$26:B96)+1))</f>
        <v/>
      </c>
      <c r="C97" s="55"/>
      <c r="D97" s="7"/>
      <c r="E97" s="25" t="str">
        <f t="shared" si="6"/>
        <v/>
      </c>
      <c r="F97" s="25" t="str">
        <f t="shared" si="7"/>
        <v/>
      </c>
      <c r="G97" s="47">
        <f t="shared" si="8"/>
        <v>0</v>
      </c>
      <c r="H97" s="52"/>
      <c r="I97" s="19"/>
      <c r="J97" s="17" t="s">
        <v>15</v>
      </c>
      <c r="K97"/>
      <c r="L97"/>
      <c r="M97"/>
      <c r="N97"/>
      <c r="O97"/>
    </row>
    <row r="98" spans="1:15" x14ac:dyDescent="0.25">
      <c r="A98" s="17">
        <v>81</v>
      </c>
      <c r="B98" s="34" t="str">
        <f>IF(N(C98)=0,"",IF(ISNUMBER(MATCH(C98,C$26:C97,)),INDEX(B$26:B97,MATCH(C98,C$26:C97,)),MAX(B$26:B97)+1))</f>
        <v/>
      </c>
      <c r="C98" s="55"/>
      <c r="D98" s="7"/>
      <c r="E98" s="25" t="str">
        <f t="shared" si="6"/>
        <v/>
      </c>
      <c r="F98" s="25" t="str">
        <f t="shared" si="7"/>
        <v/>
      </c>
      <c r="G98" s="47">
        <f t="shared" si="8"/>
        <v>0</v>
      </c>
      <c r="H98" s="52"/>
      <c r="I98" s="19"/>
      <c r="J98" s="17" t="s">
        <v>16</v>
      </c>
      <c r="K98"/>
      <c r="L98"/>
      <c r="M98"/>
      <c r="N98"/>
      <c r="O98"/>
    </row>
    <row r="99" spans="1:15" x14ac:dyDescent="0.25">
      <c r="A99" s="17">
        <v>82</v>
      </c>
      <c r="B99" s="34" t="str">
        <f>IF(N(C99)=0,"",IF(ISNUMBER(MATCH(C99,C$26:C98,)),INDEX(B$26:B98,MATCH(C99,C$26:C98,)),MAX(B$26:B98)+1))</f>
        <v/>
      </c>
      <c r="C99" s="55"/>
      <c r="D99" s="7"/>
      <c r="E99" s="25" t="str">
        <f t="shared" si="6"/>
        <v/>
      </c>
      <c r="F99" s="25" t="str">
        <f t="shared" si="7"/>
        <v/>
      </c>
      <c r="G99" s="47">
        <f t="shared" si="8"/>
        <v>0</v>
      </c>
      <c r="H99" s="52"/>
      <c r="I99" s="19"/>
      <c r="J99" s="15"/>
      <c r="K99"/>
      <c r="L99"/>
      <c r="M99"/>
      <c r="N99"/>
      <c r="O99"/>
    </row>
    <row r="100" spans="1:15" x14ac:dyDescent="0.25">
      <c r="A100" s="17">
        <v>83</v>
      </c>
      <c r="B100" s="34" t="str">
        <f>IF(N(C100)=0,"",IF(ISNUMBER(MATCH(C100,C$26:C99,)),INDEX(B$26:B99,MATCH(C100,C$26:C99,)),MAX(B$26:B99)+1))</f>
        <v/>
      </c>
      <c r="C100" s="55"/>
      <c r="D100" s="7"/>
      <c r="E100" s="25" t="str">
        <f t="shared" si="6"/>
        <v/>
      </c>
      <c r="F100" s="25" t="str">
        <f t="shared" si="7"/>
        <v/>
      </c>
      <c r="G100" s="47">
        <f t="shared" si="8"/>
        <v>0</v>
      </c>
      <c r="H100" s="52"/>
      <c r="I100" s="19"/>
      <c r="J100" s="15"/>
      <c r="K100"/>
      <c r="L100"/>
      <c r="M100"/>
      <c r="N100"/>
      <c r="O100"/>
    </row>
    <row r="101" spans="1:15" x14ac:dyDescent="0.25">
      <c r="A101" s="17">
        <v>84</v>
      </c>
      <c r="B101" s="34" t="str">
        <f>IF(N(C101)=0,"",IF(ISNUMBER(MATCH(C101,C$26:C100,)),INDEX(B$26:B100,MATCH(C101,C$26:C100,)),MAX(B$26:B100)+1))</f>
        <v/>
      </c>
      <c r="C101" s="55"/>
      <c r="D101" s="7"/>
      <c r="E101" s="25" t="str">
        <f t="shared" si="6"/>
        <v/>
      </c>
      <c r="F101" s="25" t="str">
        <f t="shared" si="7"/>
        <v/>
      </c>
      <c r="G101" s="47">
        <f t="shared" si="8"/>
        <v>0</v>
      </c>
      <c r="H101" s="52"/>
      <c r="I101" s="19"/>
      <c r="J101" s="15"/>
      <c r="K101"/>
      <c r="L101"/>
      <c r="M101"/>
      <c r="N101"/>
      <c r="O101"/>
    </row>
    <row r="102" spans="1:15" x14ac:dyDescent="0.25">
      <c r="A102" s="17">
        <v>85</v>
      </c>
      <c r="B102" s="34" t="str">
        <f>IF(N(C102)=0,"",IF(ISNUMBER(MATCH(C102,C$26:C101,)),INDEX(B$26:B101,MATCH(C102,C$26:C101,)),MAX(B$26:B101)+1))</f>
        <v/>
      </c>
      <c r="C102" s="55"/>
      <c r="D102" s="7"/>
      <c r="E102" s="25" t="str">
        <f t="shared" si="6"/>
        <v/>
      </c>
      <c r="F102" s="25" t="str">
        <f t="shared" si="7"/>
        <v/>
      </c>
      <c r="G102" s="47">
        <f t="shared" si="8"/>
        <v>0</v>
      </c>
      <c r="H102" s="52"/>
      <c r="I102" s="19"/>
      <c r="J102" s="15"/>
      <c r="K102"/>
      <c r="L102"/>
      <c r="M102"/>
      <c r="N102"/>
      <c r="O102"/>
    </row>
    <row r="103" spans="1:15" x14ac:dyDescent="0.25">
      <c r="A103" s="17">
        <v>86</v>
      </c>
      <c r="B103" s="34" t="str">
        <f>IF(N(C103)=0,"",IF(ISNUMBER(MATCH(C103,C$26:C102,)),INDEX(B$26:B102,MATCH(C103,C$26:C102,)),MAX(B$26:B102)+1))</f>
        <v/>
      </c>
      <c r="C103" s="55"/>
      <c r="D103" s="7"/>
      <c r="E103" s="25" t="str">
        <f t="shared" si="6"/>
        <v/>
      </c>
      <c r="F103" s="25" t="str">
        <f t="shared" si="7"/>
        <v/>
      </c>
      <c r="G103" s="47">
        <f t="shared" si="8"/>
        <v>0</v>
      </c>
      <c r="H103" s="52"/>
      <c r="I103" s="19"/>
      <c r="J103" s="15"/>
      <c r="K103"/>
      <c r="L103"/>
      <c r="M103"/>
      <c r="N103"/>
      <c r="O103"/>
    </row>
    <row r="104" spans="1:15" x14ac:dyDescent="0.25">
      <c r="A104" s="17">
        <v>87</v>
      </c>
      <c r="B104" s="34" t="str">
        <f>IF(N(C104)=0,"",IF(ISNUMBER(MATCH(C104,C$26:C103,)),INDEX(B$26:B103,MATCH(C104,C$26:C103,)),MAX(B$26:B103)+1))</f>
        <v/>
      </c>
      <c r="C104" s="55"/>
      <c r="D104" s="7"/>
      <c r="E104" s="25" t="str">
        <f t="shared" si="6"/>
        <v/>
      </c>
      <c r="F104" s="25" t="str">
        <f t="shared" si="7"/>
        <v/>
      </c>
      <c r="G104" s="47">
        <f t="shared" si="8"/>
        <v>0</v>
      </c>
      <c r="H104" s="52"/>
      <c r="I104" s="19"/>
      <c r="K104"/>
      <c r="L104"/>
      <c r="M104"/>
      <c r="N104"/>
      <c r="O104"/>
    </row>
    <row r="105" spans="1:15" x14ac:dyDescent="0.25">
      <c r="A105" s="17">
        <v>88</v>
      </c>
      <c r="B105" s="34" t="str">
        <f>IF(N(C105)=0,"",IF(ISNUMBER(MATCH(C105,C$26:C104,)),INDEX(B$26:B104,MATCH(C105,C$26:C104,)),MAX(B$26:B104)+1))</f>
        <v/>
      </c>
      <c r="C105" s="55"/>
      <c r="D105" s="7"/>
      <c r="E105" s="25" t="str">
        <f t="shared" si="6"/>
        <v/>
      </c>
      <c r="F105" s="25" t="str">
        <f t="shared" si="7"/>
        <v/>
      </c>
      <c r="G105" s="47">
        <f t="shared" si="8"/>
        <v>0</v>
      </c>
      <c r="H105" s="52"/>
      <c r="I105" s="19"/>
      <c r="K105"/>
      <c r="L105"/>
      <c r="M105"/>
      <c r="N105"/>
      <c r="O105"/>
    </row>
    <row r="106" spans="1:15" x14ac:dyDescent="0.25">
      <c r="A106" s="17">
        <v>89</v>
      </c>
      <c r="B106" s="34" t="str">
        <f>IF(N(C106)=0,"",IF(ISNUMBER(MATCH(C106,C$26:C105,)),INDEX(B$26:B105,MATCH(C106,C$26:C105,)),MAX(B$26:B105)+1))</f>
        <v/>
      </c>
      <c r="C106" s="55"/>
      <c r="D106" s="7"/>
      <c r="E106" s="25" t="str">
        <f t="shared" si="6"/>
        <v/>
      </c>
      <c r="F106" s="25" t="str">
        <f t="shared" si="7"/>
        <v/>
      </c>
      <c r="G106" s="47">
        <f t="shared" si="8"/>
        <v>0</v>
      </c>
      <c r="H106" s="52"/>
      <c r="I106" s="19"/>
      <c r="K106"/>
      <c r="L106"/>
      <c r="M106"/>
      <c r="N106"/>
      <c r="O106"/>
    </row>
    <row r="107" spans="1:15" x14ac:dyDescent="0.25">
      <c r="A107" s="17">
        <v>90</v>
      </c>
      <c r="B107" s="34" t="str">
        <f>IF(N(C107)=0,"",IF(ISNUMBER(MATCH(C107,C$26:C106,)),INDEX(B$26:B106,MATCH(C107,C$26:C106,)),MAX(B$26:B106)+1))</f>
        <v/>
      </c>
      <c r="C107" s="55"/>
      <c r="D107" s="7"/>
      <c r="E107" s="25" t="str">
        <f t="shared" si="6"/>
        <v/>
      </c>
      <c r="F107" s="25" t="str">
        <f t="shared" si="7"/>
        <v/>
      </c>
      <c r="G107" s="47">
        <f t="shared" si="8"/>
        <v>0</v>
      </c>
      <c r="H107" s="52"/>
      <c r="I107" s="19"/>
      <c r="K107"/>
      <c r="L107"/>
      <c r="M107"/>
      <c r="N107"/>
      <c r="O107"/>
    </row>
    <row r="108" spans="1:15" x14ac:dyDescent="0.25">
      <c r="A108" s="17">
        <v>91</v>
      </c>
      <c r="B108" s="34" t="str">
        <f>IF(N(C108)=0,"",IF(ISNUMBER(MATCH(C108,C$26:C107,)),INDEX(B$26:B107,MATCH(C108,C$26:C107,)),MAX(B$26:B107)+1))</f>
        <v/>
      </c>
      <c r="C108" s="55"/>
      <c r="D108" s="7"/>
      <c r="E108" s="25" t="str">
        <f t="shared" si="6"/>
        <v/>
      </c>
      <c r="F108" s="25" t="str">
        <f t="shared" si="7"/>
        <v/>
      </c>
      <c r="G108" s="47">
        <f t="shared" si="8"/>
        <v>0</v>
      </c>
      <c r="H108" s="52"/>
      <c r="I108" s="19"/>
      <c r="K108"/>
      <c r="L108"/>
      <c r="M108"/>
      <c r="N108"/>
      <c r="O108"/>
    </row>
    <row r="109" spans="1:15" x14ac:dyDescent="0.25">
      <c r="A109" s="17">
        <v>92</v>
      </c>
      <c r="B109" s="34" t="str">
        <f>IF(N(C109)=0,"",IF(ISNUMBER(MATCH(C109,C$26:C108,)),INDEX(B$26:B108,MATCH(C109,C$26:C108,)),MAX(B$26:B108)+1))</f>
        <v/>
      </c>
      <c r="C109" s="55"/>
      <c r="D109" s="7"/>
      <c r="E109" s="25" t="str">
        <f t="shared" si="6"/>
        <v/>
      </c>
      <c r="F109" s="25" t="str">
        <f t="shared" si="7"/>
        <v/>
      </c>
      <c r="G109" s="47">
        <f t="shared" si="8"/>
        <v>0</v>
      </c>
      <c r="H109" s="52"/>
      <c r="I109" s="19"/>
      <c r="K109"/>
      <c r="L109"/>
      <c r="M109"/>
      <c r="N109"/>
      <c r="O109"/>
    </row>
    <row r="110" spans="1:15" x14ac:dyDescent="0.25">
      <c r="A110" s="17">
        <v>93</v>
      </c>
      <c r="B110" s="34" t="str">
        <f>IF(N(C110)=0,"",IF(ISNUMBER(MATCH(C110,C$26:C109,)),INDEX(B$26:B109,MATCH(C110,C$26:C109,)),MAX(B$26:B109)+1))</f>
        <v/>
      </c>
      <c r="C110" s="55"/>
      <c r="D110" s="7"/>
      <c r="E110" s="25" t="str">
        <f t="shared" si="6"/>
        <v/>
      </c>
      <c r="F110" s="25" t="str">
        <f t="shared" si="7"/>
        <v/>
      </c>
      <c r="G110" s="47">
        <f t="shared" si="8"/>
        <v>0</v>
      </c>
      <c r="H110" s="52"/>
      <c r="I110" s="19"/>
      <c r="K110"/>
      <c r="L110"/>
      <c r="M110"/>
      <c r="N110"/>
      <c r="O110"/>
    </row>
    <row r="111" spans="1:15" x14ac:dyDescent="0.25">
      <c r="A111" s="17">
        <v>94</v>
      </c>
      <c r="B111" s="34" t="str">
        <f>IF(N(C111)=0,"",IF(ISNUMBER(MATCH(C111,C$26:C110,)),INDEX(B$26:B110,MATCH(C111,C$26:C110,)),MAX(B$26:B110)+1))</f>
        <v/>
      </c>
      <c r="C111" s="55"/>
      <c r="D111" s="7"/>
      <c r="E111" s="25" t="str">
        <f t="shared" si="6"/>
        <v/>
      </c>
      <c r="F111" s="25" t="str">
        <f t="shared" si="7"/>
        <v/>
      </c>
      <c r="G111" s="47">
        <f t="shared" si="8"/>
        <v>0</v>
      </c>
      <c r="H111" s="52"/>
      <c r="I111" s="19"/>
      <c r="K111"/>
      <c r="L111"/>
      <c r="M111"/>
      <c r="N111"/>
      <c r="O111"/>
    </row>
    <row r="112" spans="1:15" x14ac:dyDescent="0.25">
      <c r="A112" s="17">
        <v>95</v>
      </c>
      <c r="B112" s="34" t="str">
        <f>IF(N(C112)=0,"",IF(ISNUMBER(MATCH(C112,C$26:C111,)),INDEX(B$26:B111,MATCH(C112,C$26:C111,)),MAX(B$26:B111)+1))</f>
        <v/>
      </c>
      <c r="C112" s="55"/>
      <c r="D112" s="7"/>
      <c r="E112" s="25" t="str">
        <f t="shared" si="6"/>
        <v/>
      </c>
      <c r="F112" s="25" t="str">
        <f t="shared" si="7"/>
        <v/>
      </c>
      <c r="G112" s="47">
        <f t="shared" si="8"/>
        <v>0</v>
      </c>
      <c r="H112" s="52"/>
      <c r="I112" s="19"/>
      <c r="K112"/>
      <c r="L112"/>
      <c r="M112"/>
      <c r="N112"/>
      <c r="O112"/>
    </row>
    <row r="113" spans="1:15" x14ac:dyDescent="0.25">
      <c r="A113" s="17">
        <v>96</v>
      </c>
      <c r="B113" s="34" t="str">
        <f>IF(N(C113)=0,"",IF(ISNUMBER(MATCH(C113,C$26:C112,)),INDEX(B$26:B112,MATCH(C113,C$26:C112,)),MAX(B$26:B112)+1))</f>
        <v/>
      </c>
      <c r="C113" s="55"/>
      <c r="D113" s="7"/>
      <c r="E113" s="25" t="str">
        <f t="shared" si="6"/>
        <v/>
      </c>
      <c r="F113" s="25" t="str">
        <f t="shared" si="7"/>
        <v/>
      </c>
      <c r="G113" s="47">
        <f t="shared" si="8"/>
        <v>0</v>
      </c>
      <c r="H113" s="52"/>
      <c r="I113" s="19"/>
      <c r="K113"/>
      <c r="L113"/>
      <c r="M113"/>
      <c r="N113"/>
      <c r="O113"/>
    </row>
    <row r="114" spans="1:15" x14ac:dyDescent="0.25">
      <c r="A114" s="17">
        <v>97</v>
      </c>
      <c r="B114" s="34" t="str">
        <f>IF(N(C114)=0,"",IF(ISNUMBER(MATCH(C114,C$26:C113,)),INDEX(B$26:B113,MATCH(C114,C$26:C113,)),MAX(B$26:B113)+1))</f>
        <v/>
      </c>
      <c r="C114" s="55"/>
      <c r="D114" s="7"/>
      <c r="E114" s="25" t="str">
        <f t="shared" si="6"/>
        <v/>
      </c>
      <c r="F114" s="25" t="str">
        <f t="shared" si="7"/>
        <v/>
      </c>
      <c r="G114" s="47">
        <f t="shared" si="8"/>
        <v>0</v>
      </c>
      <c r="H114" s="52"/>
      <c r="I114" s="19"/>
      <c r="K114"/>
      <c r="L114"/>
      <c r="M114"/>
      <c r="N114"/>
      <c r="O114"/>
    </row>
    <row r="115" spans="1:15" x14ac:dyDescent="0.25">
      <c r="A115" s="17">
        <v>98</v>
      </c>
      <c r="B115" s="35" t="str">
        <f>IF(N(C115)=0,"",IF(ISNUMBER(MATCH(C115,C$26:C114,)),INDEX(B$26:B114,MATCH(C115,C$26:C114,)),MAX(B$26:B114)+1))</f>
        <v/>
      </c>
      <c r="C115" s="56"/>
      <c r="D115" s="8"/>
      <c r="E115" s="26" t="str">
        <f t="shared" si="6"/>
        <v/>
      </c>
      <c r="F115" s="26" t="str">
        <f t="shared" si="7"/>
        <v/>
      </c>
      <c r="G115" s="47">
        <v>1</v>
      </c>
      <c r="H115" s="53"/>
      <c r="I115" s="20"/>
      <c r="K115"/>
      <c r="L115"/>
      <c r="M115"/>
      <c r="N115"/>
      <c r="O115"/>
    </row>
    <row r="116" spans="1:15" x14ac:dyDescent="0.25">
      <c r="K116"/>
      <c r="L116"/>
      <c r="M116"/>
      <c r="N116"/>
      <c r="O116"/>
    </row>
    <row r="117" spans="1:15" x14ac:dyDescent="0.25">
      <c r="K117"/>
      <c r="L117"/>
      <c r="M117"/>
      <c r="N117"/>
      <c r="O117"/>
    </row>
    <row r="118" spans="1:15" x14ac:dyDescent="0.25">
      <c r="K118"/>
      <c r="L118"/>
      <c r="M118"/>
      <c r="N118"/>
      <c r="O118"/>
    </row>
    <row r="119" spans="1:15" x14ac:dyDescent="0.25">
      <c r="K119"/>
      <c r="L119"/>
      <c r="M119"/>
      <c r="N119"/>
      <c r="O119"/>
    </row>
    <row r="120" spans="1:15" x14ac:dyDescent="0.25">
      <c r="K120"/>
      <c r="L120"/>
      <c r="M120"/>
      <c r="N120"/>
      <c r="O120"/>
    </row>
    <row r="121" spans="1:15" x14ac:dyDescent="0.25">
      <c r="K121"/>
      <c r="L121"/>
      <c r="M121"/>
      <c r="N121"/>
      <c r="O121"/>
    </row>
    <row r="122" spans="1:15" x14ac:dyDescent="0.25">
      <c r="K122"/>
      <c r="L122"/>
      <c r="M122"/>
      <c r="N122"/>
      <c r="O122"/>
    </row>
    <row r="123" spans="1:15" x14ac:dyDescent="0.25">
      <c r="K123"/>
      <c r="L123"/>
      <c r="M123"/>
      <c r="N123"/>
      <c r="O123"/>
    </row>
    <row r="124" spans="1:15" x14ac:dyDescent="0.25">
      <c r="K124"/>
      <c r="L124"/>
      <c r="M124"/>
      <c r="N124"/>
      <c r="O124"/>
    </row>
    <row r="125" spans="1:15" x14ac:dyDescent="0.25">
      <c r="K125"/>
      <c r="L125"/>
      <c r="M125"/>
      <c r="N125"/>
      <c r="O125"/>
    </row>
    <row r="126" spans="1:15" x14ac:dyDescent="0.25">
      <c r="K126"/>
      <c r="L126"/>
      <c r="M126"/>
      <c r="N126"/>
      <c r="O126"/>
    </row>
    <row r="127" spans="1:15" x14ac:dyDescent="0.25">
      <c r="K127"/>
      <c r="L127"/>
      <c r="M127"/>
      <c r="N127"/>
      <c r="O127"/>
    </row>
    <row r="128" spans="1:15" x14ac:dyDescent="0.25">
      <c r="K128"/>
      <c r="L128"/>
      <c r="M128"/>
      <c r="N128"/>
      <c r="O128"/>
    </row>
    <row r="129" spans="11:15" x14ac:dyDescent="0.25">
      <c r="K129"/>
      <c r="L129"/>
      <c r="M129"/>
      <c r="N129"/>
      <c r="O129"/>
    </row>
    <row r="130" spans="11:15" x14ac:dyDescent="0.25">
      <c r="K130"/>
      <c r="L130"/>
      <c r="M130"/>
      <c r="N130"/>
      <c r="O130"/>
    </row>
    <row r="131" spans="11:15" x14ac:dyDescent="0.25">
      <c r="K131"/>
      <c r="L131"/>
      <c r="M131"/>
      <c r="N131"/>
      <c r="O131"/>
    </row>
    <row r="132" spans="11:15" x14ac:dyDescent="0.25">
      <c r="K132"/>
      <c r="L132"/>
      <c r="M132"/>
      <c r="N132"/>
      <c r="O132"/>
    </row>
    <row r="133" spans="11:15" x14ac:dyDescent="0.25">
      <c r="K133"/>
      <c r="L133"/>
      <c r="M133"/>
      <c r="N133"/>
      <c r="O133"/>
    </row>
    <row r="134" spans="11:15" x14ac:dyDescent="0.25">
      <c r="K134"/>
      <c r="L134"/>
      <c r="M134"/>
      <c r="N134"/>
      <c r="O134"/>
    </row>
    <row r="135" spans="11:15" x14ac:dyDescent="0.25">
      <c r="K135"/>
      <c r="L135"/>
      <c r="M135"/>
      <c r="N135"/>
      <c r="O135"/>
    </row>
    <row r="136" spans="11:15" x14ac:dyDescent="0.25">
      <c r="K136"/>
      <c r="L136"/>
      <c r="M136"/>
      <c r="N136"/>
      <c r="O136"/>
    </row>
    <row r="137" spans="11:15" x14ac:dyDescent="0.25">
      <c r="K137"/>
      <c r="L137"/>
      <c r="M137"/>
      <c r="N137"/>
      <c r="O137"/>
    </row>
    <row r="138" spans="11:15" x14ac:dyDescent="0.25">
      <c r="K138"/>
      <c r="L138"/>
      <c r="M138"/>
      <c r="N138"/>
      <c r="O138"/>
    </row>
    <row r="139" spans="11:15" x14ac:dyDescent="0.25">
      <c r="K139"/>
      <c r="L139"/>
      <c r="M139"/>
      <c r="N139"/>
      <c r="O139"/>
    </row>
    <row r="140" spans="11:15" x14ac:dyDescent="0.25">
      <c r="K140"/>
      <c r="L140"/>
      <c r="M140"/>
      <c r="N140"/>
      <c r="O140"/>
    </row>
    <row r="141" spans="11:15" x14ac:dyDescent="0.25">
      <c r="K141"/>
      <c r="L141"/>
      <c r="M141"/>
      <c r="N141"/>
      <c r="O141"/>
    </row>
    <row r="142" spans="11:15" x14ac:dyDescent="0.25">
      <c r="K142"/>
      <c r="L142"/>
      <c r="M142"/>
      <c r="N142"/>
      <c r="O142"/>
    </row>
    <row r="143" spans="11:15" x14ac:dyDescent="0.25">
      <c r="K143"/>
      <c r="L143"/>
      <c r="M143"/>
      <c r="N143"/>
      <c r="O143"/>
    </row>
    <row r="144" spans="11:15" x14ac:dyDescent="0.25">
      <c r="K144"/>
      <c r="L144"/>
      <c r="M144"/>
      <c r="N144"/>
      <c r="O144"/>
    </row>
    <row r="145" spans="11:15" x14ac:dyDescent="0.25">
      <c r="K145"/>
      <c r="L145"/>
      <c r="M145"/>
      <c r="N145"/>
      <c r="O145"/>
    </row>
    <row r="146" spans="11:15" x14ac:dyDescent="0.25">
      <c r="K146"/>
      <c r="L146"/>
      <c r="M146"/>
      <c r="N146"/>
      <c r="O146"/>
    </row>
    <row r="147" spans="11:15" x14ac:dyDescent="0.25">
      <c r="K147"/>
      <c r="L147"/>
      <c r="M147"/>
      <c r="N147"/>
      <c r="O147"/>
    </row>
    <row r="148" spans="11:15" x14ac:dyDescent="0.25">
      <c r="K148"/>
      <c r="L148"/>
      <c r="M148"/>
      <c r="N148"/>
      <c r="O148"/>
    </row>
    <row r="149" spans="11:15" x14ac:dyDescent="0.25">
      <c r="K149"/>
      <c r="L149"/>
      <c r="M149"/>
      <c r="N149"/>
      <c r="O149"/>
    </row>
    <row r="150" spans="11:15" x14ac:dyDescent="0.25">
      <c r="K150"/>
      <c r="L150"/>
      <c r="M150"/>
      <c r="N150"/>
      <c r="O150"/>
    </row>
    <row r="151" spans="11:15" x14ac:dyDescent="0.25">
      <c r="K151"/>
      <c r="L151"/>
      <c r="M151"/>
      <c r="N151"/>
      <c r="O151"/>
    </row>
    <row r="152" spans="11:15" x14ac:dyDescent="0.25">
      <c r="K152"/>
      <c r="L152"/>
      <c r="M152"/>
      <c r="N152"/>
      <c r="O152"/>
    </row>
    <row r="153" spans="11:15" x14ac:dyDescent="0.25">
      <c r="K153"/>
      <c r="L153"/>
      <c r="M153"/>
      <c r="N153"/>
      <c r="O153"/>
    </row>
    <row r="154" spans="11:15" x14ac:dyDescent="0.25">
      <c r="K154"/>
      <c r="L154"/>
      <c r="M154"/>
      <c r="N154"/>
      <c r="O154"/>
    </row>
    <row r="155" spans="11:15" x14ac:dyDescent="0.25">
      <c r="K155"/>
      <c r="L155"/>
      <c r="M155"/>
      <c r="N155"/>
      <c r="O155"/>
    </row>
    <row r="156" spans="11:15" x14ac:dyDescent="0.25">
      <c r="K156"/>
      <c r="L156"/>
      <c r="M156"/>
      <c r="N156"/>
      <c r="O156"/>
    </row>
    <row r="157" spans="11:15" x14ac:dyDescent="0.25">
      <c r="K157"/>
      <c r="L157"/>
      <c r="M157"/>
      <c r="N157"/>
      <c r="O157"/>
    </row>
    <row r="158" spans="11:15" x14ac:dyDescent="0.25">
      <c r="K158"/>
      <c r="L158"/>
      <c r="M158"/>
      <c r="N158"/>
      <c r="O158"/>
    </row>
    <row r="159" spans="11:15" x14ac:dyDescent="0.25">
      <c r="K159"/>
      <c r="L159"/>
      <c r="M159"/>
      <c r="N159"/>
      <c r="O159"/>
    </row>
    <row r="160" spans="11:15" x14ac:dyDescent="0.25">
      <c r="K160"/>
      <c r="L160"/>
      <c r="M160"/>
      <c r="N160"/>
      <c r="O160"/>
    </row>
    <row r="161" spans="11:15" x14ac:dyDescent="0.25">
      <c r="K161"/>
      <c r="L161"/>
      <c r="M161"/>
      <c r="N161"/>
      <c r="O161"/>
    </row>
    <row r="162" spans="11:15" x14ac:dyDescent="0.25">
      <c r="K162"/>
      <c r="L162"/>
      <c r="M162"/>
      <c r="N162"/>
      <c r="O162"/>
    </row>
    <row r="163" spans="11:15" x14ac:dyDescent="0.25">
      <c r="K163"/>
      <c r="L163"/>
      <c r="M163"/>
      <c r="N163"/>
      <c r="O163"/>
    </row>
    <row r="164" spans="11:15" x14ac:dyDescent="0.25">
      <c r="K164"/>
      <c r="L164"/>
      <c r="M164"/>
      <c r="N164"/>
      <c r="O164"/>
    </row>
    <row r="165" spans="11:15" x14ac:dyDescent="0.25">
      <c r="K165"/>
      <c r="L165"/>
      <c r="M165"/>
      <c r="N165"/>
      <c r="O165"/>
    </row>
    <row r="166" spans="11:15" x14ac:dyDescent="0.25">
      <c r="K166"/>
      <c r="L166"/>
      <c r="M166"/>
      <c r="N166"/>
      <c r="O166"/>
    </row>
    <row r="167" spans="11:15" x14ac:dyDescent="0.25">
      <c r="K167"/>
      <c r="L167"/>
      <c r="M167"/>
      <c r="N167"/>
      <c r="O167"/>
    </row>
    <row r="168" spans="11:15" x14ac:dyDescent="0.25">
      <c r="K168"/>
      <c r="L168"/>
      <c r="M168"/>
      <c r="N168"/>
      <c r="O168"/>
    </row>
    <row r="169" spans="11:15" x14ac:dyDescent="0.25">
      <c r="K169"/>
      <c r="L169"/>
      <c r="M169"/>
      <c r="N169"/>
      <c r="O169"/>
    </row>
    <row r="170" spans="11:15" x14ac:dyDescent="0.25">
      <c r="K170"/>
      <c r="L170"/>
      <c r="M170"/>
      <c r="N170"/>
      <c r="O170"/>
    </row>
    <row r="171" spans="11:15" x14ac:dyDescent="0.25">
      <c r="K171"/>
      <c r="L171"/>
      <c r="M171"/>
      <c r="N171"/>
      <c r="O171"/>
    </row>
    <row r="172" spans="11:15" x14ac:dyDescent="0.25">
      <c r="K172"/>
      <c r="L172"/>
      <c r="M172"/>
      <c r="N172"/>
      <c r="O172"/>
    </row>
    <row r="173" spans="11:15" x14ac:dyDescent="0.25">
      <c r="K173"/>
      <c r="L173"/>
      <c r="M173"/>
      <c r="N173"/>
      <c r="O173"/>
    </row>
    <row r="174" spans="11:15" x14ac:dyDescent="0.25">
      <c r="K174"/>
      <c r="L174"/>
      <c r="M174"/>
      <c r="N174"/>
      <c r="O174"/>
    </row>
    <row r="175" spans="11:15" x14ac:dyDescent="0.25">
      <c r="K175"/>
      <c r="L175"/>
      <c r="M175"/>
      <c r="N175"/>
      <c r="O175"/>
    </row>
    <row r="176" spans="11:15" x14ac:dyDescent="0.25">
      <c r="K176"/>
      <c r="L176"/>
      <c r="M176"/>
      <c r="N176"/>
      <c r="O176"/>
    </row>
    <row r="177" spans="11:15" x14ac:dyDescent="0.25">
      <c r="K177"/>
      <c r="L177"/>
      <c r="M177"/>
      <c r="N177"/>
      <c r="O177"/>
    </row>
    <row r="178" spans="11:15" x14ac:dyDescent="0.25">
      <c r="K178"/>
      <c r="L178"/>
      <c r="M178"/>
      <c r="N178"/>
      <c r="O178"/>
    </row>
    <row r="179" spans="11:15" x14ac:dyDescent="0.25">
      <c r="K179"/>
      <c r="L179"/>
      <c r="M179"/>
      <c r="N179"/>
      <c r="O179"/>
    </row>
    <row r="180" spans="11:15" x14ac:dyDescent="0.25">
      <c r="K180"/>
      <c r="L180"/>
      <c r="M180"/>
      <c r="N180"/>
      <c r="O180"/>
    </row>
    <row r="181" spans="11:15" x14ac:dyDescent="0.25">
      <c r="K181"/>
      <c r="L181"/>
      <c r="M181"/>
      <c r="N181"/>
      <c r="O181"/>
    </row>
    <row r="182" spans="11:15" x14ac:dyDescent="0.25">
      <c r="K182"/>
      <c r="L182"/>
      <c r="M182"/>
      <c r="N182"/>
      <c r="O182"/>
    </row>
    <row r="183" spans="11:15" x14ac:dyDescent="0.25">
      <c r="K183"/>
      <c r="L183"/>
      <c r="M183"/>
      <c r="N183"/>
      <c r="O183"/>
    </row>
    <row r="184" spans="11:15" x14ac:dyDescent="0.25">
      <c r="K184"/>
      <c r="L184"/>
      <c r="M184"/>
      <c r="N184"/>
      <c r="O184"/>
    </row>
    <row r="185" spans="11:15" x14ac:dyDescent="0.25">
      <c r="K185"/>
      <c r="L185"/>
      <c r="M185"/>
      <c r="N185"/>
      <c r="O185"/>
    </row>
    <row r="186" spans="11:15" x14ac:dyDescent="0.25">
      <c r="K186"/>
      <c r="L186"/>
      <c r="M186"/>
      <c r="N186"/>
      <c r="O186"/>
    </row>
    <row r="187" spans="11:15" x14ac:dyDescent="0.25">
      <c r="K187"/>
      <c r="L187"/>
      <c r="M187"/>
      <c r="N187"/>
      <c r="O187"/>
    </row>
    <row r="188" spans="11:15" x14ac:dyDescent="0.25">
      <c r="K188"/>
      <c r="L188"/>
      <c r="M188"/>
      <c r="N188"/>
      <c r="O188"/>
    </row>
    <row r="189" spans="11:15" x14ac:dyDescent="0.25">
      <c r="K189"/>
      <c r="L189"/>
      <c r="M189"/>
      <c r="N189"/>
      <c r="O189"/>
    </row>
    <row r="190" spans="11:15" x14ac:dyDescent="0.25">
      <c r="K190"/>
      <c r="L190"/>
      <c r="M190"/>
      <c r="N190"/>
      <c r="O190"/>
    </row>
    <row r="191" spans="11:15" x14ac:dyDescent="0.25">
      <c r="K191"/>
      <c r="L191"/>
      <c r="M191"/>
      <c r="N191"/>
      <c r="O191"/>
    </row>
    <row r="192" spans="11:15" x14ac:dyDescent="0.25">
      <c r="K192"/>
      <c r="L192"/>
      <c r="M192"/>
      <c r="N192"/>
      <c r="O192"/>
    </row>
    <row r="193" spans="11:15" x14ac:dyDescent="0.25">
      <c r="K193"/>
      <c r="L193"/>
      <c r="M193"/>
      <c r="N193"/>
      <c r="O193"/>
    </row>
    <row r="194" spans="11:15" x14ac:dyDescent="0.25">
      <c r="K194"/>
      <c r="L194"/>
      <c r="M194"/>
      <c r="N194"/>
      <c r="O194"/>
    </row>
    <row r="195" spans="11:15" x14ac:dyDescent="0.25">
      <c r="K195"/>
      <c r="L195"/>
      <c r="M195"/>
      <c r="N195"/>
      <c r="O195"/>
    </row>
    <row r="196" spans="11:15" x14ac:dyDescent="0.25">
      <c r="K196"/>
      <c r="L196"/>
      <c r="M196"/>
      <c r="N196"/>
      <c r="O196"/>
    </row>
    <row r="197" spans="11:15" x14ac:dyDescent="0.25">
      <c r="K197"/>
      <c r="L197"/>
      <c r="M197"/>
      <c r="N197"/>
      <c r="O197"/>
    </row>
    <row r="198" spans="11:15" x14ac:dyDescent="0.25">
      <c r="K198"/>
      <c r="L198"/>
      <c r="M198"/>
      <c r="N198"/>
      <c r="O198"/>
    </row>
    <row r="199" spans="11:15" x14ac:dyDescent="0.25">
      <c r="K199"/>
      <c r="L199"/>
      <c r="M199"/>
      <c r="N199"/>
      <c r="O199"/>
    </row>
    <row r="200" spans="11:15" x14ac:dyDescent="0.25">
      <c r="K200"/>
      <c r="L200"/>
      <c r="M200"/>
      <c r="N200"/>
      <c r="O200"/>
    </row>
    <row r="201" spans="11:15" x14ac:dyDescent="0.25">
      <c r="K201"/>
      <c r="L201"/>
      <c r="M201"/>
      <c r="N201"/>
      <c r="O201"/>
    </row>
    <row r="202" spans="11:15" x14ac:dyDescent="0.25">
      <c r="K202"/>
      <c r="L202"/>
      <c r="M202"/>
      <c r="N202"/>
      <c r="O202"/>
    </row>
    <row r="203" spans="11:15" x14ac:dyDescent="0.25">
      <c r="K203"/>
      <c r="L203"/>
      <c r="M203"/>
      <c r="N203"/>
      <c r="O203"/>
    </row>
    <row r="204" spans="11:15" x14ac:dyDescent="0.25">
      <c r="K204"/>
      <c r="L204"/>
      <c r="M204"/>
      <c r="N204"/>
      <c r="O204"/>
    </row>
    <row r="205" spans="11:15" x14ac:dyDescent="0.25">
      <c r="K205"/>
      <c r="L205"/>
      <c r="M205"/>
      <c r="N205"/>
      <c r="O205"/>
    </row>
    <row r="206" spans="11:15" x14ac:dyDescent="0.25">
      <c r="K206"/>
      <c r="L206"/>
      <c r="M206"/>
      <c r="N206"/>
      <c r="O206"/>
    </row>
    <row r="207" spans="11:15" x14ac:dyDescent="0.25">
      <c r="K207"/>
      <c r="L207"/>
      <c r="M207"/>
      <c r="N207"/>
      <c r="O207"/>
    </row>
    <row r="208" spans="11:15" x14ac:dyDescent="0.25">
      <c r="K208"/>
      <c r="L208"/>
      <c r="M208"/>
      <c r="N208"/>
      <c r="O208"/>
    </row>
    <row r="209" spans="11:15" x14ac:dyDescent="0.25">
      <c r="K209"/>
      <c r="L209"/>
      <c r="M209"/>
      <c r="N209"/>
      <c r="O209"/>
    </row>
    <row r="210" spans="11:15" x14ac:dyDescent="0.25">
      <c r="K210"/>
      <c r="L210"/>
      <c r="M210"/>
      <c r="N210"/>
      <c r="O210"/>
    </row>
    <row r="211" spans="11:15" x14ac:dyDescent="0.25">
      <c r="K211"/>
      <c r="L211"/>
      <c r="M211"/>
      <c r="N211"/>
      <c r="O211"/>
    </row>
    <row r="212" spans="11:15" x14ac:dyDescent="0.25">
      <c r="K212"/>
      <c r="L212"/>
      <c r="M212"/>
      <c r="N212"/>
      <c r="O212"/>
    </row>
    <row r="213" spans="11:15" x14ac:dyDescent="0.25">
      <c r="K213"/>
      <c r="L213"/>
      <c r="M213"/>
      <c r="N213"/>
      <c r="O213"/>
    </row>
    <row r="214" spans="11:15" x14ac:dyDescent="0.25">
      <c r="K214"/>
      <c r="L214"/>
      <c r="M214"/>
      <c r="N214"/>
      <c r="O214"/>
    </row>
    <row r="215" spans="11:15" x14ac:dyDescent="0.25">
      <c r="K215"/>
      <c r="L215"/>
      <c r="M215"/>
      <c r="N215"/>
      <c r="O215"/>
    </row>
    <row r="216" spans="11:15" x14ac:dyDescent="0.25">
      <c r="K216"/>
      <c r="L216"/>
      <c r="M216"/>
      <c r="N216"/>
      <c r="O216"/>
    </row>
    <row r="217" spans="11:15" x14ac:dyDescent="0.25">
      <c r="K217"/>
      <c r="L217"/>
      <c r="M217"/>
      <c r="N217"/>
      <c r="O217"/>
    </row>
    <row r="218" spans="11:15" x14ac:dyDescent="0.25">
      <c r="K218"/>
      <c r="L218"/>
      <c r="M218"/>
      <c r="N218"/>
      <c r="O218"/>
    </row>
    <row r="219" spans="11:15" x14ac:dyDescent="0.25">
      <c r="K219"/>
      <c r="L219"/>
      <c r="M219"/>
      <c r="N219"/>
      <c r="O219"/>
    </row>
    <row r="220" spans="11:15" x14ac:dyDescent="0.25">
      <c r="K220"/>
      <c r="L220"/>
      <c r="M220"/>
      <c r="N220"/>
      <c r="O220"/>
    </row>
    <row r="221" spans="11:15" x14ac:dyDescent="0.25">
      <c r="K221"/>
      <c r="L221"/>
      <c r="M221"/>
      <c r="N221"/>
      <c r="O221"/>
    </row>
    <row r="222" spans="11:15" x14ac:dyDescent="0.25">
      <c r="K222"/>
      <c r="L222"/>
      <c r="M222"/>
      <c r="N222"/>
      <c r="O222"/>
    </row>
    <row r="223" spans="11:15" x14ac:dyDescent="0.25">
      <c r="K223"/>
      <c r="L223"/>
      <c r="M223"/>
      <c r="N223"/>
      <c r="O223"/>
    </row>
    <row r="224" spans="11:15" x14ac:dyDescent="0.25">
      <c r="K224"/>
      <c r="L224"/>
      <c r="M224"/>
      <c r="N224"/>
      <c r="O224"/>
    </row>
    <row r="225" spans="11:15" x14ac:dyDescent="0.25">
      <c r="K225"/>
      <c r="L225"/>
      <c r="M225"/>
      <c r="N225"/>
      <c r="O225"/>
    </row>
    <row r="226" spans="11:15" x14ac:dyDescent="0.25">
      <c r="K226"/>
      <c r="L226"/>
      <c r="M226"/>
      <c r="N226"/>
      <c r="O226"/>
    </row>
    <row r="227" spans="11:15" x14ac:dyDescent="0.25">
      <c r="K227"/>
      <c r="L227"/>
      <c r="M227"/>
      <c r="N227"/>
      <c r="O227"/>
    </row>
    <row r="228" spans="11:15" x14ac:dyDescent="0.25">
      <c r="K228"/>
      <c r="L228"/>
      <c r="M228"/>
      <c r="N228"/>
      <c r="O228"/>
    </row>
    <row r="229" spans="11:15" x14ac:dyDescent="0.25">
      <c r="K229"/>
      <c r="L229"/>
      <c r="M229"/>
      <c r="N229"/>
      <c r="O229"/>
    </row>
    <row r="230" spans="11:15" x14ac:dyDescent="0.25">
      <c r="K230"/>
      <c r="L230"/>
      <c r="M230"/>
      <c r="N230"/>
      <c r="O230"/>
    </row>
    <row r="231" spans="11:15" x14ac:dyDescent="0.25">
      <c r="K231"/>
      <c r="L231"/>
      <c r="M231"/>
      <c r="N231"/>
      <c r="O231"/>
    </row>
    <row r="232" spans="11:15" x14ac:dyDescent="0.25">
      <c r="K232"/>
      <c r="L232"/>
      <c r="M232"/>
      <c r="N232"/>
      <c r="O232"/>
    </row>
    <row r="233" spans="11:15" x14ac:dyDescent="0.25">
      <c r="K233"/>
      <c r="L233"/>
      <c r="M233"/>
      <c r="N233"/>
      <c r="O233"/>
    </row>
    <row r="234" spans="11:15" x14ac:dyDescent="0.25">
      <c r="K234"/>
      <c r="L234"/>
      <c r="M234"/>
      <c r="N234"/>
      <c r="O234"/>
    </row>
    <row r="235" spans="11:15" x14ac:dyDescent="0.25">
      <c r="K235"/>
      <c r="L235"/>
      <c r="M235"/>
      <c r="N235"/>
      <c r="O235"/>
    </row>
    <row r="236" spans="11:15" x14ac:dyDescent="0.25">
      <c r="K236"/>
      <c r="L236"/>
      <c r="M236"/>
      <c r="N236"/>
      <c r="O236"/>
    </row>
    <row r="237" spans="11:15" x14ac:dyDescent="0.25">
      <c r="K237"/>
      <c r="L237"/>
      <c r="M237"/>
      <c r="N237"/>
      <c r="O237"/>
    </row>
    <row r="238" spans="11:15" x14ac:dyDescent="0.25">
      <c r="K238"/>
      <c r="L238"/>
      <c r="M238"/>
      <c r="N238"/>
      <c r="O238"/>
    </row>
    <row r="239" spans="11:15" x14ac:dyDescent="0.25">
      <c r="K239"/>
      <c r="L239"/>
      <c r="M239"/>
      <c r="N239"/>
      <c r="O239"/>
    </row>
    <row r="240" spans="11:15" x14ac:dyDescent="0.25">
      <c r="K240"/>
      <c r="L240"/>
      <c r="M240"/>
      <c r="N240"/>
      <c r="O240"/>
    </row>
    <row r="241" spans="11:15" x14ac:dyDescent="0.25">
      <c r="K241"/>
      <c r="L241"/>
      <c r="M241"/>
      <c r="N241"/>
      <c r="O241"/>
    </row>
    <row r="242" spans="11:15" x14ac:dyDescent="0.25">
      <c r="K242"/>
      <c r="L242"/>
      <c r="M242"/>
      <c r="N242"/>
      <c r="O242"/>
    </row>
    <row r="243" spans="11:15" x14ac:dyDescent="0.25">
      <c r="K243"/>
      <c r="L243"/>
      <c r="M243"/>
      <c r="N243"/>
      <c r="O243"/>
    </row>
    <row r="244" spans="11:15" x14ac:dyDescent="0.25">
      <c r="K244"/>
      <c r="L244"/>
      <c r="M244"/>
      <c r="N244"/>
      <c r="O244"/>
    </row>
    <row r="245" spans="11:15" x14ac:dyDescent="0.25">
      <c r="K245"/>
      <c r="L245"/>
      <c r="M245"/>
      <c r="N245"/>
      <c r="O245"/>
    </row>
    <row r="246" spans="11:15" x14ac:dyDescent="0.25">
      <c r="K246"/>
      <c r="L246"/>
      <c r="M246"/>
      <c r="N246"/>
      <c r="O246"/>
    </row>
    <row r="247" spans="11:15" x14ac:dyDescent="0.25">
      <c r="K247"/>
      <c r="L247"/>
      <c r="M247"/>
      <c r="N247"/>
      <c r="O247"/>
    </row>
    <row r="248" spans="11:15" x14ac:dyDescent="0.25">
      <c r="K248"/>
      <c r="L248"/>
      <c r="M248"/>
      <c r="N248"/>
      <c r="O248"/>
    </row>
    <row r="249" spans="11:15" x14ac:dyDescent="0.25">
      <c r="K249"/>
      <c r="L249"/>
      <c r="M249"/>
      <c r="N249"/>
      <c r="O249"/>
    </row>
    <row r="250" spans="11:15" x14ac:dyDescent="0.25">
      <c r="K250"/>
      <c r="L250"/>
      <c r="M250"/>
      <c r="N250"/>
      <c r="O250"/>
    </row>
    <row r="251" spans="11:15" x14ac:dyDescent="0.25">
      <c r="K251"/>
      <c r="L251"/>
      <c r="M251"/>
      <c r="N251"/>
      <c r="O251"/>
    </row>
    <row r="252" spans="11:15" x14ac:dyDescent="0.25">
      <c r="K252"/>
      <c r="L252"/>
      <c r="M252"/>
      <c r="N252"/>
      <c r="O252"/>
    </row>
    <row r="253" spans="11:15" x14ac:dyDescent="0.25">
      <c r="K253"/>
      <c r="L253"/>
      <c r="M253"/>
      <c r="N253"/>
      <c r="O253"/>
    </row>
    <row r="254" spans="11:15" x14ac:dyDescent="0.25">
      <c r="K254"/>
      <c r="L254"/>
      <c r="M254"/>
      <c r="N254"/>
      <c r="O254"/>
    </row>
    <row r="255" spans="11:15" x14ac:dyDescent="0.25">
      <c r="K255"/>
      <c r="L255"/>
      <c r="M255"/>
      <c r="N255"/>
      <c r="O255"/>
    </row>
    <row r="256" spans="11:15" x14ac:dyDescent="0.25">
      <c r="K256"/>
      <c r="L256"/>
      <c r="M256"/>
      <c r="N256"/>
      <c r="O256"/>
    </row>
    <row r="257" spans="11:15" x14ac:dyDescent="0.25">
      <c r="K257"/>
      <c r="L257"/>
      <c r="M257"/>
      <c r="N257"/>
      <c r="O257"/>
    </row>
    <row r="258" spans="11:15" x14ac:dyDescent="0.25">
      <c r="K258"/>
      <c r="L258"/>
      <c r="M258"/>
      <c r="N258"/>
      <c r="O258"/>
    </row>
    <row r="259" spans="11:15" x14ac:dyDescent="0.25">
      <c r="K259"/>
      <c r="L259"/>
      <c r="M259"/>
      <c r="N259"/>
      <c r="O259"/>
    </row>
    <row r="260" spans="11:15" x14ac:dyDescent="0.25">
      <c r="K260"/>
      <c r="L260"/>
      <c r="M260"/>
      <c r="N260"/>
      <c r="O260"/>
    </row>
    <row r="261" spans="11:15" x14ac:dyDescent="0.25">
      <c r="K261"/>
      <c r="L261"/>
      <c r="M261"/>
      <c r="N261"/>
      <c r="O261"/>
    </row>
    <row r="262" spans="11:15" x14ac:dyDescent="0.25">
      <c r="K262"/>
      <c r="L262"/>
      <c r="M262"/>
      <c r="N262"/>
      <c r="O262"/>
    </row>
    <row r="263" spans="11:15" x14ac:dyDescent="0.25">
      <c r="K263"/>
      <c r="L263"/>
      <c r="M263"/>
      <c r="N263"/>
      <c r="O263"/>
    </row>
    <row r="264" spans="11:15" x14ac:dyDescent="0.25">
      <c r="K264"/>
      <c r="L264"/>
      <c r="M264"/>
      <c r="N264"/>
      <c r="O264"/>
    </row>
    <row r="265" spans="11:15" x14ac:dyDescent="0.25">
      <c r="K265"/>
      <c r="L265"/>
      <c r="M265"/>
      <c r="N265"/>
      <c r="O265"/>
    </row>
    <row r="266" spans="11:15" x14ac:dyDescent="0.25">
      <c r="K266"/>
      <c r="L266"/>
      <c r="M266"/>
      <c r="N266"/>
      <c r="O266"/>
    </row>
    <row r="267" spans="11:15" x14ac:dyDescent="0.25">
      <c r="K267"/>
      <c r="L267"/>
      <c r="M267"/>
      <c r="N267"/>
      <c r="O267"/>
    </row>
    <row r="268" spans="11:15" x14ac:dyDescent="0.25">
      <c r="K268"/>
      <c r="L268"/>
      <c r="M268"/>
      <c r="N268"/>
      <c r="O268"/>
    </row>
    <row r="269" spans="11:15" x14ac:dyDescent="0.25">
      <c r="K269"/>
      <c r="L269"/>
      <c r="M269"/>
      <c r="N269"/>
      <c r="O269"/>
    </row>
    <row r="270" spans="11:15" x14ac:dyDescent="0.25">
      <c r="K270"/>
      <c r="L270"/>
      <c r="M270"/>
      <c r="N270"/>
      <c r="O270"/>
    </row>
    <row r="271" spans="11:15" x14ac:dyDescent="0.25">
      <c r="K271"/>
      <c r="L271"/>
      <c r="M271"/>
      <c r="N271"/>
      <c r="O271"/>
    </row>
    <row r="272" spans="11:15" x14ac:dyDescent="0.25">
      <c r="K272"/>
      <c r="L272"/>
      <c r="M272"/>
      <c r="N272"/>
      <c r="O272"/>
    </row>
    <row r="273" spans="11:15" x14ac:dyDescent="0.25">
      <c r="K273"/>
      <c r="L273"/>
      <c r="M273"/>
      <c r="N273"/>
      <c r="O273"/>
    </row>
    <row r="274" spans="11:15" x14ac:dyDescent="0.25">
      <c r="K274"/>
      <c r="L274"/>
      <c r="M274"/>
      <c r="N274"/>
      <c r="O274"/>
    </row>
    <row r="275" spans="11:15" x14ac:dyDescent="0.25">
      <c r="K275"/>
      <c r="L275"/>
      <c r="M275"/>
      <c r="N275"/>
      <c r="O275"/>
    </row>
    <row r="276" spans="11:15" x14ac:dyDescent="0.25">
      <c r="K276"/>
      <c r="L276"/>
      <c r="M276"/>
      <c r="N276"/>
      <c r="O276"/>
    </row>
    <row r="277" spans="11:15" x14ac:dyDescent="0.25">
      <c r="K277"/>
      <c r="L277"/>
      <c r="M277"/>
      <c r="N277"/>
      <c r="O277"/>
    </row>
    <row r="278" spans="11:15" x14ac:dyDescent="0.25">
      <c r="K278"/>
      <c r="L278"/>
      <c r="M278"/>
      <c r="N278"/>
      <c r="O278"/>
    </row>
    <row r="279" spans="11:15" x14ac:dyDescent="0.25">
      <c r="K279"/>
      <c r="L279"/>
      <c r="M279"/>
      <c r="N279"/>
      <c r="O279"/>
    </row>
    <row r="280" spans="11:15" x14ac:dyDescent="0.25">
      <c r="K280"/>
      <c r="L280"/>
      <c r="M280"/>
      <c r="N280"/>
      <c r="O280"/>
    </row>
    <row r="281" spans="11:15" x14ac:dyDescent="0.25">
      <c r="K281"/>
      <c r="L281"/>
      <c r="M281"/>
      <c r="N281"/>
      <c r="O281"/>
    </row>
    <row r="282" spans="11:15" x14ac:dyDescent="0.25">
      <c r="K282"/>
      <c r="L282"/>
      <c r="M282"/>
      <c r="N282"/>
      <c r="O282"/>
    </row>
    <row r="283" spans="11:15" x14ac:dyDescent="0.25">
      <c r="K283"/>
      <c r="L283"/>
      <c r="M283"/>
      <c r="N283"/>
      <c r="O283"/>
    </row>
    <row r="284" spans="11:15" x14ac:dyDescent="0.25">
      <c r="K284"/>
      <c r="L284"/>
      <c r="M284"/>
      <c r="N284"/>
      <c r="O284"/>
    </row>
    <row r="285" spans="11:15" x14ac:dyDescent="0.25">
      <c r="K285"/>
      <c r="L285"/>
      <c r="M285"/>
      <c r="N285"/>
      <c r="O285"/>
    </row>
    <row r="286" spans="11:15" x14ac:dyDescent="0.25">
      <c r="K286"/>
      <c r="L286"/>
      <c r="M286"/>
      <c r="N286"/>
      <c r="O286"/>
    </row>
    <row r="287" spans="11:15" x14ac:dyDescent="0.25">
      <c r="K287"/>
      <c r="L287"/>
      <c r="M287"/>
      <c r="N287"/>
      <c r="O287"/>
    </row>
    <row r="288" spans="11:15" x14ac:dyDescent="0.25">
      <c r="K288"/>
      <c r="L288"/>
      <c r="M288"/>
      <c r="N288"/>
      <c r="O288"/>
    </row>
    <row r="289" spans="11:15" x14ac:dyDescent="0.25">
      <c r="K289"/>
      <c r="L289"/>
      <c r="M289"/>
      <c r="N289"/>
      <c r="O289"/>
    </row>
    <row r="290" spans="11:15" x14ac:dyDescent="0.25">
      <c r="K290"/>
      <c r="L290"/>
      <c r="M290"/>
      <c r="N290"/>
      <c r="O290"/>
    </row>
    <row r="291" spans="11:15" x14ac:dyDescent="0.25">
      <c r="K291"/>
      <c r="L291"/>
      <c r="M291"/>
      <c r="N291"/>
      <c r="O291"/>
    </row>
    <row r="292" spans="11:15" x14ac:dyDescent="0.25">
      <c r="K292"/>
      <c r="L292"/>
      <c r="M292"/>
      <c r="N292"/>
      <c r="O292"/>
    </row>
    <row r="293" spans="11:15" x14ac:dyDescent="0.25">
      <c r="K293"/>
      <c r="L293"/>
      <c r="M293"/>
      <c r="N293"/>
      <c r="O293"/>
    </row>
    <row r="294" spans="11:15" x14ac:dyDescent="0.25">
      <c r="K294"/>
      <c r="L294"/>
      <c r="M294"/>
      <c r="N294"/>
      <c r="O294"/>
    </row>
    <row r="295" spans="11:15" x14ac:dyDescent="0.25">
      <c r="K295"/>
      <c r="L295"/>
      <c r="M295"/>
      <c r="N295"/>
      <c r="O295"/>
    </row>
    <row r="296" spans="11:15" x14ac:dyDescent="0.25">
      <c r="K296"/>
      <c r="L296"/>
      <c r="M296"/>
      <c r="N296"/>
      <c r="O296"/>
    </row>
    <row r="297" spans="11:15" x14ac:dyDescent="0.25">
      <c r="K297"/>
      <c r="L297"/>
      <c r="M297"/>
      <c r="N297"/>
      <c r="O297"/>
    </row>
    <row r="298" spans="11:15" x14ac:dyDescent="0.25">
      <c r="K298"/>
      <c r="L298"/>
      <c r="M298"/>
      <c r="N298"/>
      <c r="O298"/>
    </row>
    <row r="299" spans="11:15" x14ac:dyDescent="0.25">
      <c r="K299"/>
      <c r="L299"/>
      <c r="M299"/>
      <c r="N299"/>
      <c r="O299"/>
    </row>
    <row r="300" spans="11:15" x14ac:dyDescent="0.25">
      <c r="K300"/>
      <c r="L300"/>
      <c r="M300"/>
      <c r="N300"/>
      <c r="O300"/>
    </row>
    <row r="301" spans="11:15" x14ac:dyDescent="0.25">
      <c r="K301"/>
      <c r="L301"/>
      <c r="M301"/>
      <c r="N301"/>
      <c r="O301"/>
    </row>
    <row r="302" spans="11:15" x14ac:dyDescent="0.25">
      <c r="K302"/>
      <c r="L302"/>
      <c r="M302"/>
      <c r="N302"/>
      <c r="O302"/>
    </row>
    <row r="303" spans="11:15" x14ac:dyDescent="0.25">
      <c r="K303"/>
      <c r="L303"/>
      <c r="M303"/>
      <c r="N303"/>
      <c r="O303"/>
    </row>
    <row r="304" spans="11:15" x14ac:dyDescent="0.25">
      <c r="K304"/>
      <c r="L304"/>
      <c r="M304"/>
      <c r="N304"/>
      <c r="O304"/>
    </row>
    <row r="305" spans="11:15" x14ac:dyDescent="0.25">
      <c r="K305"/>
      <c r="L305"/>
      <c r="M305"/>
      <c r="N305"/>
      <c r="O305"/>
    </row>
    <row r="306" spans="11:15" x14ac:dyDescent="0.25">
      <c r="K306"/>
      <c r="L306"/>
      <c r="M306"/>
      <c r="N306"/>
      <c r="O306"/>
    </row>
    <row r="307" spans="11:15" x14ac:dyDescent="0.25">
      <c r="K307"/>
      <c r="L307"/>
      <c r="M307"/>
      <c r="N307"/>
      <c r="O307"/>
    </row>
    <row r="308" spans="11:15" x14ac:dyDescent="0.25">
      <c r="K308"/>
      <c r="L308"/>
      <c r="M308"/>
      <c r="N308"/>
      <c r="O308"/>
    </row>
    <row r="309" spans="11:15" x14ac:dyDescent="0.25">
      <c r="K309"/>
      <c r="L309"/>
      <c r="M309"/>
      <c r="N309"/>
      <c r="O309"/>
    </row>
    <row r="310" spans="11:15" x14ac:dyDescent="0.25">
      <c r="K310"/>
      <c r="L310"/>
      <c r="M310"/>
      <c r="N310"/>
      <c r="O310"/>
    </row>
    <row r="311" spans="11:15" x14ac:dyDescent="0.25">
      <c r="K311"/>
      <c r="L311"/>
      <c r="M311"/>
      <c r="N311"/>
      <c r="O311"/>
    </row>
    <row r="312" spans="11:15" x14ac:dyDescent="0.25">
      <c r="K312"/>
      <c r="L312"/>
      <c r="M312"/>
      <c r="N312"/>
      <c r="O312"/>
    </row>
    <row r="313" spans="11:15" x14ac:dyDescent="0.25">
      <c r="K313"/>
      <c r="L313"/>
      <c r="M313"/>
      <c r="N313"/>
      <c r="O313"/>
    </row>
    <row r="314" spans="11:15" x14ac:dyDescent="0.25">
      <c r="K314"/>
      <c r="L314"/>
      <c r="M314"/>
      <c r="N314"/>
      <c r="O314"/>
    </row>
    <row r="315" spans="11:15" x14ac:dyDescent="0.25">
      <c r="K315"/>
      <c r="L315"/>
      <c r="M315"/>
      <c r="N315"/>
      <c r="O315"/>
    </row>
    <row r="316" spans="11:15" x14ac:dyDescent="0.25">
      <c r="K316"/>
      <c r="L316"/>
      <c r="M316"/>
      <c r="N316"/>
      <c r="O316"/>
    </row>
    <row r="317" spans="11:15" x14ac:dyDescent="0.25">
      <c r="K317"/>
      <c r="L317"/>
      <c r="M317"/>
      <c r="N317"/>
      <c r="O317"/>
    </row>
    <row r="318" spans="11:15" x14ac:dyDescent="0.25">
      <c r="K318"/>
      <c r="L318"/>
      <c r="M318"/>
      <c r="N318"/>
      <c r="O318"/>
    </row>
    <row r="319" spans="11:15" x14ac:dyDescent="0.25">
      <c r="K319"/>
      <c r="L319"/>
      <c r="M319"/>
      <c r="N319"/>
      <c r="O319"/>
    </row>
    <row r="320" spans="11:15" x14ac:dyDescent="0.25">
      <c r="K320"/>
      <c r="L320"/>
      <c r="M320"/>
      <c r="N320"/>
      <c r="O320"/>
    </row>
    <row r="321" spans="11:15" x14ac:dyDescent="0.25">
      <c r="K321"/>
      <c r="L321"/>
      <c r="M321"/>
      <c r="N321"/>
      <c r="O321"/>
    </row>
    <row r="322" spans="11:15" x14ac:dyDescent="0.25">
      <c r="K322"/>
      <c r="L322"/>
      <c r="M322"/>
      <c r="N322"/>
      <c r="O322"/>
    </row>
    <row r="323" spans="11:15" x14ac:dyDescent="0.25">
      <c r="K323"/>
      <c r="L323"/>
      <c r="M323"/>
      <c r="N323"/>
      <c r="O323"/>
    </row>
    <row r="324" spans="11:15" x14ac:dyDescent="0.25">
      <c r="K324"/>
      <c r="L324"/>
      <c r="M324"/>
      <c r="N324"/>
      <c r="O324"/>
    </row>
    <row r="325" spans="11:15" x14ac:dyDescent="0.25">
      <c r="K325"/>
      <c r="L325"/>
      <c r="M325"/>
      <c r="N325"/>
      <c r="O325"/>
    </row>
    <row r="326" spans="11:15" x14ac:dyDescent="0.25">
      <c r="K326"/>
      <c r="L326"/>
      <c r="M326"/>
      <c r="N326"/>
      <c r="O326"/>
    </row>
    <row r="327" spans="11:15" x14ac:dyDescent="0.25">
      <c r="K327"/>
      <c r="L327"/>
      <c r="M327"/>
      <c r="N327"/>
      <c r="O327"/>
    </row>
    <row r="328" spans="11:15" x14ac:dyDescent="0.25">
      <c r="K328"/>
      <c r="L328"/>
      <c r="M328"/>
      <c r="N328"/>
      <c r="O328"/>
    </row>
    <row r="329" spans="11:15" x14ac:dyDescent="0.25">
      <c r="K329"/>
      <c r="L329"/>
      <c r="M329"/>
      <c r="N329"/>
      <c r="O329"/>
    </row>
    <row r="330" spans="11:15" x14ac:dyDescent="0.25">
      <c r="K330"/>
      <c r="L330"/>
      <c r="M330"/>
      <c r="N330"/>
      <c r="O330"/>
    </row>
    <row r="331" spans="11:15" x14ac:dyDescent="0.25">
      <c r="K331"/>
      <c r="L331"/>
      <c r="M331"/>
      <c r="N331"/>
      <c r="O331"/>
    </row>
    <row r="332" spans="11:15" x14ac:dyDescent="0.25">
      <c r="K332"/>
      <c r="L332"/>
      <c r="M332"/>
      <c r="N332"/>
      <c r="O332"/>
    </row>
    <row r="333" spans="11:15" x14ac:dyDescent="0.25">
      <c r="K333"/>
      <c r="L333"/>
      <c r="M333"/>
      <c r="N333"/>
      <c r="O333"/>
    </row>
    <row r="334" spans="11:15" x14ac:dyDescent="0.25">
      <c r="K334"/>
      <c r="L334"/>
      <c r="M334"/>
      <c r="N334"/>
      <c r="O334"/>
    </row>
    <row r="335" spans="11:15" x14ac:dyDescent="0.25">
      <c r="K335"/>
      <c r="L335"/>
      <c r="M335"/>
      <c r="N335"/>
      <c r="O335"/>
    </row>
    <row r="336" spans="11:15" x14ac:dyDescent="0.25">
      <c r="K336"/>
      <c r="L336"/>
      <c r="M336"/>
      <c r="N336"/>
      <c r="O336"/>
    </row>
    <row r="337" spans="11:15" x14ac:dyDescent="0.25">
      <c r="K337"/>
      <c r="L337"/>
      <c r="M337"/>
      <c r="N337"/>
      <c r="O337"/>
    </row>
    <row r="338" spans="11:15" x14ac:dyDescent="0.25">
      <c r="K338"/>
      <c r="L338"/>
      <c r="M338"/>
      <c r="N338"/>
      <c r="O338"/>
    </row>
    <row r="339" spans="11:15" x14ac:dyDescent="0.25">
      <c r="K339"/>
      <c r="L339"/>
      <c r="M339"/>
      <c r="N339"/>
      <c r="O339"/>
    </row>
    <row r="340" spans="11:15" x14ac:dyDescent="0.25">
      <c r="K340"/>
      <c r="L340"/>
      <c r="M340"/>
      <c r="N340"/>
      <c r="O340"/>
    </row>
    <row r="341" spans="11:15" x14ac:dyDescent="0.25">
      <c r="K341"/>
      <c r="L341"/>
      <c r="M341"/>
      <c r="N341"/>
      <c r="O341"/>
    </row>
    <row r="342" spans="11:15" x14ac:dyDescent="0.25">
      <c r="K342"/>
      <c r="L342"/>
      <c r="M342"/>
      <c r="N342"/>
      <c r="O342"/>
    </row>
    <row r="343" spans="11:15" x14ac:dyDescent="0.25">
      <c r="K343"/>
      <c r="L343"/>
      <c r="M343"/>
      <c r="N343"/>
      <c r="O343"/>
    </row>
    <row r="344" spans="11:15" x14ac:dyDescent="0.25">
      <c r="K344"/>
      <c r="L344"/>
      <c r="M344"/>
      <c r="N344"/>
      <c r="O344"/>
    </row>
    <row r="345" spans="11:15" x14ac:dyDescent="0.25">
      <c r="K345"/>
      <c r="L345"/>
      <c r="M345"/>
      <c r="N345"/>
      <c r="O345"/>
    </row>
    <row r="346" spans="11:15" x14ac:dyDescent="0.25">
      <c r="K346"/>
      <c r="L346"/>
      <c r="M346"/>
      <c r="N346"/>
      <c r="O346"/>
    </row>
    <row r="347" spans="11:15" x14ac:dyDescent="0.25">
      <c r="K347"/>
      <c r="L347"/>
      <c r="M347"/>
      <c r="N347"/>
      <c r="O347"/>
    </row>
    <row r="348" spans="11:15" x14ac:dyDescent="0.25">
      <c r="K348"/>
      <c r="L348"/>
      <c r="M348"/>
      <c r="N348"/>
      <c r="O348"/>
    </row>
    <row r="349" spans="11:15" x14ac:dyDescent="0.25">
      <c r="K349"/>
      <c r="L349"/>
      <c r="M349"/>
      <c r="N349"/>
      <c r="O349"/>
    </row>
    <row r="350" spans="11:15" x14ac:dyDescent="0.25">
      <c r="K350"/>
      <c r="L350"/>
      <c r="M350"/>
      <c r="N350"/>
      <c r="O350"/>
    </row>
    <row r="351" spans="11:15" x14ac:dyDescent="0.25">
      <c r="K351"/>
      <c r="L351"/>
      <c r="M351"/>
      <c r="N351"/>
      <c r="O351"/>
    </row>
    <row r="352" spans="11:15" x14ac:dyDescent="0.25">
      <c r="K352"/>
      <c r="L352"/>
      <c r="M352"/>
      <c r="N352"/>
      <c r="O352"/>
    </row>
    <row r="353" spans="11:15" x14ac:dyDescent="0.25">
      <c r="K353"/>
      <c r="L353"/>
      <c r="M353"/>
      <c r="N353"/>
      <c r="O353"/>
    </row>
    <row r="354" spans="11:15" x14ac:dyDescent="0.25">
      <c r="K354"/>
      <c r="L354"/>
      <c r="M354"/>
      <c r="N354"/>
      <c r="O354"/>
    </row>
    <row r="355" spans="11:15" x14ac:dyDescent="0.25">
      <c r="K355"/>
      <c r="L355"/>
      <c r="M355"/>
      <c r="N355"/>
      <c r="O355"/>
    </row>
    <row r="356" spans="11:15" x14ac:dyDescent="0.25">
      <c r="K356"/>
      <c r="L356"/>
      <c r="M356"/>
      <c r="N356"/>
      <c r="O356"/>
    </row>
    <row r="357" spans="11:15" x14ac:dyDescent="0.25">
      <c r="K357"/>
      <c r="L357"/>
      <c r="M357"/>
      <c r="N357"/>
      <c r="O357"/>
    </row>
    <row r="358" spans="11:15" x14ac:dyDescent="0.25">
      <c r="K358"/>
      <c r="L358"/>
      <c r="M358"/>
      <c r="N358"/>
      <c r="O358"/>
    </row>
    <row r="359" spans="11:15" x14ac:dyDescent="0.25">
      <c r="K359"/>
      <c r="L359"/>
      <c r="M359"/>
      <c r="N359"/>
      <c r="O359"/>
    </row>
    <row r="360" spans="11:15" x14ac:dyDescent="0.25">
      <c r="K360"/>
      <c r="L360"/>
      <c r="M360"/>
      <c r="N360"/>
      <c r="O360"/>
    </row>
    <row r="361" spans="11:15" x14ac:dyDescent="0.25">
      <c r="K361"/>
      <c r="L361"/>
      <c r="M361"/>
      <c r="N361"/>
      <c r="O361"/>
    </row>
    <row r="362" spans="11:15" x14ac:dyDescent="0.25">
      <c r="K362"/>
      <c r="L362"/>
      <c r="M362"/>
      <c r="N362"/>
      <c r="O362"/>
    </row>
    <row r="363" spans="11:15" x14ac:dyDescent="0.25">
      <c r="K363"/>
      <c r="L363"/>
      <c r="M363"/>
      <c r="N363"/>
      <c r="O363"/>
    </row>
    <row r="364" spans="11:15" x14ac:dyDescent="0.25">
      <c r="K364"/>
      <c r="L364"/>
      <c r="M364"/>
      <c r="N364"/>
      <c r="O364"/>
    </row>
    <row r="365" spans="11:15" x14ac:dyDescent="0.25">
      <c r="K365"/>
      <c r="L365"/>
      <c r="M365"/>
      <c r="N365"/>
      <c r="O365"/>
    </row>
    <row r="366" spans="11:15" x14ac:dyDescent="0.25">
      <c r="K366"/>
      <c r="L366"/>
      <c r="M366"/>
      <c r="N366"/>
      <c r="O366"/>
    </row>
    <row r="367" spans="11:15" x14ac:dyDescent="0.25">
      <c r="K367"/>
      <c r="L367"/>
      <c r="M367"/>
      <c r="N367"/>
      <c r="O367"/>
    </row>
    <row r="368" spans="11:15" x14ac:dyDescent="0.25">
      <c r="K368"/>
      <c r="L368"/>
      <c r="M368"/>
      <c r="N368"/>
      <c r="O368"/>
    </row>
    <row r="369" spans="11:15" x14ac:dyDescent="0.25">
      <c r="K369"/>
      <c r="L369"/>
      <c r="M369"/>
      <c r="N369"/>
      <c r="O369"/>
    </row>
    <row r="370" spans="11:15" x14ac:dyDescent="0.25">
      <c r="K370"/>
      <c r="L370"/>
      <c r="M370"/>
      <c r="N370"/>
      <c r="O370"/>
    </row>
    <row r="371" spans="11:15" x14ac:dyDescent="0.25">
      <c r="K371"/>
      <c r="L371"/>
      <c r="M371"/>
      <c r="N371"/>
      <c r="O371"/>
    </row>
    <row r="372" spans="11:15" x14ac:dyDescent="0.25">
      <c r="K372"/>
      <c r="L372"/>
      <c r="M372"/>
      <c r="N372"/>
      <c r="O372"/>
    </row>
    <row r="373" spans="11:15" x14ac:dyDescent="0.25">
      <c r="K373"/>
      <c r="L373"/>
      <c r="M373"/>
      <c r="N373"/>
      <c r="O373"/>
    </row>
    <row r="374" spans="11:15" x14ac:dyDescent="0.25">
      <c r="K374"/>
      <c r="L374"/>
      <c r="M374"/>
      <c r="N374"/>
      <c r="O374"/>
    </row>
    <row r="375" spans="11:15" x14ac:dyDescent="0.25">
      <c r="K375"/>
      <c r="L375"/>
      <c r="M375"/>
      <c r="N375"/>
      <c r="O375"/>
    </row>
    <row r="376" spans="11:15" x14ac:dyDescent="0.25">
      <c r="K376"/>
      <c r="L376"/>
      <c r="M376"/>
      <c r="N376"/>
      <c r="O376"/>
    </row>
    <row r="377" spans="11:15" x14ac:dyDescent="0.25">
      <c r="K377"/>
      <c r="L377"/>
      <c r="M377"/>
      <c r="N377"/>
      <c r="O377"/>
    </row>
    <row r="378" spans="11:15" x14ac:dyDescent="0.25">
      <c r="K378"/>
      <c r="L378"/>
      <c r="M378"/>
      <c r="N378"/>
      <c r="O378"/>
    </row>
    <row r="379" spans="11:15" x14ac:dyDescent="0.25">
      <c r="K379"/>
      <c r="L379"/>
      <c r="M379"/>
      <c r="N379"/>
      <c r="O379"/>
    </row>
    <row r="380" spans="11:15" x14ac:dyDescent="0.25">
      <c r="K380"/>
      <c r="L380"/>
      <c r="M380"/>
      <c r="N380"/>
      <c r="O380"/>
    </row>
    <row r="381" spans="11:15" x14ac:dyDescent="0.25">
      <c r="K381"/>
      <c r="L381"/>
      <c r="M381"/>
      <c r="N381"/>
      <c r="O381"/>
    </row>
    <row r="382" spans="11:15" x14ac:dyDescent="0.25">
      <c r="K382"/>
      <c r="L382"/>
      <c r="M382"/>
      <c r="N382"/>
      <c r="O382"/>
    </row>
    <row r="383" spans="11:15" x14ac:dyDescent="0.25">
      <c r="K383"/>
      <c r="L383"/>
      <c r="M383"/>
      <c r="N383"/>
      <c r="O383"/>
    </row>
    <row r="384" spans="11:15" x14ac:dyDescent="0.25">
      <c r="K384"/>
      <c r="L384"/>
      <c r="M384"/>
      <c r="N384"/>
      <c r="O384"/>
    </row>
    <row r="385" spans="11:15" x14ac:dyDescent="0.25">
      <c r="K385"/>
      <c r="L385"/>
      <c r="M385"/>
      <c r="N385"/>
      <c r="O385"/>
    </row>
    <row r="386" spans="11:15" x14ac:dyDescent="0.25">
      <c r="K386"/>
      <c r="L386"/>
      <c r="M386"/>
      <c r="N386"/>
      <c r="O386"/>
    </row>
    <row r="387" spans="11:15" x14ac:dyDescent="0.25">
      <c r="K387"/>
      <c r="L387"/>
      <c r="M387"/>
      <c r="N387"/>
      <c r="O387"/>
    </row>
    <row r="388" spans="11:15" x14ac:dyDescent="0.25">
      <c r="K388"/>
      <c r="L388"/>
      <c r="M388"/>
      <c r="N388"/>
      <c r="O388"/>
    </row>
    <row r="389" spans="11:15" x14ac:dyDescent="0.25">
      <c r="K389"/>
      <c r="L389"/>
      <c r="M389"/>
      <c r="N389"/>
      <c r="O389"/>
    </row>
    <row r="390" spans="11:15" x14ac:dyDescent="0.25">
      <c r="K390"/>
      <c r="L390"/>
      <c r="M390"/>
      <c r="N390"/>
      <c r="O390"/>
    </row>
    <row r="391" spans="11:15" x14ac:dyDescent="0.25">
      <c r="K391"/>
      <c r="L391"/>
      <c r="M391"/>
      <c r="N391"/>
      <c r="O391"/>
    </row>
    <row r="392" spans="11:15" x14ac:dyDescent="0.25">
      <c r="K392"/>
      <c r="L392"/>
      <c r="M392"/>
      <c r="N392"/>
      <c r="O392"/>
    </row>
    <row r="393" spans="11:15" x14ac:dyDescent="0.25">
      <c r="K393"/>
      <c r="L393"/>
      <c r="M393"/>
      <c r="N393"/>
      <c r="O393"/>
    </row>
    <row r="394" spans="11:15" x14ac:dyDescent="0.25">
      <c r="K394"/>
      <c r="L394"/>
      <c r="M394"/>
      <c r="N394"/>
      <c r="O394"/>
    </row>
    <row r="395" spans="11:15" x14ac:dyDescent="0.25">
      <c r="K395"/>
      <c r="L395"/>
      <c r="M395"/>
      <c r="N395"/>
      <c r="O395"/>
    </row>
    <row r="396" spans="11:15" x14ac:dyDescent="0.25">
      <c r="K396"/>
      <c r="L396"/>
      <c r="M396"/>
      <c r="N396"/>
      <c r="O396"/>
    </row>
    <row r="397" spans="11:15" x14ac:dyDescent="0.25">
      <c r="K397"/>
      <c r="L397"/>
      <c r="M397"/>
      <c r="N397"/>
      <c r="O397"/>
    </row>
    <row r="398" spans="11:15" x14ac:dyDescent="0.25">
      <c r="K398"/>
      <c r="L398"/>
      <c r="M398"/>
      <c r="N398"/>
      <c r="O398"/>
    </row>
    <row r="399" spans="11:15" x14ac:dyDescent="0.25">
      <c r="K399"/>
      <c r="L399"/>
      <c r="M399"/>
      <c r="N399"/>
      <c r="O399"/>
    </row>
    <row r="400" spans="11:15" x14ac:dyDescent="0.25">
      <c r="K400"/>
      <c r="L400"/>
      <c r="M400"/>
      <c r="N400"/>
      <c r="O400"/>
    </row>
    <row r="401" spans="11:15" x14ac:dyDescent="0.25">
      <c r="K401"/>
      <c r="L401"/>
      <c r="M401"/>
      <c r="N401"/>
      <c r="O401"/>
    </row>
    <row r="402" spans="11:15" x14ac:dyDescent="0.25">
      <c r="K402"/>
      <c r="L402"/>
      <c r="M402"/>
      <c r="N402"/>
      <c r="O402"/>
    </row>
    <row r="403" spans="11:15" x14ac:dyDescent="0.25">
      <c r="K403"/>
      <c r="L403"/>
      <c r="M403"/>
      <c r="N403"/>
      <c r="O403"/>
    </row>
    <row r="404" spans="11:15" x14ac:dyDescent="0.25">
      <c r="K404"/>
      <c r="L404"/>
      <c r="M404"/>
      <c r="N404"/>
      <c r="O404"/>
    </row>
    <row r="405" spans="11:15" x14ac:dyDescent="0.25">
      <c r="K405"/>
      <c r="L405"/>
      <c r="M405"/>
      <c r="N405"/>
      <c r="O405"/>
    </row>
    <row r="406" spans="11:15" x14ac:dyDescent="0.25">
      <c r="K406"/>
      <c r="L406"/>
      <c r="M406"/>
      <c r="N406"/>
      <c r="O406"/>
    </row>
    <row r="407" spans="11:15" x14ac:dyDescent="0.25">
      <c r="K407"/>
      <c r="L407"/>
      <c r="M407"/>
      <c r="N407"/>
      <c r="O407"/>
    </row>
    <row r="408" spans="11:15" x14ac:dyDescent="0.25">
      <c r="K408"/>
      <c r="L408"/>
      <c r="M408"/>
      <c r="N408"/>
      <c r="O408"/>
    </row>
    <row r="409" spans="11:15" x14ac:dyDescent="0.25">
      <c r="K409"/>
      <c r="L409"/>
      <c r="M409"/>
      <c r="N409"/>
      <c r="O409"/>
    </row>
    <row r="410" spans="11:15" x14ac:dyDescent="0.25">
      <c r="K410"/>
      <c r="L410"/>
      <c r="M410"/>
      <c r="N410"/>
      <c r="O410"/>
    </row>
    <row r="411" spans="11:15" x14ac:dyDescent="0.25">
      <c r="K411"/>
      <c r="L411"/>
      <c r="M411"/>
      <c r="N411"/>
      <c r="O411"/>
    </row>
    <row r="412" spans="11:15" x14ac:dyDescent="0.25">
      <c r="K412"/>
      <c r="L412"/>
      <c r="M412"/>
      <c r="N412"/>
      <c r="O412"/>
    </row>
    <row r="413" spans="11:15" x14ac:dyDescent="0.25">
      <c r="K413"/>
      <c r="L413"/>
      <c r="M413"/>
      <c r="N413"/>
      <c r="O413"/>
    </row>
    <row r="414" spans="11:15" x14ac:dyDescent="0.25">
      <c r="K414"/>
      <c r="L414"/>
      <c r="M414"/>
      <c r="N414"/>
      <c r="O414"/>
    </row>
    <row r="415" spans="11:15" x14ac:dyDescent="0.25">
      <c r="K415"/>
      <c r="L415"/>
      <c r="M415"/>
      <c r="N415"/>
      <c r="O415"/>
    </row>
    <row r="416" spans="11:15" x14ac:dyDescent="0.25">
      <c r="K416"/>
      <c r="L416"/>
      <c r="M416"/>
      <c r="N416"/>
      <c r="O416"/>
    </row>
    <row r="417" spans="11:15" x14ac:dyDescent="0.25">
      <c r="K417"/>
      <c r="L417"/>
      <c r="M417"/>
      <c r="N417"/>
      <c r="O417"/>
    </row>
    <row r="418" spans="11:15" x14ac:dyDescent="0.25">
      <c r="K418"/>
      <c r="L418"/>
      <c r="M418"/>
      <c r="N418"/>
      <c r="O418"/>
    </row>
    <row r="419" spans="11:15" x14ac:dyDescent="0.25">
      <c r="K419"/>
      <c r="L419"/>
      <c r="M419"/>
      <c r="N419"/>
      <c r="O419"/>
    </row>
    <row r="420" spans="11:15" x14ac:dyDescent="0.25">
      <c r="K420"/>
      <c r="L420"/>
      <c r="M420"/>
      <c r="N420"/>
      <c r="O420"/>
    </row>
    <row r="421" spans="11:15" x14ac:dyDescent="0.25">
      <c r="K421"/>
      <c r="L421"/>
      <c r="M421"/>
      <c r="N421"/>
      <c r="O421"/>
    </row>
    <row r="422" spans="11:15" x14ac:dyDescent="0.25">
      <c r="K422"/>
      <c r="L422"/>
      <c r="M422"/>
      <c r="N422"/>
      <c r="O422"/>
    </row>
    <row r="423" spans="11:15" x14ac:dyDescent="0.25">
      <c r="K423"/>
      <c r="L423"/>
      <c r="M423"/>
      <c r="N423"/>
      <c r="O423"/>
    </row>
    <row r="424" spans="11:15" x14ac:dyDescent="0.25">
      <c r="K424"/>
      <c r="L424"/>
      <c r="M424"/>
      <c r="N424"/>
      <c r="O424"/>
    </row>
    <row r="425" spans="11:15" x14ac:dyDescent="0.25">
      <c r="K425"/>
      <c r="L425"/>
      <c r="M425"/>
      <c r="N425"/>
      <c r="O425"/>
    </row>
    <row r="426" spans="11:15" x14ac:dyDescent="0.25">
      <c r="K426"/>
      <c r="L426"/>
      <c r="M426"/>
      <c r="N426"/>
      <c r="O426"/>
    </row>
    <row r="427" spans="11:15" x14ac:dyDescent="0.25">
      <c r="K427"/>
      <c r="L427"/>
      <c r="M427"/>
      <c r="N427"/>
      <c r="O427"/>
    </row>
    <row r="428" spans="11:15" x14ac:dyDescent="0.25">
      <c r="K428"/>
      <c r="L428"/>
      <c r="M428"/>
      <c r="N428"/>
      <c r="O428"/>
    </row>
    <row r="429" spans="11:15" x14ac:dyDescent="0.25">
      <c r="K429"/>
      <c r="L429"/>
      <c r="M429"/>
      <c r="N429"/>
      <c r="O429"/>
    </row>
    <row r="430" spans="11:15" x14ac:dyDescent="0.25">
      <c r="K430"/>
      <c r="L430"/>
      <c r="M430"/>
      <c r="N430"/>
      <c r="O430"/>
    </row>
    <row r="431" spans="11:15" x14ac:dyDescent="0.25">
      <c r="K431"/>
      <c r="L431"/>
      <c r="M431"/>
      <c r="N431"/>
      <c r="O431"/>
    </row>
    <row r="432" spans="11:15" x14ac:dyDescent="0.25">
      <c r="K432"/>
      <c r="L432"/>
      <c r="M432"/>
      <c r="N432"/>
      <c r="O432"/>
    </row>
    <row r="433" spans="11:15" x14ac:dyDescent="0.25">
      <c r="K433"/>
      <c r="L433"/>
      <c r="M433"/>
      <c r="N433"/>
      <c r="O433"/>
    </row>
    <row r="434" spans="11:15" x14ac:dyDescent="0.25">
      <c r="K434"/>
      <c r="L434"/>
      <c r="M434"/>
      <c r="N434"/>
      <c r="O434"/>
    </row>
    <row r="435" spans="11:15" x14ac:dyDescent="0.25">
      <c r="K435"/>
      <c r="L435"/>
      <c r="M435"/>
      <c r="N435"/>
      <c r="O435"/>
    </row>
    <row r="436" spans="11:15" x14ac:dyDescent="0.25">
      <c r="K436"/>
      <c r="L436"/>
      <c r="M436"/>
      <c r="N436"/>
      <c r="O436"/>
    </row>
    <row r="437" spans="11:15" x14ac:dyDescent="0.25">
      <c r="K437"/>
      <c r="L437"/>
      <c r="M437"/>
      <c r="N437"/>
      <c r="O437"/>
    </row>
    <row r="438" spans="11:15" x14ac:dyDescent="0.25">
      <c r="K438"/>
      <c r="L438"/>
      <c r="M438"/>
      <c r="N438"/>
      <c r="O438"/>
    </row>
    <row r="439" spans="11:15" x14ac:dyDescent="0.25">
      <c r="K439"/>
      <c r="L439"/>
      <c r="M439"/>
      <c r="N439"/>
      <c r="O439"/>
    </row>
    <row r="440" spans="11:15" x14ac:dyDescent="0.25">
      <c r="K440"/>
      <c r="L440"/>
      <c r="M440"/>
      <c r="N440"/>
      <c r="O440"/>
    </row>
    <row r="441" spans="11:15" x14ac:dyDescent="0.25">
      <c r="K441"/>
      <c r="L441"/>
      <c r="M441"/>
      <c r="N441"/>
      <c r="O441"/>
    </row>
    <row r="442" spans="11:15" x14ac:dyDescent="0.25">
      <c r="K442"/>
      <c r="L442"/>
      <c r="M442"/>
      <c r="N442"/>
      <c r="O442"/>
    </row>
    <row r="443" spans="11:15" x14ac:dyDescent="0.25">
      <c r="K443"/>
      <c r="L443"/>
      <c r="M443"/>
      <c r="N443"/>
      <c r="O443"/>
    </row>
    <row r="444" spans="11:15" x14ac:dyDescent="0.25">
      <c r="K444"/>
      <c r="L444"/>
      <c r="M444"/>
      <c r="N444"/>
      <c r="O444"/>
    </row>
    <row r="445" spans="11:15" x14ac:dyDescent="0.25">
      <c r="K445"/>
      <c r="L445"/>
      <c r="M445"/>
      <c r="N445"/>
      <c r="O445"/>
    </row>
    <row r="446" spans="11:15" x14ac:dyDescent="0.25">
      <c r="K446"/>
      <c r="L446"/>
      <c r="M446"/>
      <c r="N446"/>
      <c r="O446"/>
    </row>
    <row r="447" spans="11:15" x14ac:dyDescent="0.25">
      <c r="K447"/>
      <c r="L447"/>
      <c r="M447"/>
      <c r="N447"/>
      <c r="O447"/>
    </row>
    <row r="448" spans="11:15" x14ac:dyDescent="0.25">
      <c r="K448"/>
      <c r="L448"/>
      <c r="M448"/>
      <c r="N448"/>
      <c r="O448"/>
    </row>
    <row r="449" spans="11:15" x14ac:dyDescent="0.25">
      <c r="K449"/>
      <c r="L449"/>
      <c r="M449"/>
      <c r="N449"/>
      <c r="O449"/>
    </row>
    <row r="450" spans="11:15" x14ac:dyDescent="0.25">
      <c r="K450"/>
      <c r="L450"/>
      <c r="M450"/>
      <c r="N450"/>
      <c r="O450"/>
    </row>
    <row r="451" spans="11:15" x14ac:dyDescent="0.25">
      <c r="K451"/>
      <c r="L451"/>
      <c r="M451"/>
      <c r="N451"/>
      <c r="O451"/>
    </row>
    <row r="452" spans="11:15" x14ac:dyDescent="0.25">
      <c r="K452"/>
      <c r="L452"/>
      <c r="M452"/>
      <c r="N452"/>
      <c r="O452"/>
    </row>
    <row r="453" spans="11:15" x14ac:dyDescent="0.25">
      <c r="K453"/>
      <c r="L453"/>
      <c r="M453"/>
      <c r="N453"/>
      <c r="O453"/>
    </row>
    <row r="454" spans="11:15" x14ac:dyDescent="0.25">
      <c r="K454"/>
      <c r="L454"/>
      <c r="M454"/>
      <c r="N454"/>
      <c r="O454"/>
    </row>
    <row r="455" spans="11:15" x14ac:dyDescent="0.25">
      <c r="K455"/>
      <c r="L455"/>
      <c r="M455"/>
      <c r="N455"/>
      <c r="O455"/>
    </row>
    <row r="456" spans="11:15" x14ac:dyDescent="0.25">
      <c r="K456"/>
      <c r="L456"/>
      <c r="M456"/>
      <c r="N456"/>
      <c r="O456"/>
    </row>
    <row r="457" spans="11:15" x14ac:dyDescent="0.25">
      <c r="K457"/>
      <c r="L457"/>
      <c r="M457"/>
      <c r="N457"/>
      <c r="O457"/>
    </row>
    <row r="458" spans="11:15" x14ac:dyDescent="0.25">
      <c r="K458"/>
      <c r="L458"/>
      <c r="M458"/>
      <c r="N458"/>
      <c r="O458"/>
    </row>
    <row r="459" spans="11:15" x14ac:dyDescent="0.25">
      <c r="K459"/>
      <c r="L459"/>
      <c r="M459"/>
      <c r="N459"/>
      <c r="O459"/>
    </row>
    <row r="460" spans="11:15" x14ac:dyDescent="0.25">
      <c r="K460"/>
      <c r="L460"/>
      <c r="M460"/>
      <c r="N460"/>
      <c r="O460"/>
    </row>
    <row r="461" spans="11:15" x14ac:dyDescent="0.25">
      <c r="K461"/>
      <c r="L461"/>
      <c r="M461"/>
      <c r="N461"/>
      <c r="O461"/>
    </row>
    <row r="462" spans="11:15" x14ac:dyDescent="0.25">
      <c r="K462"/>
      <c r="L462"/>
      <c r="M462"/>
      <c r="N462"/>
      <c r="O462"/>
    </row>
    <row r="463" spans="11:15" x14ac:dyDescent="0.25">
      <c r="K463"/>
      <c r="L463"/>
      <c r="M463"/>
      <c r="N463"/>
      <c r="O463"/>
    </row>
    <row r="464" spans="11:15" x14ac:dyDescent="0.25">
      <c r="K464"/>
      <c r="L464"/>
      <c r="M464"/>
      <c r="N464"/>
      <c r="O464"/>
    </row>
    <row r="465" spans="11:15" x14ac:dyDescent="0.25">
      <c r="K465"/>
      <c r="L465"/>
      <c r="M465"/>
      <c r="N465"/>
      <c r="O465"/>
    </row>
    <row r="466" spans="11:15" x14ac:dyDescent="0.25">
      <c r="K466"/>
      <c r="L466"/>
      <c r="M466"/>
      <c r="N466"/>
      <c r="O466"/>
    </row>
    <row r="467" spans="11:15" x14ac:dyDescent="0.25">
      <c r="K467"/>
      <c r="L467"/>
      <c r="M467"/>
      <c r="N467"/>
      <c r="O467"/>
    </row>
    <row r="468" spans="11:15" x14ac:dyDescent="0.25">
      <c r="K468"/>
      <c r="L468"/>
      <c r="M468"/>
      <c r="N468"/>
      <c r="O468"/>
    </row>
    <row r="469" spans="11:15" x14ac:dyDescent="0.25">
      <c r="K469"/>
      <c r="L469"/>
      <c r="M469"/>
      <c r="N469"/>
      <c r="O469"/>
    </row>
    <row r="470" spans="11:15" x14ac:dyDescent="0.25">
      <c r="K470"/>
      <c r="L470"/>
      <c r="M470"/>
      <c r="N470"/>
      <c r="O470"/>
    </row>
    <row r="471" spans="11:15" x14ac:dyDescent="0.25">
      <c r="K471"/>
      <c r="L471"/>
      <c r="M471"/>
      <c r="N471"/>
      <c r="O471"/>
    </row>
    <row r="472" spans="11:15" x14ac:dyDescent="0.25">
      <c r="K472"/>
      <c r="L472"/>
      <c r="M472"/>
      <c r="N472"/>
      <c r="O472"/>
    </row>
    <row r="473" spans="11:15" x14ac:dyDescent="0.25">
      <c r="K473"/>
      <c r="L473"/>
      <c r="M473"/>
      <c r="N473"/>
      <c r="O473"/>
    </row>
    <row r="474" spans="11:15" x14ac:dyDescent="0.25">
      <c r="K474"/>
      <c r="L474"/>
      <c r="M474"/>
      <c r="N474"/>
      <c r="O474"/>
    </row>
    <row r="475" spans="11:15" x14ac:dyDescent="0.25">
      <c r="K475"/>
      <c r="L475"/>
      <c r="M475"/>
      <c r="N475"/>
      <c r="O475"/>
    </row>
    <row r="476" spans="11:15" x14ac:dyDescent="0.25">
      <c r="K476"/>
      <c r="L476"/>
      <c r="M476"/>
      <c r="N476"/>
      <c r="O476"/>
    </row>
    <row r="477" spans="11:15" x14ac:dyDescent="0.25">
      <c r="K477"/>
      <c r="L477"/>
      <c r="M477"/>
      <c r="N477"/>
      <c r="O477"/>
    </row>
    <row r="478" spans="11:15" x14ac:dyDescent="0.25">
      <c r="K478"/>
      <c r="L478"/>
      <c r="M478"/>
      <c r="N478"/>
      <c r="O478"/>
    </row>
    <row r="479" spans="11:15" x14ac:dyDescent="0.25">
      <c r="K479"/>
      <c r="L479"/>
      <c r="M479"/>
      <c r="N479"/>
      <c r="O479"/>
    </row>
    <row r="480" spans="11:15" x14ac:dyDescent="0.25">
      <c r="K480"/>
      <c r="L480"/>
      <c r="M480"/>
      <c r="N480"/>
      <c r="O480"/>
    </row>
    <row r="481" spans="11:15" x14ac:dyDescent="0.25">
      <c r="K481"/>
      <c r="L481"/>
      <c r="M481"/>
      <c r="N481"/>
      <c r="O481"/>
    </row>
    <row r="482" spans="11:15" x14ac:dyDescent="0.25">
      <c r="K482"/>
      <c r="L482"/>
      <c r="M482"/>
      <c r="N482"/>
      <c r="O482"/>
    </row>
    <row r="483" spans="11:15" x14ac:dyDescent="0.25">
      <c r="K483"/>
      <c r="L483"/>
      <c r="M483"/>
      <c r="N483"/>
      <c r="O483"/>
    </row>
    <row r="484" spans="11:15" x14ac:dyDescent="0.25">
      <c r="K484"/>
      <c r="L484"/>
      <c r="M484"/>
      <c r="N484"/>
      <c r="O484"/>
    </row>
    <row r="485" spans="11:15" x14ac:dyDescent="0.25">
      <c r="K485"/>
      <c r="L485"/>
      <c r="M485"/>
      <c r="N485"/>
      <c r="O485"/>
    </row>
    <row r="486" spans="11:15" x14ac:dyDescent="0.25">
      <c r="K486"/>
      <c r="L486"/>
      <c r="M486"/>
      <c r="N486"/>
      <c r="O486"/>
    </row>
    <row r="487" spans="11:15" x14ac:dyDescent="0.25">
      <c r="K487"/>
      <c r="L487"/>
      <c r="M487"/>
      <c r="N487"/>
      <c r="O487"/>
    </row>
    <row r="488" spans="11:15" x14ac:dyDescent="0.25">
      <c r="K488"/>
      <c r="L488"/>
      <c r="M488"/>
      <c r="N488"/>
      <c r="O488"/>
    </row>
    <row r="489" spans="11:15" x14ac:dyDescent="0.25">
      <c r="K489"/>
      <c r="L489"/>
      <c r="M489"/>
      <c r="N489"/>
      <c r="O489"/>
    </row>
    <row r="490" spans="11:15" x14ac:dyDescent="0.25">
      <c r="K490"/>
      <c r="L490"/>
      <c r="M490"/>
      <c r="N490"/>
      <c r="O490"/>
    </row>
    <row r="491" spans="11:15" x14ac:dyDescent="0.25">
      <c r="K491"/>
      <c r="L491"/>
      <c r="M491"/>
      <c r="N491"/>
      <c r="O491"/>
    </row>
    <row r="492" spans="11:15" x14ac:dyDescent="0.25">
      <c r="K492"/>
      <c r="L492"/>
      <c r="M492"/>
      <c r="N492"/>
      <c r="O492"/>
    </row>
    <row r="493" spans="11:15" x14ac:dyDescent="0.25">
      <c r="K493"/>
      <c r="L493"/>
      <c r="M493"/>
      <c r="N493"/>
      <c r="O493"/>
    </row>
    <row r="494" spans="11:15" x14ac:dyDescent="0.25">
      <c r="K494"/>
      <c r="L494"/>
      <c r="M494"/>
      <c r="N494"/>
      <c r="O494"/>
    </row>
    <row r="495" spans="11:15" x14ac:dyDescent="0.25">
      <c r="K495"/>
      <c r="L495"/>
      <c r="M495"/>
      <c r="N495"/>
      <c r="O495"/>
    </row>
    <row r="496" spans="11:15" x14ac:dyDescent="0.25">
      <c r="K496"/>
      <c r="L496"/>
      <c r="M496"/>
      <c r="N496"/>
      <c r="O496"/>
    </row>
    <row r="497" spans="11:15" x14ac:dyDescent="0.25">
      <c r="K497"/>
      <c r="L497"/>
      <c r="M497"/>
      <c r="N497"/>
      <c r="O497"/>
    </row>
    <row r="498" spans="11:15" x14ac:dyDescent="0.25">
      <c r="K498"/>
      <c r="L498"/>
      <c r="M498"/>
      <c r="N498"/>
      <c r="O498"/>
    </row>
    <row r="499" spans="11:15" x14ac:dyDescent="0.25">
      <c r="K499"/>
      <c r="L499"/>
      <c r="M499"/>
      <c r="N499"/>
      <c r="O499"/>
    </row>
    <row r="500" spans="11:15" x14ac:dyDescent="0.25">
      <c r="K500"/>
      <c r="L500"/>
      <c r="M500"/>
      <c r="N500"/>
      <c r="O500"/>
    </row>
    <row r="501" spans="11:15" x14ac:dyDescent="0.25">
      <c r="K501"/>
      <c r="L501"/>
      <c r="M501"/>
      <c r="N501"/>
      <c r="O501"/>
    </row>
    <row r="502" spans="11:15" x14ac:dyDescent="0.25">
      <c r="K502"/>
      <c r="L502"/>
      <c r="M502"/>
      <c r="N502"/>
      <c r="O502"/>
    </row>
    <row r="503" spans="11:15" x14ac:dyDescent="0.25">
      <c r="K503"/>
      <c r="L503"/>
      <c r="M503"/>
      <c r="N503"/>
      <c r="O503"/>
    </row>
    <row r="504" spans="11:15" x14ac:dyDescent="0.25">
      <c r="K504"/>
      <c r="L504"/>
      <c r="M504"/>
      <c r="N504"/>
      <c r="O504"/>
    </row>
    <row r="505" spans="11:15" x14ac:dyDescent="0.25">
      <c r="K505"/>
      <c r="L505"/>
      <c r="M505"/>
      <c r="N505"/>
      <c r="O505"/>
    </row>
    <row r="506" spans="11:15" x14ac:dyDescent="0.25">
      <c r="K506"/>
      <c r="L506"/>
      <c r="M506"/>
      <c r="N506"/>
      <c r="O506"/>
    </row>
    <row r="507" spans="11:15" x14ac:dyDescent="0.25">
      <c r="K507"/>
      <c r="L507"/>
      <c r="M507"/>
      <c r="N507"/>
      <c r="O507"/>
    </row>
    <row r="508" spans="11:15" x14ac:dyDescent="0.25">
      <c r="K508"/>
      <c r="L508"/>
      <c r="M508"/>
      <c r="N508"/>
      <c r="O508"/>
    </row>
    <row r="509" spans="11:15" x14ac:dyDescent="0.25">
      <c r="K509"/>
      <c r="L509"/>
      <c r="M509"/>
      <c r="N509"/>
      <c r="O509"/>
    </row>
    <row r="510" spans="11:15" x14ac:dyDescent="0.25">
      <c r="K510"/>
      <c r="L510"/>
      <c r="M510"/>
      <c r="N510"/>
      <c r="O510"/>
    </row>
    <row r="511" spans="11:15" x14ac:dyDescent="0.25">
      <c r="K511"/>
      <c r="L511"/>
      <c r="M511"/>
      <c r="N511"/>
      <c r="O511"/>
    </row>
    <row r="512" spans="11:15" x14ac:dyDescent="0.25">
      <c r="K512"/>
      <c r="L512"/>
      <c r="M512"/>
      <c r="N512"/>
      <c r="O512"/>
    </row>
    <row r="513" spans="11:15" x14ac:dyDescent="0.25">
      <c r="K513"/>
      <c r="L513"/>
      <c r="M513"/>
      <c r="N513"/>
      <c r="O513"/>
    </row>
    <row r="514" spans="11:15" x14ac:dyDescent="0.25">
      <c r="K514"/>
      <c r="L514"/>
      <c r="M514"/>
      <c r="N514"/>
      <c r="O514"/>
    </row>
    <row r="515" spans="11:15" x14ac:dyDescent="0.25">
      <c r="K515"/>
      <c r="L515"/>
      <c r="M515"/>
      <c r="N515"/>
      <c r="O515"/>
    </row>
    <row r="516" spans="11:15" x14ac:dyDescent="0.25">
      <c r="K516"/>
      <c r="L516"/>
      <c r="M516"/>
      <c r="N516"/>
      <c r="O516"/>
    </row>
    <row r="517" spans="11:15" x14ac:dyDescent="0.25">
      <c r="K517"/>
      <c r="L517"/>
      <c r="M517"/>
      <c r="N517"/>
      <c r="O517"/>
    </row>
    <row r="518" spans="11:15" x14ac:dyDescent="0.25">
      <c r="K518"/>
      <c r="L518"/>
      <c r="M518"/>
      <c r="N518"/>
      <c r="O518"/>
    </row>
    <row r="519" spans="11:15" x14ac:dyDescent="0.25">
      <c r="K519"/>
      <c r="L519"/>
      <c r="M519"/>
      <c r="N519"/>
      <c r="O519"/>
    </row>
    <row r="520" spans="11:15" x14ac:dyDescent="0.25">
      <c r="K520"/>
      <c r="L520"/>
      <c r="M520"/>
      <c r="N520"/>
      <c r="O520"/>
    </row>
    <row r="521" spans="11:15" x14ac:dyDescent="0.25">
      <c r="K521"/>
      <c r="L521"/>
      <c r="M521"/>
      <c r="N521"/>
      <c r="O521"/>
    </row>
    <row r="522" spans="11:15" x14ac:dyDescent="0.25">
      <c r="K522"/>
      <c r="L522"/>
      <c r="M522"/>
      <c r="N522"/>
      <c r="O522"/>
    </row>
    <row r="523" spans="11:15" x14ac:dyDescent="0.25">
      <c r="K523"/>
      <c r="L523"/>
      <c r="M523"/>
      <c r="N523"/>
      <c r="O523"/>
    </row>
    <row r="524" spans="11:15" x14ac:dyDescent="0.25">
      <c r="K524"/>
      <c r="L524"/>
      <c r="M524"/>
      <c r="N524"/>
      <c r="O524"/>
    </row>
    <row r="525" spans="11:15" x14ac:dyDescent="0.25">
      <c r="K525"/>
      <c r="L525"/>
      <c r="M525"/>
      <c r="N525"/>
      <c r="O525"/>
    </row>
    <row r="526" spans="11:15" x14ac:dyDescent="0.25">
      <c r="K526"/>
      <c r="L526"/>
      <c r="M526"/>
      <c r="N526"/>
      <c r="O526"/>
    </row>
    <row r="527" spans="11:15" x14ac:dyDescent="0.25">
      <c r="K527"/>
      <c r="L527"/>
      <c r="M527"/>
      <c r="N527"/>
      <c r="O527"/>
    </row>
    <row r="528" spans="11:15" x14ac:dyDescent="0.25">
      <c r="K528"/>
      <c r="L528"/>
      <c r="M528"/>
      <c r="N528"/>
      <c r="O528"/>
    </row>
    <row r="529" spans="11:15" x14ac:dyDescent="0.25">
      <c r="K529"/>
      <c r="L529"/>
      <c r="M529"/>
      <c r="N529"/>
      <c r="O529"/>
    </row>
    <row r="530" spans="11:15" x14ac:dyDescent="0.25">
      <c r="K530"/>
      <c r="L530"/>
      <c r="M530"/>
      <c r="N530"/>
      <c r="O530"/>
    </row>
    <row r="531" spans="11:15" x14ac:dyDescent="0.25">
      <c r="K531"/>
      <c r="L531"/>
      <c r="M531"/>
      <c r="N531"/>
      <c r="O531"/>
    </row>
    <row r="532" spans="11:15" x14ac:dyDescent="0.25">
      <c r="K532"/>
      <c r="L532"/>
      <c r="M532"/>
      <c r="N532"/>
      <c r="O532"/>
    </row>
    <row r="533" spans="11:15" x14ac:dyDescent="0.25">
      <c r="K533"/>
      <c r="L533"/>
      <c r="M533"/>
      <c r="N533"/>
      <c r="O533"/>
    </row>
    <row r="534" spans="11:15" x14ac:dyDescent="0.25">
      <c r="K534"/>
      <c r="L534"/>
      <c r="M534"/>
      <c r="N534"/>
      <c r="O534"/>
    </row>
    <row r="535" spans="11:15" x14ac:dyDescent="0.25">
      <c r="K535"/>
      <c r="L535"/>
      <c r="M535"/>
      <c r="N535"/>
      <c r="O535"/>
    </row>
    <row r="536" spans="11:15" x14ac:dyDescent="0.25">
      <c r="K536"/>
      <c r="L536"/>
      <c r="M536"/>
      <c r="N536"/>
      <c r="O536"/>
    </row>
    <row r="537" spans="11:15" x14ac:dyDescent="0.25">
      <c r="K537"/>
      <c r="L537"/>
      <c r="M537"/>
      <c r="N537"/>
      <c r="O537"/>
    </row>
    <row r="538" spans="11:15" x14ac:dyDescent="0.25">
      <c r="K538"/>
      <c r="L538"/>
      <c r="M538"/>
      <c r="N538"/>
      <c r="O538"/>
    </row>
    <row r="539" spans="11:15" x14ac:dyDescent="0.25">
      <c r="K539"/>
      <c r="L539"/>
      <c r="M539"/>
      <c r="N539"/>
      <c r="O539"/>
    </row>
    <row r="540" spans="11:15" x14ac:dyDescent="0.25">
      <c r="K540"/>
      <c r="L540"/>
      <c r="M540"/>
      <c r="N540"/>
      <c r="O540"/>
    </row>
    <row r="541" spans="11:15" x14ac:dyDescent="0.25">
      <c r="K541"/>
      <c r="L541"/>
      <c r="M541"/>
      <c r="N541"/>
      <c r="O541"/>
    </row>
    <row r="542" spans="11:15" x14ac:dyDescent="0.25">
      <c r="K542"/>
      <c r="L542"/>
      <c r="M542"/>
      <c r="N542"/>
      <c r="O542"/>
    </row>
    <row r="543" spans="11:15" x14ac:dyDescent="0.25">
      <c r="K543"/>
      <c r="L543"/>
      <c r="M543"/>
      <c r="N543"/>
      <c r="O543"/>
    </row>
    <row r="544" spans="11:15" x14ac:dyDescent="0.25">
      <c r="K544"/>
      <c r="L544"/>
      <c r="M544"/>
      <c r="N544"/>
      <c r="O544"/>
    </row>
    <row r="545" spans="11:15" x14ac:dyDescent="0.25">
      <c r="K545"/>
      <c r="L545"/>
      <c r="M545"/>
      <c r="N545"/>
      <c r="O545"/>
    </row>
    <row r="546" spans="11:15" x14ac:dyDescent="0.25">
      <c r="K546"/>
      <c r="L546"/>
      <c r="M546"/>
      <c r="N546"/>
      <c r="O546"/>
    </row>
    <row r="547" spans="11:15" x14ac:dyDescent="0.25">
      <c r="K547"/>
      <c r="L547"/>
      <c r="M547"/>
      <c r="N547"/>
      <c r="O547"/>
    </row>
    <row r="548" spans="11:15" x14ac:dyDescent="0.25">
      <c r="K548"/>
      <c r="L548"/>
      <c r="M548"/>
      <c r="N548"/>
      <c r="O548"/>
    </row>
    <row r="549" spans="11:15" x14ac:dyDescent="0.25">
      <c r="K549"/>
      <c r="L549"/>
      <c r="M549"/>
      <c r="N549"/>
      <c r="O549"/>
    </row>
    <row r="550" spans="11:15" x14ac:dyDescent="0.25">
      <c r="K550"/>
      <c r="L550"/>
      <c r="M550"/>
      <c r="N550"/>
      <c r="O550"/>
    </row>
    <row r="551" spans="11:15" x14ac:dyDescent="0.25">
      <c r="K551"/>
      <c r="L551"/>
      <c r="M551"/>
      <c r="N551"/>
      <c r="O551"/>
    </row>
    <row r="552" spans="11:15" x14ac:dyDescent="0.25">
      <c r="K552"/>
      <c r="L552"/>
      <c r="M552"/>
      <c r="N552"/>
      <c r="O552"/>
    </row>
    <row r="553" spans="11:15" x14ac:dyDescent="0.25">
      <c r="K553"/>
      <c r="L553"/>
      <c r="M553"/>
      <c r="N553"/>
      <c r="O553"/>
    </row>
    <row r="554" spans="11:15" x14ac:dyDescent="0.25">
      <c r="K554"/>
      <c r="L554"/>
      <c r="M554"/>
      <c r="N554"/>
      <c r="O554"/>
    </row>
    <row r="555" spans="11:15" x14ac:dyDescent="0.25">
      <c r="K555"/>
      <c r="L555"/>
      <c r="M555"/>
      <c r="N555"/>
      <c r="O555"/>
    </row>
    <row r="556" spans="11:15" x14ac:dyDescent="0.25">
      <c r="K556"/>
      <c r="L556"/>
      <c r="M556"/>
      <c r="N556"/>
      <c r="O556"/>
    </row>
    <row r="557" spans="11:15" x14ac:dyDescent="0.25">
      <c r="K557"/>
      <c r="L557"/>
      <c r="M557"/>
      <c r="N557"/>
      <c r="O557"/>
    </row>
    <row r="558" spans="11:15" x14ac:dyDescent="0.25">
      <c r="K558"/>
      <c r="L558"/>
      <c r="M558"/>
      <c r="N558"/>
      <c r="O558"/>
    </row>
    <row r="559" spans="11:15" x14ac:dyDescent="0.25">
      <c r="K559"/>
      <c r="L559"/>
      <c r="M559"/>
      <c r="N559"/>
      <c r="O559"/>
    </row>
    <row r="560" spans="11:15" x14ac:dyDescent="0.25">
      <c r="K560"/>
      <c r="L560"/>
      <c r="M560"/>
      <c r="N560"/>
      <c r="O560"/>
    </row>
    <row r="561" spans="11:15" x14ac:dyDescent="0.25">
      <c r="K561"/>
      <c r="L561"/>
      <c r="M561"/>
      <c r="N561"/>
      <c r="O561"/>
    </row>
    <row r="562" spans="11:15" x14ac:dyDescent="0.25">
      <c r="K562"/>
      <c r="L562"/>
      <c r="M562"/>
      <c r="N562"/>
      <c r="O562"/>
    </row>
    <row r="563" spans="11:15" x14ac:dyDescent="0.25">
      <c r="K563"/>
      <c r="L563"/>
      <c r="M563"/>
      <c r="N563"/>
      <c r="O563"/>
    </row>
    <row r="564" spans="11:15" x14ac:dyDescent="0.25">
      <c r="K564"/>
      <c r="L564"/>
      <c r="M564"/>
      <c r="N564"/>
      <c r="O564"/>
    </row>
    <row r="565" spans="11:15" x14ac:dyDescent="0.25">
      <c r="K565"/>
      <c r="L565"/>
      <c r="M565"/>
      <c r="N565"/>
      <c r="O565"/>
    </row>
    <row r="566" spans="11:15" x14ac:dyDescent="0.25">
      <c r="K566"/>
      <c r="L566"/>
      <c r="M566"/>
      <c r="N566"/>
      <c r="O566"/>
    </row>
    <row r="567" spans="11:15" x14ac:dyDescent="0.25">
      <c r="K567"/>
      <c r="L567"/>
      <c r="M567"/>
      <c r="N567"/>
      <c r="O567"/>
    </row>
    <row r="568" spans="11:15" x14ac:dyDescent="0.25">
      <c r="K568"/>
      <c r="L568"/>
      <c r="M568"/>
      <c r="N568"/>
      <c r="O568"/>
    </row>
    <row r="569" spans="11:15" x14ac:dyDescent="0.25">
      <c r="K569"/>
      <c r="L569"/>
      <c r="M569"/>
      <c r="N569"/>
      <c r="O569"/>
    </row>
    <row r="570" spans="11:15" x14ac:dyDescent="0.25">
      <c r="K570"/>
      <c r="L570"/>
      <c r="M570"/>
      <c r="N570"/>
      <c r="O570"/>
    </row>
    <row r="571" spans="11:15" x14ac:dyDescent="0.25">
      <c r="K571"/>
      <c r="L571"/>
      <c r="M571"/>
      <c r="N571"/>
      <c r="O571"/>
    </row>
    <row r="572" spans="11:15" x14ac:dyDescent="0.25">
      <c r="K572"/>
      <c r="L572"/>
      <c r="M572"/>
      <c r="N572"/>
      <c r="O572"/>
    </row>
    <row r="573" spans="11:15" x14ac:dyDescent="0.25">
      <c r="K573"/>
      <c r="L573"/>
      <c r="M573"/>
      <c r="N573"/>
      <c r="O573"/>
    </row>
    <row r="574" spans="11:15" x14ac:dyDescent="0.25">
      <c r="K574"/>
      <c r="L574"/>
      <c r="M574"/>
      <c r="N574"/>
      <c r="O574"/>
    </row>
    <row r="575" spans="11:15" x14ac:dyDescent="0.25">
      <c r="K575"/>
      <c r="L575"/>
      <c r="M575"/>
      <c r="N575"/>
      <c r="O575"/>
    </row>
    <row r="576" spans="11:15" x14ac:dyDescent="0.25">
      <c r="K576"/>
      <c r="L576"/>
      <c r="M576"/>
      <c r="N576"/>
      <c r="O576"/>
    </row>
    <row r="577" spans="11:15" x14ac:dyDescent="0.25">
      <c r="K577"/>
      <c r="L577"/>
      <c r="M577"/>
      <c r="N577"/>
      <c r="O577"/>
    </row>
    <row r="578" spans="11:15" x14ac:dyDescent="0.25">
      <c r="K578"/>
      <c r="L578"/>
      <c r="M578"/>
      <c r="N578"/>
      <c r="O578"/>
    </row>
    <row r="579" spans="11:15" x14ac:dyDescent="0.25">
      <c r="K579"/>
      <c r="L579"/>
      <c r="M579"/>
      <c r="N579"/>
      <c r="O579"/>
    </row>
    <row r="580" spans="11:15" x14ac:dyDescent="0.25">
      <c r="K580"/>
      <c r="L580"/>
      <c r="M580"/>
      <c r="N580"/>
      <c r="O580"/>
    </row>
    <row r="581" spans="11:15" x14ac:dyDescent="0.25">
      <c r="K581"/>
      <c r="L581"/>
      <c r="M581"/>
      <c r="N581"/>
      <c r="O581"/>
    </row>
    <row r="582" spans="11:15" x14ac:dyDescent="0.25">
      <c r="K582"/>
      <c r="L582"/>
      <c r="M582"/>
      <c r="N582"/>
      <c r="O582"/>
    </row>
    <row r="583" spans="11:15" x14ac:dyDescent="0.25">
      <c r="K583"/>
      <c r="L583"/>
      <c r="M583"/>
      <c r="N583"/>
      <c r="O583"/>
    </row>
    <row r="584" spans="11:15" x14ac:dyDescent="0.25">
      <c r="K584"/>
      <c r="L584"/>
      <c r="M584"/>
      <c r="N584"/>
      <c r="O584"/>
    </row>
    <row r="585" spans="11:15" x14ac:dyDescent="0.25">
      <c r="K585"/>
      <c r="L585"/>
      <c r="M585"/>
      <c r="N585"/>
      <c r="O585"/>
    </row>
    <row r="586" spans="11:15" x14ac:dyDescent="0.25">
      <c r="K586"/>
      <c r="L586"/>
      <c r="M586"/>
      <c r="N586"/>
      <c r="O586"/>
    </row>
    <row r="587" spans="11:15" x14ac:dyDescent="0.25">
      <c r="K587"/>
      <c r="L587"/>
      <c r="M587"/>
      <c r="N587"/>
      <c r="O587"/>
    </row>
    <row r="588" spans="11:15" x14ac:dyDescent="0.25">
      <c r="K588"/>
      <c r="L588"/>
      <c r="M588"/>
      <c r="N588"/>
      <c r="O588"/>
    </row>
    <row r="589" spans="11:15" x14ac:dyDescent="0.25">
      <c r="K589"/>
      <c r="L589"/>
      <c r="M589"/>
      <c r="N589"/>
      <c r="O589"/>
    </row>
    <row r="590" spans="11:15" x14ac:dyDescent="0.25">
      <c r="K590"/>
      <c r="L590"/>
      <c r="M590"/>
      <c r="N590"/>
      <c r="O590"/>
    </row>
    <row r="591" spans="11:15" x14ac:dyDescent="0.25">
      <c r="K591"/>
      <c r="L591"/>
      <c r="M591"/>
      <c r="N591"/>
      <c r="O591"/>
    </row>
    <row r="592" spans="11:15" x14ac:dyDescent="0.25">
      <c r="K592"/>
      <c r="L592"/>
      <c r="M592"/>
      <c r="N592"/>
      <c r="O592"/>
    </row>
    <row r="593" spans="11:15" x14ac:dyDescent="0.25">
      <c r="K593"/>
      <c r="L593"/>
      <c r="M593"/>
      <c r="N593"/>
      <c r="O593"/>
    </row>
    <row r="594" spans="11:15" x14ac:dyDescent="0.25">
      <c r="K594"/>
      <c r="L594"/>
      <c r="M594"/>
      <c r="N594"/>
      <c r="O594"/>
    </row>
    <row r="595" spans="11:15" x14ac:dyDescent="0.25">
      <c r="K595"/>
      <c r="L595"/>
      <c r="M595"/>
      <c r="N595"/>
      <c r="O595"/>
    </row>
    <row r="596" spans="11:15" x14ac:dyDescent="0.25">
      <c r="K596"/>
      <c r="L596"/>
      <c r="M596"/>
      <c r="N596"/>
      <c r="O596"/>
    </row>
    <row r="597" spans="11:15" x14ac:dyDescent="0.25">
      <c r="K597"/>
      <c r="L597"/>
      <c r="M597"/>
      <c r="N597"/>
      <c r="O597"/>
    </row>
    <row r="598" spans="11:15" x14ac:dyDescent="0.25">
      <c r="K598"/>
      <c r="L598"/>
      <c r="M598"/>
      <c r="N598"/>
      <c r="O598"/>
    </row>
    <row r="599" spans="11:15" x14ac:dyDescent="0.25">
      <c r="K599"/>
      <c r="L599"/>
      <c r="M599"/>
      <c r="N599"/>
      <c r="O599"/>
    </row>
    <row r="600" spans="11:15" x14ac:dyDescent="0.25">
      <c r="K600"/>
      <c r="L600"/>
      <c r="M600"/>
      <c r="N600"/>
      <c r="O600"/>
    </row>
    <row r="601" spans="11:15" x14ac:dyDescent="0.25">
      <c r="K601"/>
      <c r="L601"/>
      <c r="M601"/>
      <c r="N601"/>
      <c r="O601"/>
    </row>
    <row r="602" spans="11:15" x14ac:dyDescent="0.25">
      <c r="K602"/>
      <c r="L602"/>
      <c r="M602"/>
      <c r="N602"/>
      <c r="O602"/>
    </row>
    <row r="603" spans="11:15" x14ac:dyDescent="0.25">
      <c r="K603"/>
      <c r="L603"/>
      <c r="M603"/>
      <c r="N603"/>
      <c r="O603"/>
    </row>
    <row r="604" spans="11:15" x14ac:dyDescent="0.25">
      <c r="K604"/>
      <c r="L604"/>
      <c r="M604"/>
      <c r="N604"/>
      <c r="O604"/>
    </row>
    <row r="605" spans="11:15" x14ac:dyDescent="0.25">
      <c r="K605"/>
      <c r="L605"/>
      <c r="M605"/>
      <c r="N605"/>
      <c r="O605"/>
    </row>
    <row r="606" spans="11:15" x14ac:dyDescent="0.25">
      <c r="K606"/>
      <c r="L606"/>
      <c r="M606"/>
      <c r="N606"/>
      <c r="O606"/>
    </row>
    <row r="607" spans="11:15" x14ac:dyDescent="0.25">
      <c r="K607"/>
      <c r="L607"/>
      <c r="M607"/>
      <c r="N607"/>
      <c r="O607"/>
    </row>
    <row r="608" spans="11:15" x14ac:dyDescent="0.25">
      <c r="K608"/>
      <c r="L608"/>
      <c r="M608"/>
      <c r="N608"/>
      <c r="O608"/>
    </row>
    <row r="609" spans="11:15" x14ac:dyDescent="0.25">
      <c r="K609"/>
      <c r="L609"/>
      <c r="M609"/>
      <c r="N609"/>
      <c r="O609"/>
    </row>
    <row r="610" spans="11:15" x14ac:dyDescent="0.25">
      <c r="K610"/>
      <c r="L610"/>
      <c r="M610"/>
      <c r="N610"/>
      <c r="O610"/>
    </row>
    <row r="611" spans="11:15" x14ac:dyDescent="0.25">
      <c r="K611"/>
      <c r="L611"/>
      <c r="M611"/>
      <c r="N611"/>
      <c r="O611"/>
    </row>
    <row r="612" spans="11:15" x14ac:dyDescent="0.25">
      <c r="K612"/>
      <c r="L612"/>
      <c r="M612"/>
      <c r="N612"/>
      <c r="O612"/>
    </row>
    <row r="613" spans="11:15" x14ac:dyDescent="0.25">
      <c r="K613"/>
      <c r="L613"/>
      <c r="M613"/>
      <c r="N613"/>
      <c r="O613"/>
    </row>
    <row r="614" spans="11:15" x14ac:dyDescent="0.25">
      <c r="K614"/>
      <c r="L614"/>
      <c r="M614"/>
      <c r="N614"/>
      <c r="O614"/>
    </row>
    <row r="615" spans="11:15" x14ac:dyDescent="0.25">
      <c r="K615"/>
      <c r="L615"/>
      <c r="M615"/>
      <c r="N615"/>
      <c r="O615"/>
    </row>
    <row r="616" spans="11:15" x14ac:dyDescent="0.25">
      <c r="K616"/>
      <c r="L616"/>
      <c r="M616"/>
      <c r="N616"/>
      <c r="O616"/>
    </row>
    <row r="617" spans="11:15" x14ac:dyDescent="0.25">
      <c r="K617"/>
      <c r="L617"/>
      <c r="M617"/>
      <c r="N617"/>
      <c r="O617"/>
    </row>
    <row r="618" spans="11:15" x14ac:dyDescent="0.25">
      <c r="K618"/>
      <c r="L618"/>
      <c r="M618"/>
      <c r="N618"/>
      <c r="O618"/>
    </row>
    <row r="619" spans="11:15" x14ac:dyDescent="0.25">
      <c r="K619"/>
      <c r="L619"/>
      <c r="M619"/>
      <c r="N619"/>
      <c r="O619"/>
    </row>
    <row r="620" spans="11:15" x14ac:dyDescent="0.25">
      <c r="K620"/>
      <c r="L620"/>
      <c r="M620"/>
      <c r="N620"/>
      <c r="O620"/>
    </row>
    <row r="621" spans="11:15" x14ac:dyDescent="0.25">
      <c r="K621"/>
      <c r="L621"/>
      <c r="M621"/>
      <c r="N621"/>
      <c r="O621"/>
    </row>
    <row r="622" spans="11:15" x14ac:dyDescent="0.25">
      <c r="K622"/>
      <c r="L622"/>
      <c r="M622"/>
      <c r="N622"/>
      <c r="O622"/>
    </row>
    <row r="623" spans="11:15" x14ac:dyDescent="0.25">
      <c r="K623"/>
      <c r="L623"/>
      <c r="M623"/>
      <c r="N623"/>
      <c r="O623"/>
    </row>
    <row r="624" spans="11:15" x14ac:dyDescent="0.25">
      <c r="K624"/>
      <c r="L624"/>
      <c r="M624"/>
      <c r="N624"/>
      <c r="O624"/>
    </row>
    <row r="625" spans="11:15" x14ac:dyDescent="0.25">
      <c r="K625"/>
      <c r="L625"/>
      <c r="M625"/>
      <c r="N625"/>
      <c r="O625"/>
    </row>
    <row r="626" spans="11:15" x14ac:dyDescent="0.25">
      <c r="K626"/>
      <c r="L626"/>
      <c r="M626"/>
      <c r="N626"/>
      <c r="O626"/>
    </row>
    <row r="627" spans="11:15" x14ac:dyDescent="0.25">
      <c r="K627"/>
      <c r="L627"/>
      <c r="M627"/>
      <c r="N627"/>
      <c r="O627"/>
    </row>
    <row r="628" spans="11:15" x14ac:dyDescent="0.25">
      <c r="K628"/>
      <c r="L628"/>
      <c r="M628"/>
      <c r="N628"/>
      <c r="O628"/>
    </row>
    <row r="629" spans="11:15" x14ac:dyDescent="0.25">
      <c r="K629"/>
      <c r="L629"/>
      <c r="M629"/>
      <c r="N629"/>
      <c r="O629"/>
    </row>
    <row r="630" spans="11:15" x14ac:dyDescent="0.25">
      <c r="K630"/>
      <c r="L630"/>
      <c r="M630"/>
      <c r="N630"/>
      <c r="O630"/>
    </row>
    <row r="631" spans="11:15" x14ac:dyDescent="0.25">
      <c r="K631"/>
      <c r="L631"/>
      <c r="M631"/>
      <c r="N631"/>
      <c r="O631"/>
    </row>
    <row r="632" spans="11:15" x14ac:dyDescent="0.25">
      <c r="K632"/>
      <c r="L632"/>
      <c r="M632"/>
      <c r="N632"/>
      <c r="O632"/>
    </row>
    <row r="633" spans="11:15" x14ac:dyDescent="0.25">
      <c r="K633"/>
      <c r="L633"/>
      <c r="M633"/>
      <c r="N633"/>
      <c r="O633"/>
    </row>
    <row r="634" spans="11:15" x14ac:dyDescent="0.25">
      <c r="K634"/>
      <c r="L634"/>
      <c r="M634"/>
      <c r="N634"/>
      <c r="O634"/>
    </row>
    <row r="635" spans="11:15" x14ac:dyDescent="0.25">
      <c r="K635"/>
      <c r="L635"/>
      <c r="M635"/>
      <c r="N635"/>
      <c r="O635"/>
    </row>
    <row r="636" spans="11:15" x14ac:dyDescent="0.25">
      <c r="K636"/>
      <c r="L636"/>
      <c r="M636"/>
      <c r="N636"/>
      <c r="O636"/>
    </row>
    <row r="637" spans="11:15" x14ac:dyDescent="0.25">
      <c r="K637"/>
      <c r="L637"/>
      <c r="M637"/>
      <c r="N637"/>
      <c r="O637"/>
    </row>
    <row r="638" spans="11:15" x14ac:dyDescent="0.25">
      <c r="K638"/>
      <c r="L638"/>
      <c r="M638"/>
      <c r="N638"/>
      <c r="O638"/>
    </row>
    <row r="639" spans="11:15" x14ac:dyDescent="0.25">
      <c r="K639"/>
      <c r="L639"/>
      <c r="M639"/>
      <c r="N639"/>
      <c r="O639"/>
    </row>
    <row r="640" spans="11:15" x14ac:dyDescent="0.25">
      <c r="K640"/>
      <c r="L640"/>
      <c r="M640"/>
      <c r="N640"/>
      <c r="O640"/>
    </row>
    <row r="641" spans="11:15" x14ac:dyDescent="0.25">
      <c r="K641"/>
      <c r="L641"/>
      <c r="M641"/>
      <c r="N641"/>
      <c r="O641"/>
    </row>
    <row r="642" spans="11:15" x14ac:dyDescent="0.25">
      <c r="K642"/>
      <c r="L642"/>
      <c r="M642"/>
      <c r="N642"/>
      <c r="O642"/>
    </row>
    <row r="643" spans="11:15" x14ac:dyDescent="0.25">
      <c r="K643"/>
      <c r="L643"/>
      <c r="M643"/>
      <c r="N643"/>
      <c r="O643"/>
    </row>
    <row r="644" spans="11:15" x14ac:dyDescent="0.25">
      <c r="K644"/>
      <c r="L644"/>
      <c r="M644"/>
      <c r="N644"/>
      <c r="O644"/>
    </row>
    <row r="645" spans="11:15" x14ac:dyDescent="0.25">
      <c r="K645"/>
      <c r="L645"/>
      <c r="M645"/>
      <c r="N645"/>
      <c r="O645"/>
    </row>
    <row r="646" spans="11:15" x14ac:dyDescent="0.25">
      <c r="K646"/>
      <c r="L646"/>
      <c r="M646"/>
      <c r="N646"/>
      <c r="O646"/>
    </row>
    <row r="647" spans="11:15" x14ac:dyDescent="0.25">
      <c r="K647"/>
      <c r="L647"/>
      <c r="M647"/>
      <c r="N647"/>
      <c r="O647"/>
    </row>
    <row r="648" spans="11:15" x14ac:dyDescent="0.25">
      <c r="K648"/>
      <c r="L648"/>
      <c r="M648"/>
      <c r="N648"/>
      <c r="O648"/>
    </row>
    <row r="649" spans="11:15" x14ac:dyDescent="0.25">
      <c r="K649"/>
      <c r="L649"/>
      <c r="M649"/>
      <c r="N649"/>
      <c r="O649"/>
    </row>
    <row r="650" spans="11:15" x14ac:dyDescent="0.25">
      <c r="K650"/>
      <c r="L650"/>
      <c r="M650"/>
      <c r="N650"/>
      <c r="O650"/>
    </row>
    <row r="651" spans="11:15" x14ac:dyDescent="0.25">
      <c r="K651"/>
      <c r="L651"/>
      <c r="M651"/>
      <c r="N651"/>
      <c r="O651"/>
    </row>
    <row r="652" spans="11:15" x14ac:dyDescent="0.25">
      <c r="K652"/>
      <c r="L652"/>
      <c r="M652"/>
      <c r="N652"/>
      <c r="O652"/>
    </row>
    <row r="653" spans="11:15" x14ac:dyDescent="0.25">
      <c r="K653"/>
      <c r="L653"/>
      <c r="M653"/>
      <c r="N653"/>
      <c r="O653"/>
    </row>
    <row r="654" spans="11:15" x14ac:dyDescent="0.25">
      <c r="K654"/>
      <c r="L654"/>
      <c r="M654"/>
      <c r="N654"/>
      <c r="O654"/>
    </row>
    <row r="655" spans="11:15" x14ac:dyDescent="0.25">
      <c r="K655"/>
      <c r="L655"/>
      <c r="M655"/>
      <c r="N655"/>
      <c r="O655"/>
    </row>
    <row r="656" spans="11:15" x14ac:dyDescent="0.25">
      <c r="K656"/>
      <c r="L656"/>
      <c r="M656"/>
      <c r="N656"/>
      <c r="O656"/>
    </row>
    <row r="657" spans="11:15" x14ac:dyDescent="0.25">
      <c r="K657"/>
      <c r="L657"/>
      <c r="M657"/>
      <c r="N657"/>
      <c r="O657"/>
    </row>
    <row r="658" spans="11:15" x14ac:dyDescent="0.25">
      <c r="K658"/>
      <c r="L658"/>
      <c r="M658"/>
      <c r="N658"/>
      <c r="O658"/>
    </row>
    <row r="659" spans="11:15" x14ac:dyDescent="0.25">
      <c r="K659"/>
      <c r="L659"/>
      <c r="M659"/>
      <c r="N659"/>
      <c r="O659"/>
    </row>
    <row r="660" spans="11:15" x14ac:dyDescent="0.25">
      <c r="K660"/>
      <c r="L660"/>
      <c r="M660"/>
      <c r="N660"/>
      <c r="O660"/>
    </row>
    <row r="661" spans="11:15" x14ac:dyDescent="0.25">
      <c r="K661"/>
      <c r="L661"/>
      <c r="M661"/>
      <c r="N661"/>
      <c r="O661"/>
    </row>
    <row r="662" spans="11:15" x14ac:dyDescent="0.25">
      <c r="K662"/>
      <c r="L662"/>
      <c r="M662"/>
      <c r="N662"/>
      <c r="O662"/>
    </row>
    <row r="663" spans="11:15" x14ac:dyDescent="0.25">
      <c r="K663"/>
      <c r="L663"/>
      <c r="M663"/>
      <c r="N663"/>
      <c r="O663"/>
    </row>
    <row r="664" spans="11:15" x14ac:dyDescent="0.25">
      <c r="K664"/>
      <c r="L664"/>
      <c r="M664"/>
      <c r="N664"/>
      <c r="O664"/>
    </row>
    <row r="665" spans="11:15" x14ac:dyDescent="0.25">
      <c r="K665"/>
      <c r="L665"/>
      <c r="M665"/>
      <c r="N665"/>
      <c r="O665"/>
    </row>
    <row r="666" spans="11:15" x14ac:dyDescent="0.25">
      <c r="K666"/>
      <c r="L666"/>
      <c r="M666"/>
      <c r="N666"/>
      <c r="O666"/>
    </row>
    <row r="667" spans="11:15" x14ac:dyDescent="0.25">
      <c r="K667"/>
      <c r="L667"/>
      <c r="M667"/>
      <c r="N667"/>
      <c r="O667"/>
    </row>
    <row r="668" spans="11:15" x14ac:dyDescent="0.25">
      <c r="K668"/>
      <c r="L668"/>
      <c r="M668"/>
      <c r="N668"/>
      <c r="O668"/>
    </row>
    <row r="669" spans="11:15" x14ac:dyDescent="0.25">
      <c r="K669"/>
      <c r="L669"/>
      <c r="M669"/>
      <c r="N669"/>
      <c r="O669"/>
    </row>
    <row r="670" spans="11:15" x14ac:dyDescent="0.25">
      <c r="K670"/>
      <c r="L670"/>
      <c r="M670"/>
      <c r="N670"/>
      <c r="O670"/>
    </row>
    <row r="671" spans="11:15" x14ac:dyDescent="0.25">
      <c r="K671"/>
      <c r="L671"/>
      <c r="M671"/>
      <c r="N671"/>
      <c r="O671"/>
    </row>
    <row r="672" spans="11:15" x14ac:dyDescent="0.25">
      <c r="K672"/>
      <c r="L672"/>
      <c r="M672"/>
      <c r="N672"/>
      <c r="O672"/>
    </row>
    <row r="673" spans="11:15" x14ac:dyDescent="0.25">
      <c r="K673"/>
      <c r="L673"/>
      <c r="M673"/>
      <c r="N673"/>
      <c r="O673"/>
    </row>
    <row r="674" spans="11:15" x14ac:dyDescent="0.25">
      <c r="K674"/>
      <c r="L674"/>
      <c r="M674"/>
      <c r="N674"/>
      <c r="O674"/>
    </row>
    <row r="675" spans="11:15" x14ac:dyDescent="0.25">
      <c r="K675"/>
      <c r="L675"/>
      <c r="M675"/>
      <c r="N675"/>
      <c r="O675"/>
    </row>
    <row r="676" spans="11:15" x14ac:dyDescent="0.25">
      <c r="K676"/>
      <c r="L676"/>
      <c r="M676"/>
      <c r="N676"/>
      <c r="O676"/>
    </row>
    <row r="677" spans="11:15" x14ac:dyDescent="0.25">
      <c r="K677"/>
      <c r="L677"/>
      <c r="M677"/>
      <c r="N677"/>
      <c r="O677"/>
    </row>
    <row r="678" spans="11:15" x14ac:dyDescent="0.25">
      <c r="K678"/>
      <c r="L678"/>
      <c r="M678"/>
      <c r="N678"/>
      <c r="O678"/>
    </row>
    <row r="679" spans="11:15" x14ac:dyDescent="0.25">
      <c r="K679"/>
      <c r="L679"/>
      <c r="M679"/>
      <c r="N679"/>
      <c r="O679"/>
    </row>
    <row r="680" spans="11:15" x14ac:dyDescent="0.25">
      <c r="K680"/>
      <c r="L680"/>
      <c r="M680"/>
      <c r="N680"/>
      <c r="O680"/>
    </row>
    <row r="681" spans="11:15" x14ac:dyDescent="0.25">
      <c r="K681"/>
      <c r="L681"/>
      <c r="M681"/>
      <c r="N681"/>
      <c r="O681"/>
    </row>
    <row r="682" spans="11:15" x14ac:dyDescent="0.25">
      <c r="K682"/>
      <c r="L682"/>
      <c r="M682"/>
      <c r="N682"/>
      <c r="O682"/>
    </row>
    <row r="683" spans="11:15" x14ac:dyDescent="0.25">
      <c r="K683"/>
      <c r="L683"/>
      <c r="M683"/>
      <c r="N683"/>
      <c r="O683"/>
    </row>
    <row r="684" spans="11:15" x14ac:dyDescent="0.25">
      <c r="K684"/>
      <c r="L684"/>
      <c r="M684"/>
      <c r="N684"/>
      <c r="O684"/>
    </row>
    <row r="685" spans="11:15" x14ac:dyDescent="0.25">
      <c r="K685"/>
      <c r="L685"/>
      <c r="M685"/>
      <c r="N685"/>
      <c r="O685"/>
    </row>
    <row r="686" spans="11:15" x14ac:dyDescent="0.25">
      <c r="K686"/>
      <c r="L686"/>
      <c r="M686"/>
      <c r="N686"/>
      <c r="O686"/>
    </row>
    <row r="687" spans="11:15" x14ac:dyDescent="0.25">
      <c r="K687"/>
      <c r="L687"/>
      <c r="M687"/>
      <c r="N687"/>
      <c r="O687"/>
    </row>
    <row r="688" spans="11:15" x14ac:dyDescent="0.25">
      <c r="K688"/>
      <c r="L688"/>
      <c r="M688"/>
      <c r="N688"/>
      <c r="O688"/>
    </row>
    <row r="689" spans="11:15" x14ac:dyDescent="0.25">
      <c r="K689"/>
      <c r="L689"/>
      <c r="M689"/>
      <c r="N689"/>
      <c r="O689"/>
    </row>
    <row r="690" spans="11:15" x14ac:dyDescent="0.25">
      <c r="K690"/>
      <c r="L690"/>
      <c r="M690"/>
      <c r="N690"/>
      <c r="O690"/>
    </row>
    <row r="691" spans="11:15" x14ac:dyDescent="0.25">
      <c r="K691"/>
      <c r="L691"/>
      <c r="M691"/>
      <c r="N691"/>
      <c r="O691"/>
    </row>
    <row r="692" spans="11:15" x14ac:dyDescent="0.25">
      <c r="K692"/>
      <c r="L692"/>
      <c r="M692"/>
      <c r="N692"/>
      <c r="O692"/>
    </row>
    <row r="693" spans="11:15" x14ac:dyDescent="0.25">
      <c r="K693"/>
      <c r="L693"/>
      <c r="M693"/>
      <c r="N693"/>
      <c r="O693"/>
    </row>
    <row r="694" spans="11:15" x14ac:dyDescent="0.25">
      <c r="K694"/>
      <c r="L694"/>
      <c r="M694"/>
      <c r="N694"/>
      <c r="O694"/>
    </row>
    <row r="695" spans="11:15" x14ac:dyDescent="0.25">
      <c r="K695"/>
      <c r="L695"/>
      <c r="M695"/>
      <c r="N695"/>
      <c r="O695"/>
    </row>
    <row r="696" spans="11:15" x14ac:dyDescent="0.25">
      <c r="K696"/>
      <c r="L696"/>
      <c r="M696"/>
      <c r="N696"/>
      <c r="O696"/>
    </row>
    <row r="697" spans="11:15" x14ac:dyDescent="0.25">
      <c r="K697"/>
      <c r="L697"/>
      <c r="M697"/>
      <c r="N697"/>
      <c r="O697"/>
    </row>
    <row r="698" spans="11:15" x14ac:dyDescent="0.25">
      <c r="K698"/>
      <c r="L698"/>
      <c r="M698"/>
      <c r="N698"/>
      <c r="O698"/>
    </row>
    <row r="699" spans="11:15" x14ac:dyDescent="0.25">
      <c r="K699"/>
      <c r="L699"/>
      <c r="M699"/>
      <c r="N699"/>
      <c r="O699"/>
    </row>
    <row r="700" spans="11:15" x14ac:dyDescent="0.25">
      <c r="K700"/>
      <c r="L700"/>
      <c r="M700"/>
      <c r="N700"/>
      <c r="O700"/>
    </row>
    <row r="701" spans="11:15" x14ac:dyDescent="0.25">
      <c r="K701"/>
      <c r="L701"/>
      <c r="M701"/>
      <c r="N701"/>
      <c r="O701"/>
    </row>
    <row r="702" spans="11:15" x14ac:dyDescent="0.25">
      <c r="K702"/>
      <c r="L702"/>
      <c r="M702"/>
      <c r="N702"/>
      <c r="O702"/>
    </row>
    <row r="703" spans="11:15" x14ac:dyDescent="0.25">
      <c r="K703"/>
      <c r="L703"/>
      <c r="M703"/>
      <c r="N703"/>
      <c r="O703"/>
    </row>
    <row r="704" spans="11:15" x14ac:dyDescent="0.25">
      <c r="K704"/>
      <c r="L704"/>
      <c r="M704"/>
      <c r="N704"/>
      <c r="O704"/>
    </row>
    <row r="705" spans="11:15" x14ac:dyDescent="0.25">
      <c r="K705"/>
      <c r="L705"/>
      <c r="M705"/>
      <c r="N705"/>
      <c r="O705"/>
    </row>
    <row r="706" spans="11:15" x14ac:dyDescent="0.25">
      <c r="K706"/>
      <c r="L706"/>
      <c r="M706"/>
      <c r="N706"/>
      <c r="O706"/>
    </row>
    <row r="707" spans="11:15" x14ac:dyDescent="0.25">
      <c r="K707"/>
      <c r="L707"/>
      <c r="M707"/>
      <c r="N707"/>
      <c r="O707"/>
    </row>
    <row r="708" spans="11:15" x14ac:dyDescent="0.25">
      <c r="K708"/>
      <c r="L708"/>
      <c r="M708"/>
      <c r="N708"/>
      <c r="O708"/>
    </row>
    <row r="709" spans="11:15" x14ac:dyDescent="0.25">
      <c r="K709"/>
      <c r="L709"/>
      <c r="M709"/>
      <c r="N709"/>
      <c r="O709"/>
    </row>
    <row r="710" spans="11:15" x14ac:dyDescent="0.25">
      <c r="K710"/>
      <c r="L710"/>
      <c r="M710"/>
      <c r="N710"/>
      <c r="O710"/>
    </row>
    <row r="711" spans="11:15" x14ac:dyDescent="0.25">
      <c r="K711"/>
      <c r="L711"/>
      <c r="M711"/>
      <c r="N711"/>
      <c r="O711"/>
    </row>
    <row r="712" spans="11:15" x14ac:dyDescent="0.25">
      <c r="K712"/>
      <c r="L712"/>
      <c r="M712"/>
      <c r="N712"/>
      <c r="O712"/>
    </row>
    <row r="713" spans="11:15" x14ac:dyDescent="0.25">
      <c r="K713"/>
      <c r="L713"/>
      <c r="M713"/>
      <c r="N713"/>
      <c r="O713"/>
    </row>
    <row r="714" spans="11:15" x14ac:dyDescent="0.25">
      <c r="K714"/>
      <c r="L714"/>
      <c r="M714"/>
      <c r="N714"/>
      <c r="O714"/>
    </row>
    <row r="715" spans="11:15" x14ac:dyDescent="0.25">
      <c r="K715"/>
      <c r="L715"/>
      <c r="M715"/>
      <c r="N715"/>
      <c r="O715"/>
    </row>
    <row r="716" spans="11:15" x14ac:dyDescent="0.25">
      <c r="K716"/>
      <c r="L716"/>
      <c r="M716"/>
      <c r="N716"/>
      <c r="O716"/>
    </row>
    <row r="717" spans="11:15" x14ac:dyDescent="0.25">
      <c r="K717"/>
      <c r="L717"/>
      <c r="M717"/>
      <c r="N717"/>
      <c r="O717"/>
    </row>
    <row r="718" spans="11:15" x14ac:dyDescent="0.25">
      <c r="K718"/>
      <c r="L718"/>
      <c r="M718"/>
      <c r="N718"/>
      <c r="O718"/>
    </row>
    <row r="719" spans="11:15" x14ac:dyDescent="0.25">
      <c r="K719"/>
      <c r="L719"/>
      <c r="M719"/>
      <c r="N719"/>
      <c r="O719"/>
    </row>
    <row r="720" spans="11:15" x14ac:dyDescent="0.25">
      <c r="K720"/>
      <c r="L720"/>
      <c r="M720"/>
      <c r="N720"/>
      <c r="O720"/>
    </row>
    <row r="721" spans="11:15" x14ac:dyDescent="0.25">
      <c r="K721"/>
      <c r="L721"/>
      <c r="M721"/>
      <c r="N721"/>
      <c r="O721"/>
    </row>
    <row r="722" spans="11:15" x14ac:dyDescent="0.25">
      <c r="K722"/>
      <c r="L722"/>
      <c r="M722"/>
      <c r="N722"/>
      <c r="O722"/>
    </row>
    <row r="723" spans="11:15" x14ac:dyDescent="0.25">
      <c r="K723"/>
      <c r="L723"/>
      <c r="M723"/>
      <c r="N723"/>
      <c r="O723"/>
    </row>
    <row r="724" spans="11:15" x14ac:dyDescent="0.25">
      <c r="K724"/>
      <c r="L724"/>
      <c r="M724"/>
      <c r="N724"/>
      <c r="O724"/>
    </row>
    <row r="725" spans="11:15" x14ac:dyDescent="0.25">
      <c r="K725"/>
      <c r="L725"/>
      <c r="M725"/>
      <c r="N725"/>
      <c r="O725"/>
    </row>
    <row r="726" spans="11:15" x14ac:dyDescent="0.25">
      <c r="K726"/>
      <c r="L726"/>
      <c r="M726"/>
      <c r="N726"/>
      <c r="O726"/>
    </row>
    <row r="727" spans="11:15" x14ac:dyDescent="0.25">
      <c r="K727"/>
      <c r="L727"/>
      <c r="M727"/>
      <c r="N727"/>
      <c r="O727"/>
    </row>
    <row r="728" spans="11:15" x14ac:dyDescent="0.25">
      <c r="K728"/>
      <c r="L728"/>
      <c r="M728"/>
      <c r="N728"/>
      <c r="O728"/>
    </row>
    <row r="729" spans="11:15" x14ac:dyDescent="0.25">
      <c r="K729"/>
      <c r="L729"/>
      <c r="M729"/>
      <c r="N729"/>
      <c r="O729"/>
    </row>
    <row r="730" spans="11:15" x14ac:dyDescent="0.25">
      <c r="K730"/>
      <c r="L730"/>
      <c r="M730"/>
      <c r="N730"/>
      <c r="O730"/>
    </row>
    <row r="731" spans="11:15" x14ac:dyDescent="0.25">
      <c r="K731"/>
      <c r="L731"/>
      <c r="M731"/>
      <c r="N731"/>
      <c r="O731"/>
    </row>
    <row r="732" spans="11:15" x14ac:dyDescent="0.25">
      <c r="K732"/>
      <c r="L732"/>
      <c r="M732"/>
      <c r="N732"/>
      <c r="O732"/>
    </row>
    <row r="733" spans="11:15" x14ac:dyDescent="0.25">
      <c r="K733"/>
      <c r="L733"/>
      <c r="M733"/>
      <c r="N733"/>
      <c r="O733"/>
    </row>
    <row r="734" spans="11:15" x14ac:dyDescent="0.25">
      <c r="K734"/>
      <c r="L734"/>
      <c r="M734"/>
      <c r="N734"/>
      <c r="O734"/>
    </row>
    <row r="735" spans="11:15" x14ac:dyDescent="0.25">
      <c r="K735"/>
      <c r="L735"/>
      <c r="M735"/>
      <c r="N735"/>
      <c r="O735"/>
    </row>
    <row r="736" spans="11:15" x14ac:dyDescent="0.25">
      <c r="K736"/>
      <c r="L736"/>
      <c r="M736"/>
      <c r="N736"/>
      <c r="O736"/>
    </row>
    <row r="737" spans="11:15" x14ac:dyDescent="0.25">
      <c r="K737"/>
      <c r="L737"/>
      <c r="M737"/>
      <c r="N737"/>
      <c r="O737"/>
    </row>
    <row r="738" spans="11:15" x14ac:dyDescent="0.25">
      <c r="K738"/>
      <c r="L738"/>
      <c r="M738"/>
      <c r="N738"/>
      <c r="O738"/>
    </row>
    <row r="739" spans="11:15" x14ac:dyDescent="0.25">
      <c r="K739"/>
      <c r="L739"/>
      <c r="M739"/>
      <c r="N739"/>
      <c r="O739"/>
    </row>
    <row r="740" spans="11:15" x14ac:dyDescent="0.25">
      <c r="K740"/>
      <c r="L740"/>
      <c r="M740"/>
      <c r="N740"/>
      <c r="O740"/>
    </row>
    <row r="741" spans="11:15" x14ac:dyDescent="0.25">
      <c r="K741"/>
      <c r="L741"/>
      <c r="M741"/>
      <c r="N741"/>
      <c r="O741"/>
    </row>
    <row r="742" spans="11:15" x14ac:dyDescent="0.25">
      <c r="K742"/>
      <c r="L742"/>
      <c r="M742"/>
      <c r="N742"/>
      <c r="O742"/>
    </row>
    <row r="743" spans="11:15" x14ac:dyDescent="0.25">
      <c r="K743"/>
      <c r="L743"/>
      <c r="M743"/>
      <c r="N743"/>
      <c r="O743"/>
    </row>
    <row r="744" spans="11:15" x14ac:dyDescent="0.25">
      <c r="K744"/>
      <c r="L744"/>
      <c r="M744"/>
      <c r="N744"/>
      <c r="O744"/>
    </row>
    <row r="745" spans="11:15" x14ac:dyDescent="0.25">
      <c r="K745"/>
      <c r="L745"/>
      <c r="M745"/>
      <c r="N745"/>
      <c r="O745"/>
    </row>
    <row r="746" spans="11:15" x14ac:dyDescent="0.25">
      <c r="K746"/>
      <c r="L746"/>
      <c r="M746"/>
      <c r="N746"/>
      <c r="O746"/>
    </row>
    <row r="747" spans="11:15" x14ac:dyDescent="0.25">
      <c r="K747"/>
      <c r="L747"/>
      <c r="M747"/>
      <c r="N747"/>
      <c r="O747"/>
    </row>
    <row r="748" spans="11:15" x14ac:dyDescent="0.25">
      <c r="K748"/>
      <c r="L748"/>
      <c r="M748"/>
      <c r="N748"/>
      <c r="O748"/>
    </row>
    <row r="749" spans="11:15" x14ac:dyDescent="0.25">
      <c r="K749"/>
      <c r="L749"/>
      <c r="M749"/>
      <c r="N749"/>
      <c r="O749"/>
    </row>
    <row r="750" spans="11:15" x14ac:dyDescent="0.25">
      <c r="K750"/>
      <c r="L750"/>
      <c r="M750"/>
      <c r="N750"/>
      <c r="O750"/>
    </row>
    <row r="751" spans="11:15" x14ac:dyDescent="0.25">
      <c r="K751"/>
      <c r="L751"/>
      <c r="M751"/>
      <c r="N751"/>
      <c r="O751"/>
    </row>
    <row r="752" spans="11:15" x14ac:dyDescent="0.25">
      <c r="K752"/>
      <c r="L752"/>
      <c r="M752"/>
      <c r="N752"/>
      <c r="O752"/>
    </row>
    <row r="753" spans="11:15" x14ac:dyDescent="0.25">
      <c r="K753"/>
      <c r="L753"/>
      <c r="M753"/>
      <c r="N753"/>
      <c r="O753"/>
    </row>
    <row r="754" spans="11:15" x14ac:dyDescent="0.25">
      <c r="K754"/>
      <c r="L754"/>
      <c r="M754"/>
      <c r="N754"/>
      <c r="O754"/>
    </row>
    <row r="755" spans="11:15" x14ac:dyDescent="0.25">
      <c r="K755"/>
      <c r="L755"/>
      <c r="M755"/>
      <c r="N755"/>
      <c r="O755"/>
    </row>
    <row r="756" spans="11:15" x14ac:dyDescent="0.25">
      <c r="K756"/>
      <c r="L756"/>
      <c r="M756"/>
      <c r="N756"/>
      <c r="O756"/>
    </row>
    <row r="757" spans="11:15" x14ac:dyDescent="0.25">
      <c r="K757"/>
      <c r="L757"/>
      <c r="M757"/>
      <c r="N757"/>
      <c r="O757"/>
    </row>
    <row r="758" spans="11:15" x14ac:dyDescent="0.25">
      <c r="K758"/>
      <c r="L758"/>
      <c r="M758"/>
      <c r="N758"/>
      <c r="O758"/>
    </row>
    <row r="759" spans="11:15" x14ac:dyDescent="0.25">
      <c r="K759"/>
      <c r="L759"/>
      <c r="M759"/>
      <c r="N759"/>
      <c r="O759"/>
    </row>
    <row r="760" spans="11:15" x14ac:dyDescent="0.25">
      <c r="K760"/>
      <c r="L760"/>
      <c r="M760"/>
      <c r="N760"/>
      <c r="O760"/>
    </row>
    <row r="761" spans="11:15" x14ac:dyDescent="0.25">
      <c r="K761"/>
      <c r="L761"/>
      <c r="M761"/>
      <c r="N761"/>
      <c r="O761"/>
    </row>
    <row r="762" spans="11:15" x14ac:dyDescent="0.25">
      <c r="K762"/>
      <c r="L762"/>
      <c r="M762"/>
      <c r="N762"/>
      <c r="O762"/>
    </row>
    <row r="763" spans="11:15" x14ac:dyDescent="0.25">
      <c r="K763"/>
      <c r="L763"/>
      <c r="M763"/>
      <c r="N763"/>
      <c r="O763"/>
    </row>
    <row r="764" spans="11:15" x14ac:dyDescent="0.25">
      <c r="K764"/>
      <c r="L764"/>
      <c r="M764"/>
      <c r="N764"/>
      <c r="O764"/>
    </row>
    <row r="765" spans="11:15" x14ac:dyDescent="0.25">
      <c r="K765"/>
      <c r="L765"/>
      <c r="M765"/>
      <c r="N765"/>
      <c r="O765"/>
    </row>
    <row r="766" spans="11:15" x14ac:dyDescent="0.25">
      <c r="K766"/>
      <c r="L766"/>
      <c r="M766"/>
      <c r="N766"/>
      <c r="O766"/>
    </row>
    <row r="767" spans="11:15" x14ac:dyDescent="0.25">
      <c r="K767"/>
      <c r="L767"/>
      <c r="M767"/>
      <c r="N767"/>
      <c r="O767"/>
    </row>
    <row r="768" spans="11:15" x14ac:dyDescent="0.25">
      <c r="K768"/>
      <c r="L768"/>
      <c r="M768"/>
      <c r="N768"/>
      <c r="O768"/>
    </row>
    <row r="769" spans="11:15" x14ac:dyDescent="0.25">
      <c r="K769"/>
      <c r="L769"/>
      <c r="M769"/>
      <c r="N769"/>
      <c r="O769"/>
    </row>
    <row r="770" spans="11:15" x14ac:dyDescent="0.25">
      <c r="K770"/>
      <c r="L770"/>
      <c r="M770"/>
      <c r="N770"/>
      <c r="O770"/>
    </row>
    <row r="771" spans="11:15" x14ac:dyDescent="0.25">
      <c r="K771"/>
      <c r="L771"/>
      <c r="M771"/>
      <c r="N771"/>
      <c r="O771"/>
    </row>
    <row r="772" spans="11:15" x14ac:dyDescent="0.25">
      <c r="K772"/>
      <c r="L772"/>
      <c r="M772"/>
      <c r="N772"/>
      <c r="O772"/>
    </row>
    <row r="773" spans="11:15" x14ac:dyDescent="0.25">
      <c r="K773"/>
      <c r="L773"/>
      <c r="M773"/>
      <c r="N773"/>
      <c r="O773"/>
    </row>
    <row r="774" spans="11:15" x14ac:dyDescent="0.25">
      <c r="K774"/>
      <c r="L774"/>
      <c r="M774"/>
      <c r="N774"/>
      <c r="O774"/>
    </row>
    <row r="775" spans="11:15" x14ac:dyDescent="0.25">
      <c r="K775"/>
      <c r="L775"/>
      <c r="M775"/>
      <c r="N775"/>
      <c r="O775"/>
    </row>
    <row r="776" spans="11:15" x14ac:dyDescent="0.25">
      <c r="K776"/>
      <c r="L776"/>
      <c r="M776"/>
      <c r="N776"/>
      <c r="O776"/>
    </row>
    <row r="777" spans="11:15" x14ac:dyDescent="0.25">
      <c r="K777"/>
      <c r="L777"/>
      <c r="M777"/>
      <c r="N777"/>
      <c r="O777"/>
    </row>
    <row r="778" spans="11:15" x14ac:dyDescent="0.25">
      <c r="K778"/>
      <c r="L778"/>
      <c r="M778"/>
      <c r="N778"/>
      <c r="O778"/>
    </row>
    <row r="779" spans="11:15" x14ac:dyDescent="0.25">
      <c r="K779"/>
      <c r="L779"/>
      <c r="M779"/>
      <c r="N779"/>
      <c r="O779"/>
    </row>
    <row r="780" spans="11:15" x14ac:dyDescent="0.25">
      <c r="K780"/>
      <c r="L780"/>
      <c r="M780"/>
      <c r="N780"/>
      <c r="O780"/>
    </row>
    <row r="781" spans="11:15" x14ac:dyDescent="0.25">
      <c r="K781"/>
      <c r="L781"/>
      <c r="M781"/>
      <c r="N781"/>
      <c r="O781"/>
    </row>
    <row r="782" spans="11:15" x14ac:dyDescent="0.25">
      <c r="K782"/>
      <c r="L782"/>
      <c r="M782"/>
      <c r="N782"/>
      <c r="O782"/>
    </row>
    <row r="783" spans="11:15" x14ac:dyDescent="0.25">
      <c r="K783"/>
      <c r="L783"/>
      <c r="M783"/>
      <c r="N783"/>
      <c r="O783"/>
    </row>
    <row r="784" spans="11:15" x14ac:dyDescent="0.25">
      <c r="K784"/>
      <c r="L784"/>
      <c r="M784"/>
      <c r="N784"/>
      <c r="O784"/>
    </row>
    <row r="785" spans="11:15" x14ac:dyDescent="0.25">
      <c r="K785"/>
      <c r="L785"/>
      <c r="M785"/>
      <c r="N785"/>
      <c r="O785"/>
    </row>
    <row r="786" spans="11:15" x14ac:dyDescent="0.25">
      <c r="K786"/>
      <c r="L786"/>
      <c r="M786"/>
      <c r="N786"/>
      <c r="O786"/>
    </row>
    <row r="787" spans="11:15" x14ac:dyDescent="0.25">
      <c r="K787"/>
      <c r="L787"/>
      <c r="M787"/>
      <c r="N787"/>
      <c r="O787"/>
    </row>
    <row r="788" spans="11:15" x14ac:dyDescent="0.25">
      <c r="K788"/>
      <c r="L788"/>
      <c r="M788"/>
      <c r="N788"/>
      <c r="O788"/>
    </row>
    <row r="789" spans="11:15" x14ac:dyDescent="0.25">
      <c r="K789"/>
      <c r="L789"/>
      <c r="M789"/>
      <c r="N789"/>
      <c r="O789"/>
    </row>
    <row r="790" spans="11:15" x14ac:dyDescent="0.25">
      <c r="K790"/>
      <c r="L790"/>
      <c r="M790"/>
      <c r="N790"/>
      <c r="O790"/>
    </row>
    <row r="791" spans="11:15" x14ac:dyDescent="0.25">
      <c r="K791"/>
      <c r="L791"/>
      <c r="M791"/>
      <c r="N791"/>
      <c r="O791"/>
    </row>
    <row r="792" spans="11:15" x14ac:dyDescent="0.25">
      <c r="K792"/>
      <c r="L792"/>
      <c r="M792"/>
      <c r="N792"/>
      <c r="O792"/>
    </row>
    <row r="793" spans="11:15" x14ac:dyDescent="0.25">
      <c r="K793"/>
      <c r="L793"/>
      <c r="M793"/>
      <c r="N793"/>
      <c r="O793"/>
    </row>
    <row r="794" spans="11:15" x14ac:dyDescent="0.25">
      <c r="K794"/>
      <c r="L794"/>
      <c r="M794"/>
      <c r="N794"/>
      <c r="O794"/>
    </row>
    <row r="795" spans="11:15" x14ac:dyDescent="0.25">
      <c r="K795"/>
      <c r="L795"/>
      <c r="M795"/>
      <c r="N795"/>
      <c r="O795"/>
    </row>
    <row r="796" spans="11:15" x14ac:dyDescent="0.25">
      <c r="K796"/>
      <c r="L796"/>
      <c r="M796"/>
      <c r="N796"/>
      <c r="O796"/>
    </row>
    <row r="797" spans="11:15" x14ac:dyDescent="0.25">
      <c r="K797"/>
      <c r="L797"/>
      <c r="M797"/>
      <c r="N797"/>
      <c r="O797"/>
    </row>
    <row r="798" spans="11:15" x14ac:dyDescent="0.25">
      <c r="K798"/>
      <c r="L798"/>
      <c r="M798"/>
      <c r="N798"/>
      <c r="O798"/>
    </row>
    <row r="799" spans="11:15" x14ac:dyDescent="0.25">
      <c r="K799"/>
      <c r="L799"/>
      <c r="M799"/>
      <c r="N799"/>
      <c r="O799"/>
    </row>
    <row r="800" spans="11:15" x14ac:dyDescent="0.25">
      <c r="K800"/>
      <c r="L800"/>
      <c r="M800"/>
      <c r="N800"/>
      <c r="O800"/>
    </row>
    <row r="801" spans="11:15" x14ac:dyDescent="0.25">
      <c r="K801"/>
      <c r="L801"/>
      <c r="M801"/>
      <c r="N801"/>
      <c r="O801"/>
    </row>
    <row r="802" spans="11:15" x14ac:dyDescent="0.25">
      <c r="K802"/>
      <c r="L802"/>
      <c r="M802"/>
      <c r="N802"/>
      <c r="O802"/>
    </row>
    <row r="803" spans="11:15" x14ac:dyDescent="0.25">
      <c r="K803"/>
      <c r="L803"/>
      <c r="M803"/>
      <c r="N803"/>
      <c r="O803"/>
    </row>
    <row r="804" spans="11:15" x14ac:dyDescent="0.25">
      <c r="K804"/>
      <c r="L804"/>
      <c r="M804"/>
      <c r="N804"/>
      <c r="O804"/>
    </row>
    <row r="805" spans="11:15" x14ac:dyDescent="0.25">
      <c r="K805"/>
      <c r="L805"/>
      <c r="M805"/>
      <c r="N805"/>
      <c r="O805"/>
    </row>
    <row r="806" spans="11:15" x14ac:dyDescent="0.25">
      <c r="K806"/>
      <c r="L806"/>
      <c r="M806"/>
      <c r="N806"/>
      <c r="O806"/>
    </row>
    <row r="807" spans="11:15" x14ac:dyDescent="0.25">
      <c r="K807"/>
      <c r="L807"/>
      <c r="M807"/>
      <c r="N807"/>
      <c r="O807"/>
    </row>
    <row r="808" spans="11:15" x14ac:dyDescent="0.25">
      <c r="K808"/>
      <c r="L808"/>
      <c r="M808"/>
      <c r="N808"/>
      <c r="O808"/>
    </row>
    <row r="809" spans="11:15" x14ac:dyDescent="0.25">
      <c r="K809"/>
      <c r="L809"/>
      <c r="M809"/>
      <c r="N809"/>
      <c r="O809"/>
    </row>
    <row r="810" spans="11:15" x14ac:dyDescent="0.25">
      <c r="K810"/>
      <c r="L810"/>
      <c r="M810"/>
      <c r="N810"/>
      <c r="O810"/>
    </row>
    <row r="811" spans="11:15" x14ac:dyDescent="0.25">
      <c r="K811"/>
      <c r="L811"/>
      <c r="M811"/>
      <c r="N811"/>
      <c r="O811"/>
    </row>
    <row r="812" spans="11:15" x14ac:dyDescent="0.25">
      <c r="K812"/>
      <c r="L812"/>
      <c r="M812"/>
      <c r="N812"/>
      <c r="O812"/>
    </row>
    <row r="813" spans="11:15" x14ac:dyDescent="0.25">
      <c r="K813"/>
      <c r="L813"/>
      <c r="M813"/>
      <c r="N813"/>
      <c r="O813"/>
    </row>
    <row r="814" spans="11:15" x14ac:dyDescent="0.25">
      <c r="K814"/>
      <c r="L814"/>
      <c r="M814"/>
      <c r="N814"/>
      <c r="O814"/>
    </row>
    <row r="815" spans="11:15" x14ac:dyDescent="0.25">
      <c r="K815"/>
      <c r="L815"/>
      <c r="M815"/>
      <c r="N815"/>
      <c r="O815"/>
    </row>
    <row r="816" spans="11:15" x14ac:dyDescent="0.25">
      <c r="K816"/>
      <c r="L816"/>
      <c r="M816"/>
      <c r="N816"/>
      <c r="O816"/>
    </row>
    <row r="817" spans="11:15" x14ac:dyDescent="0.25">
      <c r="K817"/>
      <c r="L817"/>
      <c r="M817"/>
      <c r="N817"/>
      <c r="O817"/>
    </row>
    <row r="818" spans="11:15" x14ac:dyDescent="0.25">
      <c r="K818"/>
      <c r="L818"/>
      <c r="M818"/>
      <c r="N818"/>
      <c r="O818"/>
    </row>
    <row r="819" spans="11:15" x14ac:dyDescent="0.25">
      <c r="K819"/>
      <c r="L819"/>
      <c r="M819"/>
      <c r="N819"/>
      <c r="O819"/>
    </row>
    <row r="820" spans="11:15" x14ac:dyDescent="0.25">
      <c r="K820"/>
      <c r="L820"/>
      <c r="M820"/>
      <c r="N820"/>
      <c r="O820"/>
    </row>
    <row r="821" spans="11:15" x14ac:dyDescent="0.25">
      <c r="K821"/>
      <c r="L821"/>
      <c r="M821"/>
      <c r="N821"/>
      <c r="O821"/>
    </row>
    <row r="822" spans="11:15" x14ac:dyDescent="0.25">
      <c r="K822"/>
      <c r="L822"/>
      <c r="M822"/>
      <c r="N822"/>
      <c r="O822"/>
    </row>
    <row r="823" spans="11:15" x14ac:dyDescent="0.25">
      <c r="K823"/>
      <c r="L823"/>
      <c r="M823"/>
      <c r="N823"/>
      <c r="O823"/>
    </row>
    <row r="824" spans="11:15" x14ac:dyDescent="0.25">
      <c r="K824"/>
      <c r="L824"/>
      <c r="M824"/>
      <c r="N824"/>
      <c r="O824"/>
    </row>
    <row r="825" spans="11:15" x14ac:dyDescent="0.25">
      <c r="K825"/>
      <c r="L825"/>
      <c r="M825"/>
      <c r="N825"/>
      <c r="O825"/>
    </row>
    <row r="826" spans="11:15" x14ac:dyDescent="0.25">
      <c r="K826"/>
      <c r="L826"/>
      <c r="M826"/>
      <c r="N826"/>
      <c r="O826"/>
    </row>
    <row r="827" spans="11:15" x14ac:dyDescent="0.25">
      <c r="K827"/>
      <c r="L827"/>
      <c r="M827"/>
      <c r="N827"/>
      <c r="O827"/>
    </row>
    <row r="828" spans="11:15" x14ac:dyDescent="0.25">
      <c r="K828"/>
      <c r="L828"/>
      <c r="M828"/>
      <c r="N828"/>
      <c r="O828"/>
    </row>
    <row r="829" spans="11:15" x14ac:dyDescent="0.25">
      <c r="K829"/>
      <c r="L829"/>
      <c r="M829"/>
      <c r="N829"/>
      <c r="O829"/>
    </row>
    <row r="830" spans="11:15" x14ac:dyDescent="0.25">
      <c r="K830"/>
      <c r="L830"/>
      <c r="M830"/>
      <c r="N830"/>
      <c r="O830"/>
    </row>
    <row r="831" spans="11:15" x14ac:dyDescent="0.25">
      <c r="K831"/>
      <c r="L831"/>
      <c r="M831"/>
      <c r="N831"/>
      <c r="O831"/>
    </row>
    <row r="832" spans="11:15" x14ac:dyDescent="0.25">
      <c r="K832"/>
      <c r="L832"/>
      <c r="M832"/>
      <c r="N832"/>
      <c r="O832"/>
    </row>
    <row r="833" spans="11:15" x14ac:dyDescent="0.25">
      <c r="K833"/>
      <c r="L833"/>
      <c r="M833"/>
      <c r="N833"/>
      <c r="O833"/>
    </row>
    <row r="834" spans="11:15" x14ac:dyDescent="0.25">
      <c r="K834"/>
      <c r="L834"/>
      <c r="M834"/>
      <c r="N834"/>
      <c r="O834"/>
    </row>
    <row r="835" spans="11:15" x14ac:dyDescent="0.25">
      <c r="K835"/>
      <c r="L835"/>
      <c r="M835"/>
      <c r="N835"/>
      <c r="O835"/>
    </row>
    <row r="836" spans="11:15" x14ac:dyDescent="0.25">
      <c r="K836"/>
      <c r="L836"/>
      <c r="M836"/>
      <c r="N836"/>
      <c r="O836"/>
    </row>
    <row r="837" spans="11:15" x14ac:dyDescent="0.25">
      <c r="K837"/>
      <c r="L837"/>
      <c r="M837"/>
      <c r="N837"/>
      <c r="O837"/>
    </row>
    <row r="838" spans="11:15" x14ac:dyDescent="0.25">
      <c r="K838"/>
      <c r="L838"/>
      <c r="M838"/>
      <c r="N838"/>
      <c r="O838"/>
    </row>
    <row r="839" spans="11:15" x14ac:dyDescent="0.25">
      <c r="K839"/>
      <c r="L839"/>
      <c r="M839"/>
      <c r="N839"/>
      <c r="O839"/>
    </row>
    <row r="840" spans="11:15" x14ac:dyDescent="0.25">
      <c r="K840"/>
      <c r="L840"/>
      <c r="M840"/>
      <c r="N840"/>
      <c r="O840"/>
    </row>
    <row r="841" spans="11:15" x14ac:dyDescent="0.25">
      <c r="K841"/>
      <c r="L841"/>
      <c r="M841"/>
      <c r="N841"/>
      <c r="O841"/>
    </row>
    <row r="842" spans="11:15" x14ac:dyDescent="0.25">
      <c r="K842"/>
      <c r="L842"/>
      <c r="M842"/>
      <c r="N842"/>
      <c r="O842"/>
    </row>
    <row r="843" spans="11:15" x14ac:dyDescent="0.25">
      <c r="K843"/>
      <c r="L843"/>
      <c r="M843"/>
      <c r="N843"/>
      <c r="O843"/>
    </row>
    <row r="844" spans="11:15" x14ac:dyDescent="0.25">
      <c r="K844"/>
      <c r="L844"/>
      <c r="M844"/>
      <c r="N844"/>
      <c r="O844"/>
    </row>
    <row r="845" spans="11:15" x14ac:dyDescent="0.25">
      <c r="K845"/>
      <c r="L845"/>
      <c r="M845"/>
      <c r="N845"/>
      <c r="O845"/>
    </row>
    <row r="846" spans="11:15" x14ac:dyDescent="0.25">
      <c r="K846"/>
      <c r="L846"/>
      <c r="M846"/>
      <c r="N846"/>
      <c r="O846"/>
    </row>
    <row r="847" spans="11:15" x14ac:dyDescent="0.25">
      <c r="K847"/>
      <c r="L847"/>
      <c r="M847"/>
      <c r="N847"/>
      <c r="O847"/>
    </row>
    <row r="848" spans="11:15" x14ac:dyDescent="0.25">
      <c r="K848"/>
      <c r="L848"/>
      <c r="M848"/>
      <c r="N848"/>
      <c r="O848"/>
    </row>
    <row r="849" spans="11:15" x14ac:dyDescent="0.25">
      <c r="K849"/>
      <c r="L849"/>
      <c r="M849"/>
      <c r="N849"/>
      <c r="O849"/>
    </row>
    <row r="850" spans="11:15" x14ac:dyDescent="0.25">
      <c r="K850"/>
      <c r="L850"/>
      <c r="M850"/>
      <c r="N850"/>
      <c r="O850"/>
    </row>
    <row r="851" spans="11:15" x14ac:dyDescent="0.25">
      <c r="K851"/>
      <c r="L851"/>
      <c r="M851"/>
      <c r="N851"/>
      <c r="O851"/>
    </row>
    <row r="852" spans="11:15" x14ac:dyDescent="0.25">
      <c r="K852"/>
      <c r="L852"/>
      <c r="M852"/>
      <c r="N852"/>
      <c r="O852"/>
    </row>
    <row r="853" spans="11:15" x14ac:dyDescent="0.25">
      <c r="K853"/>
      <c r="L853"/>
      <c r="M853"/>
      <c r="N853"/>
      <c r="O853"/>
    </row>
    <row r="854" spans="11:15" x14ac:dyDescent="0.25">
      <c r="K854"/>
      <c r="L854"/>
      <c r="M854"/>
      <c r="N854"/>
      <c r="O854"/>
    </row>
    <row r="855" spans="11:15" x14ac:dyDescent="0.25">
      <c r="K855"/>
      <c r="L855"/>
      <c r="M855"/>
      <c r="N855"/>
      <c r="O855"/>
    </row>
    <row r="856" spans="11:15" x14ac:dyDescent="0.25">
      <c r="K856"/>
      <c r="L856"/>
      <c r="M856"/>
      <c r="N856"/>
      <c r="O856"/>
    </row>
    <row r="857" spans="11:15" x14ac:dyDescent="0.25">
      <c r="K857"/>
      <c r="L857"/>
      <c r="M857"/>
      <c r="N857"/>
      <c r="O857"/>
    </row>
    <row r="858" spans="11:15" x14ac:dyDescent="0.25">
      <c r="K858"/>
      <c r="L858"/>
      <c r="M858"/>
      <c r="N858"/>
      <c r="O858"/>
    </row>
    <row r="859" spans="11:15" x14ac:dyDescent="0.25">
      <c r="K859"/>
      <c r="L859"/>
      <c r="M859"/>
      <c r="N859"/>
      <c r="O859"/>
    </row>
    <row r="860" spans="11:15" x14ac:dyDescent="0.25">
      <c r="K860"/>
      <c r="L860"/>
      <c r="M860"/>
      <c r="N860"/>
      <c r="O860"/>
    </row>
    <row r="861" spans="11:15" x14ac:dyDescent="0.25">
      <c r="K861"/>
      <c r="L861"/>
      <c r="M861"/>
      <c r="N861"/>
      <c r="O861"/>
    </row>
    <row r="862" spans="11:15" x14ac:dyDescent="0.25">
      <c r="K862"/>
      <c r="L862"/>
      <c r="M862"/>
      <c r="N862"/>
      <c r="O862"/>
    </row>
    <row r="863" spans="11:15" x14ac:dyDescent="0.25">
      <c r="K863"/>
      <c r="L863"/>
      <c r="M863"/>
      <c r="N863"/>
      <c r="O863"/>
    </row>
    <row r="864" spans="11:15" x14ac:dyDescent="0.25">
      <c r="K864"/>
      <c r="L864"/>
      <c r="M864"/>
      <c r="N864"/>
      <c r="O864"/>
    </row>
    <row r="865" spans="11:15" x14ac:dyDescent="0.25">
      <c r="K865"/>
      <c r="L865"/>
      <c r="M865"/>
      <c r="N865"/>
      <c r="O865"/>
    </row>
    <row r="866" spans="11:15" x14ac:dyDescent="0.25">
      <c r="K866"/>
      <c r="L866"/>
      <c r="M866"/>
      <c r="N866"/>
      <c r="O866"/>
    </row>
    <row r="867" spans="11:15" x14ac:dyDescent="0.25">
      <c r="K867"/>
      <c r="L867"/>
      <c r="M867"/>
      <c r="N867"/>
      <c r="O867"/>
    </row>
    <row r="868" spans="11:15" x14ac:dyDescent="0.25">
      <c r="K868"/>
      <c r="L868"/>
      <c r="M868"/>
      <c r="N868"/>
      <c r="O868"/>
    </row>
    <row r="869" spans="11:15" x14ac:dyDescent="0.25">
      <c r="K869"/>
      <c r="L869"/>
      <c r="M869"/>
      <c r="N869"/>
      <c r="O869"/>
    </row>
    <row r="870" spans="11:15" x14ac:dyDescent="0.25">
      <c r="K870"/>
      <c r="L870"/>
      <c r="M870"/>
      <c r="N870"/>
      <c r="O870"/>
    </row>
    <row r="871" spans="11:15" x14ac:dyDescent="0.25">
      <c r="K871"/>
      <c r="L871"/>
      <c r="M871"/>
      <c r="N871"/>
      <c r="O871"/>
    </row>
    <row r="872" spans="11:15" x14ac:dyDescent="0.25">
      <c r="K872"/>
      <c r="L872"/>
      <c r="M872"/>
      <c r="N872"/>
      <c r="O872"/>
    </row>
    <row r="873" spans="11:15" x14ac:dyDescent="0.25">
      <c r="K873"/>
      <c r="L873"/>
      <c r="M873"/>
      <c r="N873"/>
      <c r="O873"/>
    </row>
    <row r="874" spans="11:15" x14ac:dyDescent="0.25">
      <c r="K874"/>
      <c r="L874"/>
      <c r="M874"/>
      <c r="N874"/>
      <c r="O874"/>
    </row>
    <row r="875" spans="11:15" x14ac:dyDescent="0.25">
      <c r="K875"/>
      <c r="L875"/>
      <c r="M875"/>
      <c r="N875"/>
      <c r="O875"/>
    </row>
    <row r="876" spans="11:15" x14ac:dyDescent="0.25">
      <c r="K876"/>
      <c r="L876"/>
      <c r="M876"/>
      <c r="N876"/>
      <c r="O876"/>
    </row>
    <row r="877" spans="11:15" x14ac:dyDescent="0.25">
      <c r="K877"/>
      <c r="L877"/>
      <c r="M877"/>
      <c r="N877"/>
      <c r="O877"/>
    </row>
    <row r="878" spans="11:15" x14ac:dyDescent="0.25">
      <c r="K878"/>
      <c r="L878"/>
      <c r="M878"/>
      <c r="N878"/>
      <c r="O878"/>
    </row>
    <row r="879" spans="11:15" x14ac:dyDescent="0.25">
      <c r="K879"/>
      <c r="L879"/>
      <c r="M879"/>
      <c r="N879"/>
      <c r="O879"/>
    </row>
    <row r="880" spans="11:15" x14ac:dyDescent="0.25">
      <c r="K880"/>
      <c r="L880"/>
      <c r="M880"/>
      <c r="N880"/>
      <c r="O880"/>
    </row>
    <row r="881" spans="11:15" x14ac:dyDescent="0.25">
      <c r="K881"/>
      <c r="L881"/>
      <c r="M881"/>
      <c r="N881"/>
      <c r="O881"/>
    </row>
    <row r="882" spans="11:15" x14ac:dyDescent="0.25">
      <c r="K882"/>
      <c r="L882"/>
      <c r="M882"/>
      <c r="N882"/>
      <c r="O882"/>
    </row>
    <row r="883" spans="11:15" x14ac:dyDescent="0.25">
      <c r="K883"/>
      <c r="L883"/>
      <c r="M883"/>
      <c r="N883"/>
      <c r="O883"/>
    </row>
    <row r="884" spans="11:15" x14ac:dyDescent="0.25">
      <c r="K884"/>
      <c r="L884"/>
      <c r="M884"/>
      <c r="N884"/>
      <c r="O884"/>
    </row>
    <row r="885" spans="11:15" x14ac:dyDescent="0.25">
      <c r="K885"/>
      <c r="L885"/>
      <c r="M885"/>
      <c r="N885"/>
      <c r="O885"/>
    </row>
    <row r="886" spans="11:15" x14ac:dyDescent="0.25">
      <c r="K886"/>
      <c r="L886"/>
      <c r="M886"/>
      <c r="N886"/>
      <c r="O886"/>
    </row>
    <row r="887" spans="11:15" x14ac:dyDescent="0.25">
      <c r="K887"/>
      <c r="L887"/>
      <c r="M887"/>
      <c r="N887"/>
      <c r="O887"/>
    </row>
    <row r="888" spans="11:15" x14ac:dyDescent="0.25">
      <c r="K888"/>
      <c r="L888"/>
      <c r="M888"/>
      <c r="N888"/>
      <c r="O888"/>
    </row>
    <row r="889" spans="11:15" x14ac:dyDescent="0.25">
      <c r="K889"/>
      <c r="L889"/>
      <c r="M889"/>
      <c r="N889"/>
      <c r="O889"/>
    </row>
    <row r="890" spans="11:15" x14ac:dyDescent="0.25">
      <c r="K890"/>
      <c r="L890"/>
      <c r="M890"/>
      <c r="N890"/>
      <c r="O890"/>
    </row>
    <row r="891" spans="11:15" x14ac:dyDescent="0.25">
      <c r="K891"/>
      <c r="L891"/>
      <c r="M891"/>
      <c r="N891"/>
      <c r="O891"/>
    </row>
    <row r="892" spans="11:15" x14ac:dyDescent="0.25">
      <c r="K892"/>
      <c r="L892"/>
      <c r="M892"/>
      <c r="N892"/>
      <c r="O892"/>
    </row>
    <row r="893" spans="11:15" x14ac:dyDescent="0.25">
      <c r="K893"/>
      <c r="L893"/>
      <c r="M893"/>
      <c r="N893"/>
      <c r="O893"/>
    </row>
    <row r="894" spans="11:15" x14ac:dyDescent="0.25">
      <c r="K894"/>
      <c r="L894"/>
      <c r="M894"/>
      <c r="N894"/>
      <c r="O894"/>
    </row>
    <row r="895" spans="11:15" x14ac:dyDescent="0.25">
      <c r="K895"/>
      <c r="L895"/>
      <c r="M895"/>
      <c r="N895"/>
      <c r="O895"/>
    </row>
    <row r="896" spans="11:15" x14ac:dyDescent="0.25">
      <c r="K896"/>
      <c r="L896"/>
      <c r="M896"/>
      <c r="N896"/>
      <c r="O896"/>
    </row>
    <row r="897" spans="11:15" x14ac:dyDescent="0.25">
      <c r="K897"/>
      <c r="L897"/>
      <c r="M897"/>
      <c r="N897"/>
      <c r="O897"/>
    </row>
    <row r="898" spans="11:15" x14ac:dyDescent="0.25">
      <c r="K898"/>
      <c r="L898"/>
      <c r="M898"/>
      <c r="N898"/>
      <c r="O898"/>
    </row>
    <row r="899" spans="11:15" x14ac:dyDescent="0.25">
      <c r="K899"/>
      <c r="L899"/>
      <c r="M899"/>
      <c r="N899"/>
      <c r="O899"/>
    </row>
    <row r="900" spans="11:15" x14ac:dyDescent="0.25">
      <c r="K900"/>
      <c r="L900"/>
      <c r="M900"/>
      <c r="N900"/>
      <c r="O900"/>
    </row>
    <row r="901" spans="11:15" x14ac:dyDescent="0.25">
      <c r="K901"/>
      <c r="L901"/>
      <c r="M901"/>
      <c r="N901"/>
      <c r="O901"/>
    </row>
    <row r="902" spans="11:15" x14ac:dyDescent="0.25">
      <c r="K902"/>
      <c r="L902"/>
      <c r="M902"/>
      <c r="N902"/>
      <c r="O902"/>
    </row>
    <row r="903" spans="11:15" x14ac:dyDescent="0.25">
      <c r="K903"/>
      <c r="L903"/>
      <c r="M903"/>
      <c r="N903"/>
      <c r="O903"/>
    </row>
    <row r="904" spans="11:15" x14ac:dyDescent="0.25">
      <c r="K904"/>
      <c r="L904"/>
      <c r="M904"/>
      <c r="N904"/>
      <c r="O904"/>
    </row>
    <row r="905" spans="11:15" x14ac:dyDescent="0.25">
      <c r="K905"/>
      <c r="L905"/>
      <c r="M905"/>
      <c r="N905"/>
      <c r="O905"/>
    </row>
    <row r="906" spans="11:15" x14ac:dyDescent="0.25">
      <c r="K906"/>
      <c r="L906"/>
      <c r="M906"/>
      <c r="N906"/>
      <c r="O906"/>
    </row>
    <row r="907" spans="11:15" x14ac:dyDescent="0.25">
      <c r="K907"/>
      <c r="L907"/>
      <c r="M907"/>
      <c r="N907"/>
      <c r="O907"/>
    </row>
    <row r="908" spans="11:15" x14ac:dyDescent="0.25">
      <c r="K908"/>
      <c r="L908"/>
      <c r="M908"/>
      <c r="N908"/>
      <c r="O908"/>
    </row>
    <row r="909" spans="11:15" x14ac:dyDescent="0.25">
      <c r="K909"/>
      <c r="L909"/>
      <c r="M909"/>
      <c r="N909"/>
      <c r="O909"/>
    </row>
    <row r="910" spans="11:15" x14ac:dyDescent="0.25">
      <c r="K910"/>
      <c r="L910"/>
      <c r="M910"/>
      <c r="N910"/>
      <c r="O910"/>
    </row>
    <row r="911" spans="11:15" x14ac:dyDescent="0.25">
      <c r="K911"/>
      <c r="L911"/>
      <c r="M911"/>
      <c r="N911"/>
      <c r="O911"/>
    </row>
    <row r="912" spans="11:15" x14ac:dyDescent="0.25">
      <c r="K912"/>
      <c r="L912"/>
      <c r="M912"/>
      <c r="N912"/>
      <c r="O912"/>
    </row>
    <row r="913" spans="11:15" x14ac:dyDescent="0.25">
      <c r="K913"/>
      <c r="L913"/>
      <c r="M913"/>
      <c r="N913"/>
      <c r="O913"/>
    </row>
    <row r="914" spans="11:15" x14ac:dyDescent="0.25">
      <c r="K914"/>
      <c r="L914"/>
      <c r="M914"/>
      <c r="N914"/>
      <c r="O914"/>
    </row>
    <row r="915" spans="11:15" x14ac:dyDescent="0.25">
      <c r="K915"/>
      <c r="L915"/>
      <c r="M915"/>
      <c r="N915"/>
      <c r="O915"/>
    </row>
    <row r="916" spans="11:15" x14ac:dyDescent="0.25">
      <c r="K916"/>
      <c r="L916"/>
      <c r="M916"/>
      <c r="N916"/>
      <c r="O916"/>
    </row>
    <row r="917" spans="11:15" x14ac:dyDescent="0.25">
      <c r="K917"/>
      <c r="L917"/>
      <c r="M917"/>
      <c r="N917"/>
      <c r="O917"/>
    </row>
    <row r="918" spans="11:15" x14ac:dyDescent="0.25">
      <c r="K918"/>
      <c r="L918"/>
      <c r="M918"/>
      <c r="N918"/>
      <c r="O918"/>
    </row>
    <row r="919" spans="11:15" x14ac:dyDescent="0.25">
      <c r="K919"/>
      <c r="L919"/>
      <c r="M919"/>
      <c r="N919"/>
      <c r="O919"/>
    </row>
    <row r="920" spans="11:15" x14ac:dyDescent="0.25">
      <c r="K920"/>
      <c r="L920"/>
      <c r="M920"/>
      <c r="N920"/>
      <c r="O920"/>
    </row>
    <row r="921" spans="11:15" x14ac:dyDescent="0.25">
      <c r="K921"/>
      <c r="L921"/>
      <c r="M921"/>
      <c r="N921"/>
      <c r="O921"/>
    </row>
    <row r="922" spans="11:15" x14ac:dyDescent="0.25">
      <c r="K922"/>
      <c r="L922"/>
      <c r="M922"/>
      <c r="N922"/>
      <c r="O922"/>
    </row>
    <row r="923" spans="11:15" x14ac:dyDescent="0.25">
      <c r="K923"/>
      <c r="L923"/>
      <c r="M923"/>
      <c r="N923"/>
      <c r="O923"/>
    </row>
    <row r="924" spans="11:15" x14ac:dyDescent="0.25">
      <c r="K924"/>
      <c r="L924"/>
      <c r="M924"/>
      <c r="N924"/>
      <c r="O924"/>
    </row>
    <row r="925" spans="11:15" x14ac:dyDescent="0.25">
      <c r="K925"/>
      <c r="L925"/>
      <c r="M925"/>
      <c r="N925"/>
      <c r="O925"/>
    </row>
    <row r="926" spans="11:15" x14ac:dyDescent="0.25">
      <c r="K926"/>
      <c r="L926"/>
      <c r="M926"/>
      <c r="N926"/>
      <c r="O926"/>
    </row>
    <row r="927" spans="11:15" x14ac:dyDescent="0.25">
      <c r="K927"/>
      <c r="L927"/>
      <c r="M927"/>
      <c r="N927"/>
      <c r="O927"/>
    </row>
    <row r="928" spans="11:15" x14ac:dyDescent="0.25">
      <c r="K928"/>
      <c r="L928"/>
      <c r="M928"/>
      <c r="N928"/>
      <c r="O928"/>
    </row>
    <row r="929" spans="11:15" x14ac:dyDescent="0.25">
      <c r="K929"/>
      <c r="L929"/>
      <c r="M929"/>
      <c r="N929"/>
      <c r="O929"/>
    </row>
    <row r="930" spans="11:15" x14ac:dyDescent="0.25">
      <c r="K930"/>
      <c r="L930"/>
      <c r="M930"/>
      <c r="N930"/>
      <c r="O930"/>
    </row>
    <row r="931" spans="11:15" x14ac:dyDescent="0.25">
      <c r="K931"/>
      <c r="L931"/>
      <c r="M931"/>
      <c r="N931"/>
      <c r="O931"/>
    </row>
    <row r="932" spans="11:15" x14ac:dyDescent="0.25">
      <c r="K932"/>
      <c r="L932"/>
      <c r="M932"/>
      <c r="N932"/>
      <c r="O932"/>
    </row>
    <row r="933" spans="11:15" x14ac:dyDescent="0.25">
      <c r="K933"/>
      <c r="L933"/>
      <c r="M933"/>
      <c r="N933"/>
      <c r="O933"/>
    </row>
    <row r="934" spans="11:15" x14ac:dyDescent="0.25">
      <c r="K934"/>
      <c r="L934"/>
      <c r="M934"/>
      <c r="N934"/>
      <c r="O934"/>
    </row>
    <row r="935" spans="11:15" x14ac:dyDescent="0.25">
      <c r="K935"/>
      <c r="L935"/>
      <c r="M935"/>
      <c r="N935"/>
      <c r="O935"/>
    </row>
    <row r="936" spans="11:15" x14ac:dyDescent="0.25">
      <c r="K936"/>
      <c r="L936"/>
      <c r="M936"/>
      <c r="N936"/>
      <c r="O936"/>
    </row>
    <row r="937" spans="11:15" x14ac:dyDescent="0.25">
      <c r="K937"/>
      <c r="L937"/>
      <c r="M937"/>
      <c r="N937"/>
      <c r="O937"/>
    </row>
    <row r="938" spans="11:15" x14ac:dyDescent="0.25">
      <c r="K938"/>
      <c r="L938"/>
      <c r="M938"/>
      <c r="N938"/>
      <c r="O938"/>
    </row>
    <row r="939" spans="11:15" x14ac:dyDescent="0.25">
      <c r="K939"/>
      <c r="L939"/>
      <c r="M939"/>
      <c r="N939"/>
      <c r="O939"/>
    </row>
    <row r="940" spans="11:15" x14ac:dyDescent="0.25">
      <c r="K940"/>
      <c r="L940"/>
      <c r="M940"/>
      <c r="N940"/>
      <c r="O940"/>
    </row>
    <row r="941" spans="11:15" x14ac:dyDescent="0.25">
      <c r="K941"/>
      <c r="L941"/>
      <c r="M941"/>
      <c r="N941"/>
      <c r="O941"/>
    </row>
    <row r="942" spans="11:15" x14ac:dyDescent="0.25">
      <c r="K942"/>
      <c r="L942"/>
      <c r="M942"/>
      <c r="N942"/>
      <c r="O942"/>
    </row>
    <row r="943" spans="11:15" x14ac:dyDescent="0.25">
      <c r="K943"/>
      <c r="L943"/>
      <c r="M943"/>
      <c r="N943"/>
      <c r="O943"/>
    </row>
    <row r="944" spans="11:15" x14ac:dyDescent="0.25">
      <c r="K944"/>
      <c r="L944"/>
      <c r="M944"/>
      <c r="N944"/>
      <c r="O944"/>
    </row>
    <row r="945" spans="11:15" x14ac:dyDescent="0.25">
      <c r="K945"/>
      <c r="L945"/>
      <c r="M945"/>
      <c r="N945"/>
      <c r="O945"/>
    </row>
    <row r="946" spans="11:15" x14ac:dyDescent="0.25">
      <c r="K946"/>
      <c r="L946"/>
      <c r="M946"/>
      <c r="N946"/>
      <c r="O946"/>
    </row>
    <row r="947" spans="11:15" x14ac:dyDescent="0.25">
      <c r="K947"/>
      <c r="L947"/>
      <c r="M947"/>
      <c r="N947"/>
      <c r="O947"/>
    </row>
    <row r="948" spans="11:15" x14ac:dyDescent="0.25">
      <c r="K948"/>
      <c r="L948"/>
      <c r="M948"/>
      <c r="N948"/>
      <c r="O948"/>
    </row>
    <row r="949" spans="11:15" x14ac:dyDescent="0.25">
      <c r="K949"/>
      <c r="L949"/>
      <c r="M949"/>
      <c r="N949"/>
      <c r="O949"/>
    </row>
    <row r="950" spans="11:15" x14ac:dyDescent="0.25">
      <c r="K950"/>
      <c r="L950"/>
      <c r="M950"/>
      <c r="N950"/>
      <c r="O950"/>
    </row>
    <row r="951" spans="11:15" x14ac:dyDescent="0.25">
      <c r="K951"/>
      <c r="L951"/>
      <c r="M951"/>
      <c r="N951"/>
      <c r="O951"/>
    </row>
    <row r="952" spans="11:15" x14ac:dyDescent="0.25">
      <c r="K952"/>
      <c r="L952"/>
      <c r="M952"/>
      <c r="N952"/>
      <c r="O952"/>
    </row>
    <row r="953" spans="11:15" x14ac:dyDescent="0.25">
      <c r="K953"/>
      <c r="L953"/>
      <c r="M953"/>
      <c r="N953"/>
      <c r="O953"/>
    </row>
    <row r="954" spans="11:15" x14ac:dyDescent="0.25">
      <c r="K954"/>
      <c r="L954"/>
      <c r="M954"/>
      <c r="N954"/>
      <c r="O954"/>
    </row>
    <row r="955" spans="11:15" x14ac:dyDescent="0.25">
      <c r="K955"/>
      <c r="L955"/>
      <c r="M955"/>
      <c r="N955"/>
      <c r="O955"/>
    </row>
    <row r="956" spans="11:15" x14ac:dyDescent="0.25">
      <c r="K956"/>
      <c r="L956"/>
      <c r="M956"/>
      <c r="N956"/>
      <c r="O956"/>
    </row>
    <row r="957" spans="11:15" x14ac:dyDescent="0.25">
      <c r="K957"/>
      <c r="L957"/>
      <c r="M957"/>
      <c r="N957"/>
      <c r="O957"/>
    </row>
    <row r="958" spans="11:15" x14ac:dyDescent="0.25">
      <c r="K958"/>
      <c r="L958"/>
      <c r="M958"/>
      <c r="N958"/>
      <c r="O958"/>
    </row>
    <row r="959" spans="11:15" x14ac:dyDescent="0.25">
      <c r="K959"/>
      <c r="L959"/>
      <c r="M959"/>
      <c r="N959"/>
      <c r="O959"/>
    </row>
    <row r="960" spans="11:15" x14ac:dyDescent="0.25">
      <c r="K960"/>
      <c r="L960"/>
      <c r="M960"/>
      <c r="N960"/>
      <c r="O960"/>
    </row>
    <row r="961" spans="11:15" x14ac:dyDescent="0.25">
      <c r="K961"/>
      <c r="L961"/>
      <c r="M961"/>
      <c r="N961"/>
      <c r="O961"/>
    </row>
    <row r="962" spans="11:15" x14ac:dyDescent="0.25">
      <c r="K962"/>
      <c r="L962"/>
      <c r="M962"/>
      <c r="N962"/>
      <c r="O962"/>
    </row>
    <row r="963" spans="11:15" x14ac:dyDescent="0.25">
      <c r="K963"/>
      <c r="L963"/>
      <c r="M963"/>
      <c r="N963"/>
      <c r="O963"/>
    </row>
    <row r="964" spans="11:15" x14ac:dyDescent="0.25">
      <c r="K964"/>
      <c r="L964"/>
      <c r="M964"/>
      <c r="N964"/>
      <c r="O964"/>
    </row>
    <row r="965" spans="11:15" x14ac:dyDescent="0.25">
      <c r="K965"/>
      <c r="L965"/>
      <c r="M965"/>
      <c r="N965"/>
      <c r="O965"/>
    </row>
    <row r="966" spans="11:15" x14ac:dyDescent="0.25">
      <c r="K966"/>
      <c r="L966"/>
      <c r="M966"/>
      <c r="N966"/>
      <c r="O966"/>
    </row>
    <row r="967" spans="11:15" x14ac:dyDescent="0.25">
      <c r="K967"/>
      <c r="L967"/>
      <c r="M967"/>
      <c r="N967"/>
      <c r="O967"/>
    </row>
    <row r="968" spans="11:15" x14ac:dyDescent="0.25">
      <c r="K968"/>
      <c r="L968"/>
      <c r="M968"/>
      <c r="N968"/>
      <c r="O968"/>
    </row>
    <row r="969" spans="11:15" x14ac:dyDescent="0.25">
      <c r="K969"/>
      <c r="L969"/>
      <c r="M969"/>
      <c r="N969"/>
      <c r="O969"/>
    </row>
    <row r="970" spans="11:15" x14ac:dyDescent="0.25">
      <c r="K970"/>
      <c r="L970"/>
      <c r="M970"/>
      <c r="N970"/>
      <c r="O970"/>
    </row>
    <row r="971" spans="11:15" x14ac:dyDescent="0.25">
      <c r="K971"/>
      <c r="L971"/>
      <c r="M971"/>
      <c r="N971"/>
      <c r="O971"/>
    </row>
    <row r="972" spans="11:15" x14ac:dyDescent="0.25">
      <c r="K972"/>
      <c r="L972"/>
      <c r="M972"/>
      <c r="N972"/>
      <c r="O972"/>
    </row>
    <row r="973" spans="11:15" x14ac:dyDescent="0.25">
      <c r="K973"/>
      <c r="L973"/>
      <c r="M973"/>
      <c r="N973"/>
      <c r="O973"/>
    </row>
    <row r="974" spans="11:15" x14ac:dyDescent="0.25">
      <c r="K974"/>
      <c r="L974"/>
      <c r="M974"/>
      <c r="N974"/>
      <c r="O974"/>
    </row>
    <row r="975" spans="11:15" x14ac:dyDescent="0.25">
      <c r="K975"/>
      <c r="L975"/>
      <c r="M975"/>
      <c r="N975"/>
      <c r="O975"/>
    </row>
    <row r="976" spans="11:15" x14ac:dyDescent="0.25">
      <c r="K976"/>
      <c r="L976"/>
      <c r="M976"/>
      <c r="N976"/>
      <c r="O976"/>
    </row>
    <row r="977" spans="11:15" x14ac:dyDescent="0.25">
      <c r="K977"/>
      <c r="L977"/>
      <c r="M977"/>
      <c r="N977"/>
      <c r="O977"/>
    </row>
    <row r="978" spans="11:15" x14ac:dyDescent="0.25">
      <c r="K978"/>
      <c r="L978"/>
      <c r="M978"/>
      <c r="N978"/>
      <c r="O978"/>
    </row>
    <row r="979" spans="11:15" x14ac:dyDescent="0.25">
      <c r="K979"/>
      <c r="L979"/>
      <c r="M979"/>
      <c r="N979"/>
      <c r="O979"/>
    </row>
    <row r="980" spans="11:15" x14ac:dyDescent="0.25">
      <c r="K980"/>
      <c r="L980"/>
      <c r="M980"/>
      <c r="N980"/>
      <c r="O980"/>
    </row>
    <row r="981" spans="11:15" x14ac:dyDescent="0.25">
      <c r="K981"/>
      <c r="L981"/>
      <c r="M981"/>
      <c r="N981"/>
      <c r="O981"/>
    </row>
    <row r="982" spans="11:15" x14ac:dyDescent="0.25">
      <c r="K982"/>
      <c r="L982"/>
      <c r="M982"/>
      <c r="N982"/>
      <c r="O982"/>
    </row>
    <row r="983" spans="11:15" x14ac:dyDescent="0.25">
      <c r="K983"/>
      <c r="L983"/>
      <c r="M983"/>
      <c r="N983"/>
      <c r="O983"/>
    </row>
    <row r="984" spans="11:15" x14ac:dyDescent="0.25">
      <c r="K984"/>
      <c r="L984"/>
      <c r="M984"/>
      <c r="N984"/>
      <c r="O984"/>
    </row>
    <row r="985" spans="11:15" x14ac:dyDescent="0.25">
      <c r="K985"/>
      <c r="L985"/>
      <c r="M985"/>
      <c r="N985"/>
      <c r="O985"/>
    </row>
    <row r="986" spans="11:15" x14ac:dyDescent="0.25">
      <c r="K986"/>
      <c r="L986"/>
      <c r="M986"/>
      <c r="N986"/>
      <c r="O986"/>
    </row>
    <row r="987" spans="11:15" x14ac:dyDescent="0.25">
      <c r="K987"/>
      <c r="L987"/>
      <c r="M987"/>
      <c r="N987"/>
      <c r="O987"/>
    </row>
    <row r="988" spans="11:15" x14ac:dyDescent="0.25">
      <c r="K988"/>
      <c r="L988"/>
      <c r="M988"/>
      <c r="N988"/>
      <c r="O988"/>
    </row>
    <row r="989" spans="11:15" x14ac:dyDescent="0.25">
      <c r="K989"/>
      <c r="L989"/>
      <c r="M989"/>
      <c r="N989"/>
      <c r="O989"/>
    </row>
    <row r="990" spans="11:15" x14ac:dyDescent="0.25">
      <c r="K990"/>
      <c r="L990"/>
      <c r="M990"/>
      <c r="N990"/>
      <c r="O990"/>
    </row>
    <row r="991" spans="11:15" x14ac:dyDescent="0.25">
      <c r="K991"/>
      <c r="L991"/>
      <c r="M991"/>
      <c r="N991"/>
      <c r="O991"/>
    </row>
    <row r="992" spans="11:15" x14ac:dyDescent="0.25">
      <c r="K992"/>
      <c r="L992"/>
      <c r="M992"/>
      <c r="N992"/>
      <c r="O992"/>
    </row>
    <row r="993" spans="11:15" x14ac:dyDescent="0.25">
      <c r="K993"/>
      <c r="L993"/>
      <c r="M993"/>
      <c r="N993"/>
      <c r="O993"/>
    </row>
    <row r="994" spans="11:15" x14ac:dyDescent="0.25">
      <c r="K994"/>
      <c r="L994"/>
      <c r="M994"/>
      <c r="N994"/>
      <c r="O994"/>
    </row>
    <row r="995" spans="11:15" x14ac:dyDescent="0.25">
      <c r="K995"/>
      <c r="L995"/>
      <c r="M995"/>
      <c r="N995"/>
      <c r="O995"/>
    </row>
    <row r="996" spans="11:15" x14ac:dyDescent="0.25">
      <c r="K996"/>
      <c r="L996"/>
      <c r="M996"/>
      <c r="N996"/>
      <c r="O996"/>
    </row>
    <row r="997" spans="11:15" x14ac:dyDescent="0.25">
      <c r="K997"/>
      <c r="L997"/>
      <c r="M997"/>
      <c r="N997"/>
      <c r="O997"/>
    </row>
    <row r="998" spans="11:15" x14ac:dyDescent="0.25">
      <c r="K998"/>
      <c r="L998"/>
      <c r="M998"/>
      <c r="N998"/>
      <c r="O998"/>
    </row>
    <row r="999" spans="11:15" x14ac:dyDescent="0.25">
      <c r="K999"/>
      <c r="L999"/>
      <c r="M999"/>
      <c r="N999"/>
      <c r="O999"/>
    </row>
    <row r="1000" spans="11:15" x14ac:dyDescent="0.25">
      <c r="K1000"/>
      <c r="L1000"/>
      <c r="M1000"/>
      <c r="N1000"/>
      <c r="O1000"/>
    </row>
    <row r="1001" spans="11:15" x14ac:dyDescent="0.25">
      <c r="K1001"/>
      <c r="L1001"/>
      <c r="M1001"/>
      <c r="N1001"/>
      <c r="O1001"/>
    </row>
    <row r="1002" spans="11:15" x14ac:dyDescent="0.25">
      <c r="K1002"/>
      <c r="L1002"/>
      <c r="M1002"/>
      <c r="N1002"/>
      <c r="O1002"/>
    </row>
    <row r="1003" spans="11:15" x14ac:dyDescent="0.25">
      <c r="K1003"/>
      <c r="L1003"/>
      <c r="M1003"/>
      <c r="N1003"/>
      <c r="O1003"/>
    </row>
    <row r="1004" spans="11:15" x14ac:dyDescent="0.25">
      <c r="K1004"/>
      <c r="L1004"/>
      <c r="M1004"/>
      <c r="N1004"/>
      <c r="O1004"/>
    </row>
    <row r="1005" spans="11:15" x14ac:dyDescent="0.25">
      <c r="K1005"/>
      <c r="L1005"/>
      <c r="M1005"/>
      <c r="N1005"/>
      <c r="O1005"/>
    </row>
    <row r="1006" spans="11:15" x14ac:dyDescent="0.25">
      <c r="K1006"/>
      <c r="L1006"/>
      <c r="M1006"/>
      <c r="N1006"/>
      <c r="O1006"/>
    </row>
    <row r="1007" spans="11:15" x14ac:dyDescent="0.25">
      <c r="K1007"/>
      <c r="L1007"/>
      <c r="M1007"/>
      <c r="N1007"/>
      <c r="O1007"/>
    </row>
    <row r="1008" spans="11:15" x14ac:dyDescent="0.25">
      <c r="K1008"/>
      <c r="L1008"/>
      <c r="M1008"/>
      <c r="N1008"/>
      <c r="O1008"/>
    </row>
    <row r="1009" spans="11:15" x14ac:dyDescent="0.25">
      <c r="K1009"/>
      <c r="L1009"/>
      <c r="M1009"/>
      <c r="N1009"/>
      <c r="O1009"/>
    </row>
    <row r="1010" spans="11:15" x14ac:dyDescent="0.25">
      <c r="K1010"/>
      <c r="L1010"/>
      <c r="M1010"/>
      <c r="N1010"/>
      <c r="O1010"/>
    </row>
    <row r="1011" spans="11:15" x14ac:dyDescent="0.25">
      <c r="K1011"/>
      <c r="L1011"/>
      <c r="M1011"/>
      <c r="N1011"/>
      <c r="O1011"/>
    </row>
    <row r="1012" spans="11:15" x14ac:dyDescent="0.25">
      <c r="K1012"/>
      <c r="L1012"/>
      <c r="M1012"/>
      <c r="N1012"/>
      <c r="O1012"/>
    </row>
    <row r="1013" spans="11:15" x14ac:dyDescent="0.25">
      <c r="K1013"/>
      <c r="L1013"/>
      <c r="M1013"/>
      <c r="N1013"/>
      <c r="O1013"/>
    </row>
    <row r="1014" spans="11:15" x14ac:dyDescent="0.25">
      <c r="K1014"/>
      <c r="L1014"/>
      <c r="M1014"/>
      <c r="N1014"/>
      <c r="O1014"/>
    </row>
    <row r="1015" spans="11:15" x14ac:dyDescent="0.25">
      <c r="K1015"/>
      <c r="L1015"/>
      <c r="M1015"/>
      <c r="N1015"/>
      <c r="O1015"/>
    </row>
    <row r="1016" spans="11:15" x14ac:dyDescent="0.25">
      <c r="K1016"/>
      <c r="L1016"/>
      <c r="M1016"/>
      <c r="N1016"/>
      <c r="O1016"/>
    </row>
    <row r="1017" spans="11:15" x14ac:dyDescent="0.25">
      <c r="K1017"/>
      <c r="L1017"/>
      <c r="M1017"/>
      <c r="N1017"/>
      <c r="O1017"/>
    </row>
    <row r="1018" spans="11:15" x14ac:dyDescent="0.25">
      <c r="K1018"/>
      <c r="L1018"/>
      <c r="M1018"/>
      <c r="N1018"/>
      <c r="O1018"/>
    </row>
    <row r="1019" spans="11:15" x14ac:dyDescent="0.25">
      <c r="K1019"/>
      <c r="L1019"/>
      <c r="M1019"/>
      <c r="N1019"/>
      <c r="O1019"/>
    </row>
    <row r="1020" spans="11:15" x14ac:dyDescent="0.25">
      <c r="K1020"/>
      <c r="L1020"/>
      <c r="M1020"/>
      <c r="N1020"/>
      <c r="O1020"/>
    </row>
    <row r="1021" spans="11:15" x14ac:dyDescent="0.25">
      <c r="K1021"/>
      <c r="L1021"/>
      <c r="M1021"/>
      <c r="N1021"/>
      <c r="O1021"/>
    </row>
    <row r="1022" spans="11:15" x14ac:dyDescent="0.25">
      <c r="K1022"/>
      <c r="L1022"/>
      <c r="M1022"/>
      <c r="N1022"/>
      <c r="O1022"/>
    </row>
    <row r="1023" spans="11:15" x14ac:dyDescent="0.25">
      <c r="K1023"/>
      <c r="L1023"/>
      <c r="M1023"/>
      <c r="N1023"/>
      <c r="O1023"/>
    </row>
    <row r="1024" spans="11:15" x14ac:dyDescent="0.25">
      <c r="K1024"/>
      <c r="L1024"/>
      <c r="M1024"/>
      <c r="N1024"/>
      <c r="O1024"/>
    </row>
    <row r="1025" spans="11:15" x14ac:dyDescent="0.25">
      <c r="K1025"/>
      <c r="L1025"/>
      <c r="M1025"/>
      <c r="N1025"/>
      <c r="O1025"/>
    </row>
    <row r="1026" spans="11:15" x14ac:dyDescent="0.25">
      <c r="K1026"/>
      <c r="L1026"/>
      <c r="M1026"/>
      <c r="N1026"/>
      <c r="O1026"/>
    </row>
    <row r="1027" spans="11:15" x14ac:dyDescent="0.25">
      <c r="K1027"/>
      <c r="L1027"/>
      <c r="M1027"/>
      <c r="N1027"/>
      <c r="O1027"/>
    </row>
    <row r="1028" spans="11:15" x14ac:dyDescent="0.25">
      <c r="K1028"/>
      <c r="L1028"/>
      <c r="M1028"/>
      <c r="N1028"/>
      <c r="O1028"/>
    </row>
    <row r="1029" spans="11:15" x14ac:dyDescent="0.25">
      <c r="K1029"/>
      <c r="L1029"/>
      <c r="M1029"/>
      <c r="N1029"/>
      <c r="O1029"/>
    </row>
    <row r="1030" spans="11:15" x14ac:dyDescent="0.25">
      <c r="K1030"/>
      <c r="L1030"/>
      <c r="M1030"/>
      <c r="N1030"/>
      <c r="O1030"/>
    </row>
    <row r="1031" spans="11:15" x14ac:dyDescent="0.25">
      <c r="K1031"/>
      <c r="L1031"/>
      <c r="M1031"/>
      <c r="N1031"/>
      <c r="O1031"/>
    </row>
    <row r="1032" spans="11:15" x14ac:dyDescent="0.25">
      <c r="K1032"/>
      <c r="L1032"/>
      <c r="M1032"/>
      <c r="N1032"/>
      <c r="O1032"/>
    </row>
    <row r="1033" spans="11:15" x14ac:dyDescent="0.25">
      <c r="K1033"/>
      <c r="L1033"/>
      <c r="M1033"/>
      <c r="N1033"/>
      <c r="O1033"/>
    </row>
    <row r="1034" spans="11:15" x14ac:dyDescent="0.25">
      <c r="K1034"/>
      <c r="L1034"/>
      <c r="M1034"/>
      <c r="N1034"/>
      <c r="O1034"/>
    </row>
    <row r="1035" spans="11:15" x14ac:dyDescent="0.25">
      <c r="K1035"/>
      <c r="L1035"/>
      <c r="M1035"/>
      <c r="N1035"/>
      <c r="O1035"/>
    </row>
    <row r="1036" spans="11:15" x14ac:dyDescent="0.25">
      <c r="K1036"/>
      <c r="L1036"/>
      <c r="M1036"/>
      <c r="N1036"/>
      <c r="O1036"/>
    </row>
    <row r="1037" spans="11:15" x14ac:dyDescent="0.25">
      <c r="K1037"/>
      <c r="L1037"/>
      <c r="M1037"/>
      <c r="N1037"/>
      <c r="O1037"/>
    </row>
    <row r="1038" spans="11:15" x14ac:dyDescent="0.25">
      <c r="K1038"/>
      <c r="L1038"/>
      <c r="M1038"/>
      <c r="N1038"/>
      <c r="O1038"/>
    </row>
    <row r="1039" spans="11:15" x14ac:dyDescent="0.25">
      <c r="K1039"/>
      <c r="L1039"/>
      <c r="M1039"/>
      <c r="N1039"/>
      <c r="O1039"/>
    </row>
    <row r="1040" spans="11:15" x14ac:dyDescent="0.25">
      <c r="K1040"/>
      <c r="L1040"/>
      <c r="M1040"/>
      <c r="N1040"/>
      <c r="O1040"/>
    </row>
    <row r="1041" spans="11:15" x14ac:dyDescent="0.25">
      <c r="K1041"/>
      <c r="L1041"/>
      <c r="M1041"/>
      <c r="N1041"/>
      <c r="O1041"/>
    </row>
    <row r="1042" spans="11:15" x14ac:dyDescent="0.25">
      <c r="K1042"/>
      <c r="L1042"/>
      <c r="M1042"/>
      <c r="N1042"/>
      <c r="O1042"/>
    </row>
    <row r="1043" spans="11:15" x14ac:dyDescent="0.25">
      <c r="K1043"/>
      <c r="L1043"/>
      <c r="M1043"/>
      <c r="N1043"/>
      <c r="O1043"/>
    </row>
    <row r="1044" spans="11:15" x14ac:dyDescent="0.25">
      <c r="K1044"/>
      <c r="L1044"/>
      <c r="M1044"/>
      <c r="N1044"/>
      <c r="O1044"/>
    </row>
    <row r="1045" spans="11:15" x14ac:dyDescent="0.25">
      <c r="K1045"/>
      <c r="L1045"/>
      <c r="M1045"/>
      <c r="N1045"/>
      <c r="O1045"/>
    </row>
    <row r="1046" spans="11:15" x14ac:dyDescent="0.25">
      <c r="K1046"/>
      <c r="L1046"/>
      <c r="M1046"/>
      <c r="N1046"/>
      <c r="O1046"/>
    </row>
    <row r="1047" spans="11:15" x14ac:dyDescent="0.25">
      <c r="K1047"/>
      <c r="L1047"/>
      <c r="M1047"/>
      <c r="N1047"/>
      <c r="O1047"/>
    </row>
    <row r="1048" spans="11:15" x14ac:dyDescent="0.25">
      <c r="K1048"/>
      <c r="L1048"/>
      <c r="M1048"/>
      <c r="N1048"/>
      <c r="O1048"/>
    </row>
    <row r="1049" spans="11:15" x14ac:dyDescent="0.25">
      <c r="K1049"/>
      <c r="L1049"/>
      <c r="M1049"/>
      <c r="N1049"/>
      <c r="O1049"/>
    </row>
    <row r="1050" spans="11:15" x14ac:dyDescent="0.25">
      <c r="K1050"/>
      <c r="L1050"/>
      <c r="M1050"/>
      <c r="N1050"/>
      <c r="O1050"/>
    </row>
    <row r="1051" spans="11:15" x14ac:dyDescent="0.25">
      <c r="K1051"/>
      <c r="L1051"/>
      <c r="M1051"/>
      <c r="N1051"/>
      <c r="O1051"/>
    </row>
    <row r="1052" spans="11:15" x14ac:dyDescent="0.25">
      <c r="K1052"/>
      <c r="L1052"/>
      <c r="M1052"/>
      <c r="N1052"/>
      <c r="O1052"/>
    </row>
    <row r="1053" spans="11:15" x14ac:dyDescent="0.25">
      <c r="K1053"/>
      <c r="L1053"/>
      <c r="M1053"/>
      <c r="N1053"/>
      <c r="O1053"/>
    </row>
    <row r="1054" spans="11:15" x14ac:dyDescent="0.25">
      <c r="K1054"/>
      <c r="L1054"/>
      <c r="M1054"/>
      <c r="N1054"/>
      <c r="O1054"/>
    </row>
    <row r="1055" spans="11:15" x14ac:dyDescent="0.25">
      <c r="K1055"/>
      <c r="L1055"/>
      <c r="M1055"/>
      <c r="N1055"/>
      <c r="O1055"/>
    </row>
    <row r="1056" spans="11:15" x14ac:dyDescent="0.25">
      <c r="K1056"/>
      <c r="L1056"/>
      <c r="M1056"/>
      <c r="N1056"/>
      <c r="O1056"/>
    </row>
    <row r="1057" spans="11:15" x14ac:dyDescent="0.25">
      <c r="K1057"/>
      <c r="L1057"/>
      <c r="M1057"/>
      <c r="N1057"/>
      <c r="O1057"/>
    </row>
    <row r="1058" spans="11:15" x14ac:dyDescent="0.25">
      <c r="K1058"/>
      <c r="L1058"/>
      <c r="M1058"/>
      <c r="N1058"/>
      <c r="O1058"/>
    </row>
    <row r="1059" spans="11:15" x14ac:dyDescent="0.25">
      <c r="K1059"/>
      <c r="L1059"/>
      <c r="M1059"/>
      <c r="N1059"/>
      <c r="O1059"/>
    </row>
    <row r="1060" spans="11:15" x14ac:dyDescent="0.25">
      <c r="K1060"/>
      <c r="L1060"/>
      <c r="M1060"/>
      <c r="N1060"/>
      <c r="O1060"/>
    </row>
    <row r="1061" spans="11:15" x14ac:dyDescent="0.25">
      <c r="K1061"/>
      <c r="L1061"/>
      <c r="M1061"/>
      <c r="N1061"/>
      <c r="O1061"/>
    </row>
    <row r="1062" spans="11:15" x14ac:dyDescent="0.25">
      <c r="K1062"/>
      <c r="L1062"/>
      <c r="M1062"/>
      <c r="N1062"/>
      <c r="O1062"/>
    </row>
    <row r="1063" spans="11:15" x14ac:dyDescent="0.25">
      <c r="K1063"/>
      <c r="L1063"/>
      <c r="M1063"/>
      <c r="N1063"/>
      <c r="O1063"/>
    </row>
  </sheetData>
  <sheetProtection sheet="1" objects="1" scenarios="1"/>
  <autoFilter ref="G25:G115" xr:uid="{00000000-0009-0000-0000-000007000000}"/>
  <pageMargins left="0.70866141732283472" right="0.51181102362204722" top="0.55118110236220474" bottom="0.55118110236220474" header="0.31496062992125984" footer="0.31496062992125984"/>
  <pageSetup paperSize="9" orientation="portrait" r:id="rId1"/>
  <colBreaks count="2" manualBreakCount="2">
    <brk id="9" max="1048575" man="1"/>
    <brk id="15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009" r:id="rId4" name="Drop Down 1">
              <controlPr defaultSize="0" print="0" autoLine="0" autoPict="0">
                <anchor moveWithCells="1">
                  <from>
                    <xdr:col>6</xdr:col>
                    <xdr:colOff>171450</xdr:colOff>
                    <xdr:row>13</xdr:row>
                    <xdr:rowOff>180975</xdr:rowOff>
                  </from>
                  <to>
                    <xdr:col>9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10" r:id="rId5" name="Check Box 2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13</xdr:row>
                    <xdr:rowOff>161925</xdr:rowOff>
                  </from>
                  <to>
                    <xdr:col>5</xdr:col>
                    <xdr:colOff>981075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11" r:id="rId6" name="Check Box 3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14</xdr:row>
                    <xdr:rowOff>161925</xdr:rowOff>
                  </from>
                  <to>
                    <xdr:col>5</xdr:col>
                    <xdr:colOff>981075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12" r:id="rId7" name="Drop Down 4">
              <controlPr defaultSize="0" print="0" autoLine="0" autoPict="0">
                <anchor moveWithCells="1">
                  <from>
                    <xdr:col>6</xdr:col>
                    <xdr:colOff>171450</xdr:colOff>
                    <xdr:row>15</xdr:row>
                    <xdr:rowOff>0</xdr:rowOff>
                  </from>
                  <to>
                    <xdr:col>9</xdr:col>
                    <xdr:colOff>9525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13" r:id="rId8" name="Check Box 5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15</xdr:row>
                    <xdr:rowOff>161925</xdr:rowOff>
                  </from>
                  <to>
                    <xdr:col>5</xdr:col>
                    <xdr:colOff>981075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14" r:id="rId9" name="Check Box 6">
              <controlPr defaultSize="0" print="0" autoFill="0" autoLine="0" autoPict="0">
                <anchor moveWithCells="1">
                  <from>
                    <xdr:col>6</xdr:col>
                    <xdr:colOff>161925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50"/>
  <dimension ref="A1:P1063"/>
  <sheetViews>
    <sheetView showGridLines="0" zoomScale="85" zoomScaleNormal="85" workbookViewId="0">
      <selection activeCell="C4" sqref="C4"/>
    </sheetView>
  </sheetViews>
  <sheetFormatPr defaultRowHeight="15" x14ac:dyDescent="0.25"/>
  <cols>
    <col min="1" max="1" width="2.7109375" style="1" customWidth="1"/>
    <col min="2" max="2" width="5.28515625" style="1" customWidth="1"/>
    <col min="3" max="3" width="9" style="1" customWidth="1"/>
    <col min="4" max="5" width="14.28515625" style="1" customWidth="1"/>
    <col min="6" max="6" width="14.85546875" style="1" customWidth="1"/>
    <col min="7" max="7" width="2.7109375" style="1" customWidth="1"/>
    <col min="8" max="8" width="9" style="1" customWidth="1"/>
    <col min="9" max="9" width="12.5703125" style="1" customWidth="1"/>
    <col min="10" max="10" width="2.7109375" style="1" customWidth="1"/>
    <col min="11" max="11" width="9.42578125" style="1" bestFit="1" customWidth="1"/>
    <col min="12" max="12" width="9" style="1" customWidth="1"/>
    <col min="13" max="13" width="14.28515625" style="1" customWidth="1"/>
    <col min="14" max="14" width="37.140625" style="1" bestFit="1" customWidth="1"/>
    <col min="15" max="15" width="8.28515625" style="1" bestFit="1" customWidth="1"/>
    <col min="16" max="16" width="2.7109375" style="1" customWidth="1"/>
    <col min="17" max="17" width="87.140625" style="1" customWidth="1"/>
    <col min="18" max="16384" width="9.140625" style="1"/>
  </cols>
  <sheetData>
    <row r="1" spans="2:16" x14ac:dyDescent="0.25">
      <c r="B1" s="2" t="s">
        <v>3</v>
      </c>
      <c r="H1" s="38" t="s">
        <v>19</v>
      </c>
      <c r="I1" s="15"/>
      <c r="K1" s="12" t="s">
        <v>4</v>
      </c>
      <c r="L1" s="13"/>
      <c r="M1" s="12"/>
      <c r="N1" s="13"/>
      <c r="O1" s="14">
        <f>O3/(L3+O3)</f>
        <v>9.8630382641052661E-4</v>
      </c>
    </row>
    <row r="2" spans="2:16" ht="33" customHeight="1" x14ac:dyDescent="0.25">
      <c r="B2" s="3" t="str">
        <f>B24</f>
        <v>№</v>
      </c>
      <c r="C2" s="3" t="s">
        <v>1</v>
      </c>
      <c r="D2" s="3" t="s">
        <v>0</v>
      </c>
      <c r="E2" s="3" t="s">
        <v>10</v>
      </c>
      <c r="F2" s="4" t="s">
        <v>12</v>
      </c>
      <c r="H2" s="3" t="s">
        <v>1</v>
      </c>
      <c r="I2" s="3" t="s">
        <v>0</v>
      </c>
      <c r="K2" s="5" t="s">
        <v>1</v>
      </c>
      <c r="L2" s="5" t="s">
        <v>6</v>
      </c>
      <c r="M2" s="6" t="s">
        <v>11</v>
      </c>
      <c r="N2" s="5" t="s">
        <v>7</v>
      </c>
      <c r="O2" s="6" t="str">
        <f>"Отходы
"&amp;IF((L3+O3)&gt;0,TEXT(O3/(L3+O3),"0,00%"),"")</f>
        <v>Отходы
000%</v>
      </c>
    </row>
    <row r="3" spans="2:16" x14ac:dyDescent="0.25">
      <c r="B3" s="27"/>
      <c r="C3" s="27">
        <f>IF(COUNT(C4:C13)=COUNT(D4:D13),SUMPRODUCT(C4:C13,D4:D13),)</f>
        <v>0</v>
      </c>
      <c r="D3" s="23" t="str">
        <f>IF(COUNT(C4:C13)=COUNT(D4:D13),SUM(D4:D13),"много")</f>
        <v>много</v>
      </c>
      <c r="E3" s="23">
        <f>SUM(E4:E13)</f>
        <v>30</v>
      </c>
      <c r="F3" s="23" t="str">
        <f>IF(D3="много","много",D3-E3)</f>
        <v>много</v>
      </c>
      <c r="H3" s="27">
        <f>SUMPRODUCT(H4:H13,I4:I13)</f>
        <v>1556</v>
      </c>
      <c r="I3" s="23" t="str">
        <f>IF(COUNT(H4:H13)=COUNT(I4:I13),SUM(I4:I13),"много")</f>
        <v>много</v>
      </c>
      <c r="K3" s="31">
        <f>SUMPRODUCT(K4:K1060,$M4:$M1060)</f>
        <v>180000</v>
      </c>
      <c r="L3" s="31">
        <f>SUMPRODUCT(L4:L1060,$M4:$M1060)</f>
        <v>178268</v>
      </c>
      <c r="M3" s="32">
        <f>SUM(M4:M1060)</f>
        <v>30</v>
      </c>
      <c r="N3" s="33"/>
      <c r="O3" s="31">
        <f t="array" ref="O3">SUM(IF((O4:O1060&lt;D17)+(D17=0),$M4:$M1060*O4:O1060))</f>
        <v>176</v>
      </c>
    </row>
    <row r="4" spans="2:16" x14ac:dyDescent="0.25">
      <c r="B4" s="36">
        <f>IF(N(C4)=0,"",1)</f>
        <v>1</v>
      </c>
      <c r="C4" s="48">
        <v>6000</v>
      </c>
      <c r="D4" s="9"/>
      <c r="E4" s="28">
        <f t="shared" ref="E4:E13" si="0">MIN(SUMIF(K$4:K$1060,C4,M$4:M$1060),D4)</f>
        <v>30</v>
      </c>
      <c r="F4" s="28">
        <f>IF(D4,D4-E4,)</f>
        <v>0</v>
      </c>
      <c r="H4" s="51">
        <v>6000</v>
      </c>
      <c r="I4" s="41"/>
      <c r="K4" s="66">
        <v>6000</v>
      </c>
      <c r="L4" s="65">
        <v>6000</v>
      </c>
      <c r="M4" s="72">
        <v>1</v>
      </c>
      <c r="N4" s="69" t="s">
        <v>222</v>
      </c>
      <c r="O4" s="65">
        <f t="shared" ref="O4:O33" si="1">K4-L4</f>
        <v>0</v>
      </c>
    </row>
    <row r="5" spans="2:16" x14ac:dyDescent="0.25">
      <c r="B5" s="34" t="str">
        <f>IF(N(C5)=0,"",IF(ISNUMBER(MATCH(C5,C$4:C4,)),INDEX(B$4:B4,MATCH(C5,C$4:C4,)),MAX(B$4:B4)+1))</f>
        <v/>
      </c>
      <c r="C5" s="49"/>
      <c r="D5" s="10"/>
      <c r="E5" s="29">
        <f t="shared" si="0"/>
        <v>0</v>
      </c>
      <c r="F5" s="29">
        <f>IF(D5,D5-E5,)</f>
        <v>0</v>
      </c>
      <c r="H5" s="52">
        <v>1556</v>
      </c>
      <c r="I5" s="42">
        <v>1</v>
      </c>
      <c r="K5" s="67">
        <v>6000</v>
      </c>
      <c r="L5" s="45">
        <v>6000</v>
      </c>
      <c r="M5" s="73">
        <v>1</v>
      </c>
      <c r="N5" s="70" t="s">
        <v>219</v>
      </c>
      <c r="O5" s="45">
        <f t="shared" si="1"/>
        <v>0</v>
      </c>
    </row>
    <row r="6" spans="2:16" x14ac:dyDescent="0.25">
      <c r="B6" s="34" t="str">
        <f>IF(N(C6)=0,"",IF(ISNUMBER(MATCH(C6,C$4:C5,)),INDEX(B$4:B5,MATCH(C6,C$4:C5,)),MAX(B$4:B5)+1))</f>
        <v/>
      </c>
      <c r="C6" s="49"/>
      <c r="D6" s="10"/>
      <c r="E6" s="29">
        <f t="shared" si="0"/>
        <v>0</v>
      </c>
      <c r="F6" s="29">
        <f t="shared" ref="F6:F11" si="2">IF(D6,D6-E6,)</f>
        <v>0</v>
      </c>
      <c r="H6" s="52"/>
      <c r="I6" s="42"/>
      <c r="K6" s="67">
        <v>6000</v>
      </c>
      <c r="L6" s="45">
        <v>6000</v>
      </c>
      <c r="M6" s="73">
        <v>1</v>
      </c>
      <c r="N6" s="70" t="s">
        <v>223</v>
      </c>
      <c r="O6" s="45">
        <f t="shared" si="1"/>
        <v>0</v>
      </c>
    </row>
    <row r="7" spans="2:16" x14ac:dyDescent="0.25">
      <c r="B7" s="34" t="str">
        <f>IF(N(C7)=0,"",IF(ISNUMBER(MATCH(C7,C$4:C6,)),INDEX(B$4:B6,MATCH(C7,C$4:C6,)),MAX(B$4:B6)+1))</f>
        <v/>
      </c>
      <c r="C7" s="49"/>
      <c r="D7" s="10"/>
      <c r="E7" s="29">
        <f t="shared" si="0"/>
        <v>0</v>
      </c>
      <c r="F7" s="29">
        <f t="shared" si="2"/>
        <v>0</v>
      </c>
      <c r="H7" s="52"/>
      <c r="I7" s="42"/>
      <c r="K7" s="67">
        <v>6000</v>
      </c>
      <c r="L7" s="45">
        <v>6000</v>
      </c>
      <c r="M7" s="73">
        <v>1</v>
      </c>
      <c r="N7" s="70" t="s">
        <v>224</v>
      </c>
      <c r="O7" s="45">
        <f t="shared" si="1"/>
        <v>0</v>
      </c>
    </row>
    <row r="8" spans="2:16" x14ac:dyDescent="0.25">
      <c r="B8" s="34" t="str">
        <f>IF(N(C8)=0,"",IF(ISNUMBER(MATCH(C8,C$4:C7,)),INDEX(B$4:B7,MATCH(C8,C$4:C7,)),MAX(B$4:B7)+1))</f>
        <v/>
      </c>
      <c r="C8" s="49"/>
      <c r="D8" s="10"/>
      <c r="E8" s="29">
        <f t="shared" si="0"/>
        <v>0</v>
      </c>
      <c r="F8" s="29">
        <f t="shared" si="2"/>
        <v>0</v>
      </c>
      <c r="H8" s="52"/>
      <c r="I8" s="42"/>
      <c r="K8" s="67">
        <v>6000</v>
      </c>
      <c r="L8" s="45">
        <v>6000</v>
      </c>
      <c r="M8" s="73">
        <v>1</v>
      </c>
      <c r="N8" s="70" t="s">
        <v>225</v>
      </c>
      <c r="O8" s="45">
        <f t="shared" si="1"/>
        <v>0</v>
      </c>
    </row>
    <row r="9" spans="2:16" x14ac:dyDescent="0.25">
      <c r="B9" s="34" t="str">
        <f>IF(N(C9)=0,"",IF(ISNUMBER(MATCH(C9,C$4:C8,)),INDEX(B$4:B8,MATCH(C9,C$4:C8,)),MAX(B$4:B8)+1))</f>
        <v/>
      </c>
      <c r="C9" s="49"/>
      <c r="D9" s="10"/>
      <c r="E9" s="29">
        <f t="shared" si="0"/>
        <v>0</v>
      </c>
      <c r="F9" s="29">
        <f t="shared" si="2"/>
        <v>0</v>
      </c>
      <c r="H9" s="52"/>
      <c r="I9" s="42"/>
      <c r="K9" s="67">
        <v>6000</v>
      </c>
      <c r="L9" s="45">
        <v>6000</v>
      </c>
      <c r="M9" s="73">
        <v>1</v>
      </c>
      <c r="N9" s="70" t="s">
        <v>226</v>
      </c>
      <c r="O9" s="45">
        <f t="shared" si="1"/>
        <v>0</v>
      </c>
    </row>
    <row r="10" spans="2:16" x14ac:dyDescent="0.25">
      <c r="B10" s="34" t="str">
        <f>IF(N(C10)=0,"",IF(ISNUMBER(MATCH(C10,C$4:C9,)),INDEX(B$4:B9,MATCH(C10,C$4:C9,)),MAX(B$4:B9)+1))</f>
        <v/>
      </c>
      <c r="C10" s="49"/>
      <c r="D10" s="10"/>
      <c r="E10" s="29">
        <f t="shared" si="0"/>
        <v>0</v>
      </c>
      <c r="F10" s="29">
        <f t="shared" si="2"/>
        <v>0</v>
      </c>
      <c r="H10" s="52"/>
      <c r="I10" s="42"/>
      <c r="K10" s="67">
        <v>6000</v>
      </c>
      <c r="L10" s="45">
        <v>6000</v>
      </c>
      <c r="M10" s="73">
        <v>1</v>
      </c>
      <c r="N10" s="70" t="s">
        <v>227</v>
      </c>
      <c r="O10" s="45">
        <f t="shared" si="1"/>
        <v>0</v>
      </c>
    </row>
    <row r="11" spans="2:16" x14ac:dyDescent="0.25">
      <c r="B11" s="34" t="str">
        <f>IF(N(C11)=0,"",IF(ISNUMBER(MATCH(C11,C$4:C10,)),INDEX(B$4:B10,MATCH(C11,C$4:C10,)),MAX(B$4:B10)+1))</f>
        <v/>
      </c>
      <c r="C11" s="49"/>
      <c r="D11" s="10"/>
      <c r="E11" s="29">
        <f t="shared" si="0"/>
        <v>0</v>
      </c>
      <c r="F11" s="29">
        <f t="shared" si="2"/>
        <v>0</v>
      </c>
      <c r="H11" s="52"/>
      <c r="I11" s="42"/>
      <c r="K11" s="67">
        <v>6000</v>
      </c>
      <c r="L11" s="45">
        <v>6000</v>
      </c>
      <c r="M11" s="73">
        <v>1</v>
      </c>
      <c r="N11" s="70" t="s">
        <v>228</v>
      </c>
      <c r="O11" s="45">
        <f t="shared" si="1"/>
        <v>0</v>
      </c>
    </row>
    <row r="12" spans="2:16" x14ac:dyDescent="0.25">
      <c r="B12" s="34" t="str">
        <f>IF(N(C12)=0,"",IF(ISNUMBER(MATCH(C12,C$4:C11,)),INDEX(B$4:B11,MATCH(C12,C$4:C11,)),MAX(B$4:B11)+1))</f>
        <v/>
      </c>
      <c r="C12" s="49"/>
      <c r="D12" s="10"/>
      <c r="E12" s="29">
        <f t="shared" si="0"/>
        <v>0</v>
      </c>
      <c r="F12" s="29">
        <f>IF(D12,D12-E12,)</f>
        <v>0</v>
      </c>
      <c r="H12" s="52"/>
      <c r="I12" s="42"/>
      <c r="K12" s="67">
        <v>6000</v>
      </c>
      <c r="L12" s="45">
        <v>5994</v>
      </c>
      <c r="M12" s="73">
        <v>1</v>
      </c>
      <c r="N12" s="70" t="s">
        <v>216</v>
      </c>
      <c r="O12" s="45">
        <f t="shared" si="1"/>
        <v>6</v>
      </c>
    </row>
    <row r="13" spans="2:16" x14ac:dyDescent="0.25">
      <c r="B13" s="35" t="str">
        <f>IF(N(C13)=0,"",IF(ISNUMBER(MATCH(C13,C$4:C12,)),INDEX(B$4:B12,MATCH(C13,C$4:C12,)),MAX(B$4:B12)+1))</f>
        <v/>
      </c>
      <c r="C13" s="50"/>
      <c r="D13" s="11"/>
      <c r="E13" s="30">
        <f t="shared" si="0"/>
        <v>0</v>
      </c>
      <c r="F13" s="30">
        <f>IF(D13,D13-E13,)</f>
        <v>0</v>
      </c>
      <c r="H13" s="53"/>
      <c r="I13" s="43"/>
      <c r="K13" s="67">
        <v>6000</v>
      </c>
      <c r="L13" s="45">
        <v>5994</v>
      </c>
      <c r="M13" s="73">
        <v>1</v>
      </c>
      <c r="N13" s="70" t="s">
        <v>229</v>
      </c>
      <c r="O13" s="45">
        <f t="shared" si="1"/>
        <v>6</v>
      </c>
    </row>
    <row r="14" spans="2:16" x14ac:dyDescent="0.25">
      <c r="J14" s="15"/>
      <c r="K14" s="67">
        <v>6000</v>
      </c>
      <c r="L14" s="45">
        <v>5994</v>
      </c>
      <c r="M14" s="73">
        <v>1</v>
      </c>
      <c r="N14" s="70" t="s">
        <v>220</v>
      </c>
      <c r="O14" s="45">
        <f t="shared" si="1"/>
        <v>6</v>
      </c>
      <c r="P14" s="15"/>
    </row>
    <row r="15" spans="2:16" x14ac:dyDescent="0.25">
      <c r="B15" s="2" t="s">
        <v>13</v>
      </c>
      <c r="D15" s="37">
        <v>0</v>
      </c>
      <c r="E15" s="21" t="b">
        <v>1</v>
      </c>
      <c r="G15" s="17" t="s">
        <v>40</v>
      </c>
      <c r="H15" s="21">
        <v>6</v>
      </c>
      <c r="I15" s="17"/>
      <c r="J15" s="15"/>
      <c r="K15" s="67">
        <v>6000</v>
      </c>
      <c r="L15" s="45">
        <v>5994</v>
      </c>
      <c r="M15" s="73">
        <v>1</v>
      </c>
      <c r="N15" s="70" t="s">
        <v>230</v>
      </c>
      <c r="O15" s="45">
        <f t="shared" si="1"/>
        <v>6</v>
      </c>
      <c r="P15" s="15"/>
    </row>
    <row r="16" spans="2:16" x14ac:dyDescent="0.25">
      <c r="B16" s="38" t="s">
        <v>17</v>
      </c>
      <c r="C16" s="15"/>
      <c r="D16" s="39">
        <v>0</v>
      </c>
      <c r="E16" s="22" t="b">
        <v>1</v>
      </c>
      <c r="G16" s="17" t="s">
        <v>41</v>
      </c>
      <c r="H16" s="21">
        <v>1</v>
      </c>
      <c r="I16" s="17"/>
      <c r="J16" s="15"/>
      <c r="K16" s="67">
        <v>6000</v>
      </c>
      <c r="L16" s="45">
        <v>5994</v>
      </c>
      <c r="M16" s="73">
        <v>1</v>
      </c>
      <c r="N16" s="70" t="s">
        <v>231</v>
      </c>
      <c r="O16" s="45">
        <f t="shared" si="1"/>
        <v>6</v>
      </c>
      <c r="P16" s="15"/>
    </row>
    <row r="17" spans="1:16" x14ac:dyDescent="0.25">
      <c r="B17" s="38" t="s">
        <v>18</v>
      </c>
      <c r="C17" s="15"/>
      <c r="D17" s="39">
        <v>1000</v>
      </c>
      <c r="E17" s="22" t="b">
        <v>0</v>
      </c>
      <c r="F17" s="22" t="b">
        <v>0</v>
      </c>
      <c r="G17" s="17" t="s">
        <v>42</v>
      </c>
      <c r="I17" s="17"/>
      <c r="J17" s="15"/>
      <c r="K17" s="67">
        <v>6000</v>
      </c>
      <c r="L17" s="45">
        <v>5994</v>
      </c>
      <c r="M17" s="73">
        <v>1</v>
      </c>
      <c r="N17" s="70" t="s">
        <v>217</v>
      </c>
      <c r="O17" s="45">
        <f t="shared" si="1"/>
        <v>6</v>
      </c>
      <c r="P17" s="15"/>
    </row>
    <row r="18" spans="1:16" x14ac:dyDescent="0.25">
      <c r="B18" s="38"/>
      <c r="C18" s="15"/>
      <c r="D18" s="40"/>
      <c r="E18" s="22"/>
      <c r="G18" s="17" t="s">
        <v>43</v>
      </c>
      <c r="H18" s="15"/>
      <c r="I18" s="17"/>
      <c r="J18" s="15"/>
      <c r="K18" s="67">
        <v>6000</v>
      </c>
      <c r="L18" s="45">
        <v>5994</v>
      </c>
      <c r="M18" s="73">
        <v>1</v>
      </c>
      <c r="N18" s="70" t="s">
        <v>232</v>
      </c>
      <c r="O18" s="45">
        <f t="shared" si="1"/>
        <v>6</v>
      </c>
      <c r="P18" s="15"/>
    </row>
    <row r="19" spans="1:16" x14ac:dyDescent="0.25">
      <c r="B19" s="38"/>
      <c r="C19" s="15"/>
      <c r="D19" s="40"/>
      <c r="E19" s="22"/>
      <c r="G19" s="17" t="s">
        <v>44</v>
      </c>
      <c r="H19" s="15"/>
      <c r="I19" s="16"/>
      <c r="J19" s="15"/>
      <c r="K19" s="67">
        <v>6000</v>
      </c>
      <c r="L19" s="45">
        <v>5994</v>
      </c>
      <c r="M19" s="73">
        <v>1</v>
      </c>
      <c r="N19" s="70" t="s">
        <v>233</v>
      </c>
      <c r="O19" s="45">
        <f t="shared" si="1"/>
        <v>6</v>
      </c>
      <c r="P19" s="15"/>
    </row>
    <row r="20" spans="1:16" x14ac:dyDescent="0.25">
      <c r="B20" s="38"/>
      <c r="C20" s="15"/>
      <c r="D20" s="40"/>
      <c r="E20" s="22"/>
      <c r="H20" s="15"/>
      <c r="I20" s="16"/>
      <c r="J20" s="15"/>
      <c r="K20" s="67">
        <v>6000</v>
      </c>
      <c r="L20" s="45">
        <v>5994</v>
      </c>
      <c r="M20" s="73">
        <v>1</v>
      </c>
      <c r="N20" s="70" t="s">
        <v>234</v>
      </c>
      <c r="O20" s="45">
        <f t="shared" si="1"/>
        <v>6</v>
      </c>
      <c r="P20" s="15"/>
    </row>
    <row r="21" spans="1:16" x14ac:dyDescent="0.25">
      <c r="B21" s="38"/>
      <c r="C21" s="15"/>
      <c r="D21" s="40"/>
      <c r="E21" s="22"/>
      <c r="H21" s="15"/>
      <c r="I21" s="16"/>
      <c r="J21" s="15"/>
      <c r="K21" s="67">
        <v>6000</v>
      </c>
      <c r="L21" s="45">
        <v>5994</v>
      </c>
      <c r="M21" s="73">
        <v>1</v>
      </c>
      <c r="N21" s="70" t="s">
        <v>235</v>
      </c>
      <c r="O21" s="45">
        <f t="shared" si="1"/>
        <v>6</v>
      </c>
      <c r="P21" s="15"/>
    </row>
    <row r="22" spans="1:16" x14ac:dyDescent="0.25">
      <c r="B22" s="38"/>
      <c r="C22" s="15"/>
      <c r="D22" s="40"/>
      <c r="E22" s="22"/>
      <c r="H22" s="15"/>
      <c r="I22" s="16"/>
      <c r="J22" s="15"/>
      <c r="K22" s="67">
        <v>6000</v>
      </c>
      <c r="L22" s="45">
        <v>5994</v>
      </c>
      <c r="M22" s="73">
        <v>1</v>
      </c>
      <c r="N22" s="70" t="s">
        <v>236</v>
      </c>
      <c r="O22" s="45">
        <f t="shared" si="1"/>
        <v>6</v>
      </c>
      <c r="P22" s="15"/>
    </row>
    <row r="23" spans="1:16" x14ac:dyDescent="0.25">
      <c r="B23" s="2" t="s">
        <v>2</v>
      </c>
      <c r="H23" s="2" t="s">
        <v>5</v>
      </c>
      <c r="I23" s="2"/>
      <c r="J23" s="15"/>
      <c r="K23" s="67">
        <v>6000</v>
      </c>
      <c r="L23" s="45">
        <v>5994</v>
      </c>
      <c r="M23" s="73">
        <v>1</v>
      </c>
      <c r="N23" s="70" t="s">
        <v>237</v>
      </c>
      <c r="O23" s="45">
        <f t="shared" si="1"/>
        <v>6</v>
      </c>
      <c r="P23" s="15"/>
    </row>
    <row r="24" spans="1:16" x14ac:dyDescent="0.25">
      <c r="B24" s="3" t="s">
        <v>14</v>
      </c>
      <c r="C24" s="3" t="s">
        <v>1</v>
      </c>
      <c r="D24" s="3" t="s">
        <v>0</v>
      </c>
      <c r="E24" s="3" t="s">
        <v>8</v>
      </c>
      <c r="F24" s="4" t="s">
        <v>9</v>
      </c>
      <c r="H24" s="3" t="s">
        <v>1</v>
      </c>
      <c r="I24" s="3" t="s">
        <v>0</v>
      </c>
      <c r="J24" s="15"/>
      <c r="K24" s="67">
        <v>6000</v>
      </c>
      <c r="L24" s="45">
        <v>5994</v>
      </c>
      <c r="M24" s="73">
        <v>1</v>
      </c>
      <c r="N24" s="70" t="s">
        <v>238</v>
      </c>
      <c r="O24" s="45">
        <f t="shared" si="1"/>
        <v>6</v>
      </c>
      <c r="P24" s="15"/>
    </row>
    <row r="25" spans="1:16" x14ac:dyDescent="0.25">
      <c r="B25" s="27"/>
      <c r="C25" s="27">
        <f>IF(D25="много","много",SUMPRODUCT(C26:C115,D26:D115))</f>
        <v>178268</v>
      </c>
      <c r="D25" s="23">
        <f t="array" ref="D25">IF(OR((D26:D115="")+(C26:C115="")=1),"много",SUM(D26:D115))</f>
        <v>128</v>
      </c>
      <c r="E25" s="23">
        <f>SUM(E26:E115)</f>
        <v>128</v>
      </c>
      <c r="F25" s="23">
        <f>IF(D25="много","много",SUM(F26:F115))</f>
        <v>0</v>
      </c>
      <c r="H25" s="27">
        <f>SUMPRODUCT(H26:H115,I26:I115)</f>
        <v>0</v>
      </c>
      <c r="I25" s="23">
        <f>SUM(I26:I115)</f>
        <v>0</v>
      </c>
      <c r="J25" s="15"/>
      <c r="K25" s="67">
        <v>6000</v>
      </c>
      <c r="L25" s="45">
        <v>5994</v>
      </c>
      <c r="M25" s="73">
        <v>1</v>
      </c>
      <c r="N25" s="70" t="s">
        <v>239</v>
      </c>
      <c r="O25" s="45">
        <f t="shared" si="1"/>
        <v>6</v>
      </c>
      <c r="P25" s="15"/>
    </row>
    <row r="26" spans="1:16" x14ac:dyDescent="0.25">
      <c r="A26" s="17">
        <v>2</v>
      </c>
      <c r="B26" s="36">
        <f>IF(N(C26)=0,"",1)</f>
        <v>1</v>
      </c>
      <c r="C26" s="54">
        <v>636</v>
      </c>
      <c r="D26" s="44">
        <v>2</v>
      </c>
      <c r="E26" s="24">
        <f t="shared" ref="E26:E89" si="3">IF($K$3=0,0,IF(ISNA(VLOOKUP(C26,H$26:I$115,2,))*C26,D26,IF(C26="","",IF(D26="",TRUNC($C$3/C26)-VLOOKUP(C26,H$26:I$115,2,),D26-VLOOKUP(C26,H$26:I$115,2,)))))</f>
        <v>2</v>
      </c>
      <c r="F26" s="24">
        <f t="shared" ref="F26:F89" si="4">IF($K$3=0,"",IF(AND(C26&lt;&gt;"",D26&lt;&gt;""),D26-E26,IF(D26="","",TRUNC($C$3/C26)-VLOOKUP(C26,H$26:I$115,2,))))</f>
        <v>0</v>
      </c>
      <c r="G26" s="47">
        <f>--(C26+H26+K26&gt;0)</f>
        <v>1</v>
      </c>
      <c r="H26" s="51"/>
      <c r="I26" s="18"/>
      <c r="J26" s="15"/>
      <c r="K26" s="67">
        <v>6000</v>
      </c>
      <c r="L26" s="45">
        <v>5994</v>
      </c>
      <c r="M26" s="73">
        <v>1</v>
      </c>
      <c r="N26" s="70" t="s">
        <v>221</v>
      </c>
      <c r="O26" s="45">
        <f t="shared" si="1"/>
        <v>6</v>
      </c>
      <c r="P26" s="15"/>
    </row>
    <row r="27" spans="1:16" x14ac:dyDescent="0.25">
      <c r="A27" s="17">
        <v>3</v>
      </c>
      <c r="B27" s="34">
        <f>IF(N(C27)=0,"",IF(ISNUMBER(MATCH(C27,C$26:C26,)),INDEX(B$26:B26,MATCH(C27,C$26:C26,)),MAX(B$26:B26)+1))</f>
        <v>2</v>
      </c>
      <c r="C27" s="55">
        <v>656</v>
      </c>
      <c r="D27" s="7">
        <v>2</v>
      </c>
      <c r="E27" s="25">
        <f t="shared" si="3"/>
        <v>2</v>
      </c>
      <c r="F27" s="25">
        <f t="shared" si="4"/>
        <v>0</v>
      </c>
      <c r="G27" s="47">
        <f t="shared" ref="G27:G90" si="5">--(C27+H27+K27&gt;0)</f>
        <v>1</v>
      </c>
      <c r="H27" s="52"/>
      <c r="I27" s="19"/>
      <c r="J27" s="15"/>
      <c r="K27" s="67">
        <v>6000</v>
      </c>
      <c r="L27" s="45">
        <v>5990</v>
      </c>
      <c r="M27" s="73">
        <v>1</v>
      </c>
      <c r="N27" s="70" t="s">
        <v>240</v>
      </c>
      <c r="O27" s="45">
        <f t="shared" si="1"/>
        <v>10</v>
      </c>
      <c r="P27" s="15"/>
    </row>
    <row r="28" spans="1:16" x14ac:dyDescent="0.25">
      <c r="A28" s="17">
        <v>4</v>
      </c>
      <c r="B28" s="34">
        <f>IF(N(C28)=0,"",IF(ISNUMBER(MATCH(C28,C$26:C27,)),INDEX(B$26:B27,MATCH(C28,C$26:C27,)),MAX(B$26:B27)+1))</f>
        <v>3</v>
      </c>
      <c r="C28" s="55">
        <v>676</v>
      </c>
      <c r="D28" s="7">
        <v>2</v>
      </c>
      <c r="E28" s="25">
        <f t="shared" si="3"/>
        <v>2</v>
      </c>
      <c r="F28" s="25">
        <f t="shared" si="4"/>
        <v>0</v>
      </c>
      <c r="G28" s="47">
        <f t="shared" si="5"/>
        <v>1</v>
      </c>
      <c r="H28" s="52"/>
      <c r="I28" s="19"/>
      <c r="J28" s="15"/>
      <c r="K28" s="67">
        <v>6000</v>
      </c>
      <c r="L28" s="45">
        <v>5988</v>
      </c>
      <c r="M28" s="73">
        <v>1</v>
      </c>
      <c r="N28" s="70" t="s">
        <v>241</v>
      </c>
      <c r="O28" s="45">
        <f t="shared" si="1"/>
        <v>12</v>
      </c>
      <c r="P28" s="15"/>
    </row>
    <row r="29" spans="1:16" x14ac:dyDescent="0.25">
      <c r="A29" s="17">
        <v>5</v>
      </c>
      <c r="B29" s="34">
        <f>IF(N(C29)=0,"",IF(ISNUMBER(MATCH(C29,C$26:C28,)),INDEX(B$26:B28,MATCH(C29,C$26:C28,)),MAX(B$26:B28)+1))</f>
        <v>4</v>
      </c>
      <c r="C29" s="55">
        <v>686</v>
      </c>
      <c r="D29" s="7">
        <v>2</v>
      </c>
      <c r="E29" s="25">
        <f t="shared" si="3"/>
        <v>2</v>
      </c>
      <c r="F29" s="25">
        <f t="shared" si="4"/>
        <v>0</v>
      </c>
      <c r="G29" s="47">
        <f t="shared" si="5"/>
        <v>1</v>
      </c>
      <c r="H29" s="52"/>
      <c r="I29" s="19"/>
      <c r="J29" s="15"/>
      <c r="K29" s="67">
        <v>6000</v>
      </c>
      <c r="L29" s="45">
        <v>5988</v>
      </c>
      <c r="M29" s="73">
        <v>1</v>
      </c>
      <c r="N29" s="70" t="s">
        <v>218</v>
      </c>
      <c r="O29" s="45">
        <f t="shared" si="1"/>
        <v>12</v>
      </c>
      <c r="P29" s="15"/>
    </row>
    <row r="30" spans="1:16" x14ac:dyDescent="0.25">
      <c r="A30" s="17">
        <v>6</v>
      </c>
      <c r="B30" s="34">
        <f>IF(N(C30)=0,"",IF(ISNUMBER(MATCH(C30,C$26:C29,)),INDEX(B$26:B29,MATCH(C30,C$26:C29,)),MAX(B$26:B29)+1))</f>
        <v>5</v>
      </c>
      <c r="C30" s="55">
        <v>696</v>
      </c>
      <c r="D30" s="7">
        <v>2</v>
      </c>
      <c r="E30" s="25">
        <f t="shared" si="3"/>
        <v>2</v>
      </c>
      <c r="F30" s="25">
        <f t="shared" si="4"/>
        <v>0</v>
      </c>
      <c r="G30" s="47">
        <f t="shared" si="5"/>
        <v>1</v>
      </c>
      <c r="H30" s="52"/>
      <c r="I30" s="19"/>
      <c r="J30" s="15"/>
      <c r="K30" s="67">
        <v>6000</v>
      </c>
      <c r="L30" s="45">
        <v>5984</v>
      </c>
      <c r="M30" s="73">
        <v>1</v>
      </c>
      <c r="N30" s="70" t="s">
        <v>242</v>
      </c>
      <c r="O30" s="45">
        <f t="shared" si="1"/>
        <v>16</v>
      </c>
      <c r="P30" s="15"/>
    </row>
    <row r="31" spans="1:16" x14ac:dyDescent="0.25">
      <c r="A31" s="17">
        <v>7</v>
      </c>
      <c r="B31" s="34">
        <f>IF(N(C31)=0,"",IF(ISNUMBER(MATCH(C31,C$26:C30,)),INDEX(B$26:B30,MATCH(C31,C$26:C30,)),MAX(B$26:B30)+1))</f>
        <v>6</v>
      </c>
      <c r="C31" s="55">
        <v>706</v>
      </c>
      <c r="D31" s="7">
        <v>2</v>
      </c>
      <c r="E31" s="25">
        <f t="shared" si="3"/>
        <v>2</v>
      </c>
      <c r="F31" s="25">
        <f t="shared" si="4"/>
        <v>0</v>
      </c>
      <c r="G31" s="47">
        <f t="shared" si="5"/>
        <v>1</v>
      </c>
      <c r="H31" s="52"/>
      <c r="I31" s="19"/>
      <c r="J31" s="15"/>
      <c r="K31" s="67">
        <v>6000</v>
      </c>
      <c r="L31" s="45">
        <v>5984</v>
      </c>
      <c r="M31" s="73">
        <v>1</v>
      </c>
      <c r="N31" s="70" t="s">
        <v>243</v>
      </c>
      <c r="O31" s="45">
        <f t="shared" si="1"/>
        <v>16</v>
      </c>
      <c r="P31" s="15"/>
    </row>
    <row r="32" spans="1:16" x14ac:dyDescent="0.25">
      <c r="A32" s="17">
        <v>8</v>
      </c>
      <c r="B32" s="34">
        <f>IF(N(C32)=0,"",IF(ISNUMBER(MATCH(C32,C$26:C31,)),INDEX(B$26:B31,MATCH(C32,C$26:C31,)),MAX(B$26:B31)+1))</f>
        <v>7</v>
      </c>
      <c r="C32" s="55">
        <v>866</v>
      </c>
      <c r="D32" s="7">
        <v>2</v>
      </c>
      <c r="E32" s="25">
        <f t="shared" si="3"/>
        <v>2</v>
      </c>
      <c r="F32" s="25">
        <f t="shared" si="4"/>
        <v>0</v>
      </c>
      <c r="G32" s="47">
        <f t="shared" si="5"/>
        <v>1</v>
      </c>
      <c r="H32" s="52"/>
      <c r="I32" s="19"/>
      <c r="J32" s="15"/>
      <c r="K32" s="67">
        <v>6000</v>
      </c>
      <c r="L32" s="45">
        <v>5980</v>
      </c>
      <c r="M32" s="73">
        <v>1</v>
      </c>
      <c r="N32" s="70" t="s">
        <v>244</v>
      </c>
      <c r="O32" s="45">
        <f t="shared" si="1"/>
        <v>20</v>
      </c>
      <c r="P32" s="15"/>
    </row>
    <row r="33" spans="1:16" x14ac:dyDescent="0.25">
      <c r="A33" s="17">
        <v>16</v>
      </c>
      <c r="B33" s="34">
        <f>IF(N(C33)=0,"",IF(ISNUMBER(MATCH(C33,C$26:C32,)),INDEX(B$26:B32,MATCH(C33,C$26:C32,)),MAX(B$26:B32)+1))</f>
        <v>8</v>
      </c>
      <c r="C33" s="55">
        <v>1066</v>
      </c>
      <c r="D33" s="7">
        <v>6</v>
      </c>
      <c r="E33" s="25">
        <f t="shared" si="3"/>
        <v>6</v>
      </c>
      <c r="F33" s="25">
        <f t="shared" si="4"/>
        <v>0</v>
      </c>
      <c r="G33" s="47">
        <f t="shared" si="5"/>
        <v>1</v>
      </c>
      <c r="H33" s="52"/>
      <c r="I33" s="19"/>
      <c r="J33" s="15"/>
      <c r="K33" s="68">
        <v>6000</v>
      </c>
      <c r="L33" s="46">
        <v>4444</v>
      </c>
      <c r="M33" s="74">
        <v>1</v>
      </c>
      <c r="N33" s="71" t="s">
        <v>245</v>
      </c>
      <c r="O33" s="46">
        <f t="shared" si="1"/>
        <v>1556</v>
      </c>
      <c r="P33" s="15"/>
    </row>
    <row r="34" spans="1:16" x14ac:dyDescent="0.25">
      <c r="A34" s="17">
        <v>17</v>
      </c>
      <c r="B34" s="34">
        <f>IF(N(C34)=0,"",IF(ISNUMBER(MATCH(C34,C$26:C33,)),INDEX(B$26:B33,MATCH(C34,C$26:C33,)),MAX(B$26:B33)+1))</f>
        <v>9</v>
      </c>
      <c r="C34" s="55">
        <v>1126</v>
      </c>
      <c r="D34" s="7">
        <v>2</v>
      </c>
      <c r="E34" s="25">
        <f t="shared" si="3"/>
        <v>2</v>
      </c>
      <c r="F34" s="25">
        <f t="shared" si="4"/>
        <v>0</v>
      </c>
      <c r="G34" s="47">
        <f t="shared" si="5"/>
        <v>1</v>
      </c>
      <c r="H34" s="52"/>
      <c r="I34" s="19"/>
      <c r="J34" s="15"/>
      <c r="K34"/>
      <c r="L34"/>
      <c r="M34"/>
      <c r="N34"/>
      <c r="O34"/>
      <c r="P34" s="15"/>
    </row>
    <row r="35" spans="1:16" x14ac:dyDescent="0.25">
      <c r="A35" s="17">
        <v>18</v>
      </c>
      <c r="B35" s="34">
        <f>IF(N(C35)=0,"",IF(ISNUMBER(MATCH(C35,C$26:C34,)),INDEX(B$26:B34,MATCH(C35,C$26:C34,)),MAX(B$26:B34)+1))</f>
        <v>10</v>
      </c>
      <c r="C35" s="55">
        <v>1136</v>
      </c>
      <c r="D35" s="7">
        <v>2</v>
      </c>
      <c r="E35" s="25">
        <f t="shared" si="3"/>
        <v>2</v>
      </c>
      <c r="F35" s="25">
        <f t="shared" si="4"/>
        <v>0</v>
      </c>
      <c r="G35" s="47">
        <f t="shared" si="5"/>
        <v>1</v>
      </c>
      <c r="H35" s="52"/>
      <c r="I35" s="19"/>
      <c r="J35" s="15"/>
      <c r="K35"/>
      <c r="L35"/>
      <c r="M35"/>
      <c r="N35"/>
      <c r="O35"/>
      <c r="P35" s="15"/>
    </row>
    <row r="36" spans="1:16" x14ac:dyDescent="0.25">
      <c r="A36" s="17">
        <v>19</v>
      </c>
      <c r="B36" s="34">
        <f>IF(N(C36)=0,"",IF(ISNUMBER(MATCH(C36,C$26:C35,)),INDEX(B$26:B35,MATCH(C36,C$26:C35,)),MAX(B$26:B35)+1))</f>
        <v>11</v>
      </c>
      <c r="C36" s="55">
        <v>1166</v>
      </c>
      <c r="D36" s="7">
        <v>2</v>
      </c>
      <c r="E36" s="25">
        <f t="shared" si="3"/>
        <v>2</v>
      </c>
      <c r="F36" s="25">
        <f t="shared" si="4"/>
        <v>0</v>
      </c>
      <c r="G36" s="47">
        <f t="shared" si="5"/>
        <v>1</v>
      </c>
      <c r="H36" s="52"/>
      <c r="I36" s="19"/>
      <c r="J36" s="15"/>
      <c r="K36"/>
      <c r="L36"/>
      <c r="M36"/>
      <c r="N36"/>
      <c r="O36"/>
      <c r="P36" s="15"/>
    </row>
    <row r="37" spans="1:16" x14ac:dyDescent="0.25">
      <c r="A37" s="17">
        <v>20</v>
      </c>
      <c r="B37" s="34">
        <f>IF(N(C37)=0,"",IF(ISNUMBER(MATCH(C37,C$26:C36,)),INDEX(B$26:B36,MATCH(C37,C$26:C36,)),MAX(B$26:B36)+1))</f>
        <v>12</v>
      </c>
      <c r="C37" s="55">
        <v>1256</v>
      </c>
      <c r="D37" s="7">
        <v>2</v>
      </c>
      <c r="E37" s="25">
        <f t="shared" si="3"/>
        <v>2</v>
      </c>
      <c r="F37" s="25">
        <f t="shared" si="4"/>
        <v>0</v>
      </c>
      <c r="G37" s="47">
        <f t="shared" si="5"/>
        <v>1</v>
      </c>
      <c r="H37" s="52"/>
      <c r="I37" s="19"/>
      <c r="J37" s="15"/>
      <c r="K37"/>
      <c r="L37"/>
      <c r="M37"/>
      <c r="N37"/>
      <c r="O37"/>
      <c r="P37" s="15"/>
    </row>
    <row r="38" spans="1:16" x14ac:dyDescent="0.25">
      <c r="A38" s="17">
        <v>21</v>
      </c>
      <c r="B38" s="34">
        <f>IF(N(C38)=0,"",IF(ISNUMBER(MATCH(C38,C$26:C37,)),INDEX(B$26:B37,MATCH(C38,C$26:C37,)),MAX(B$26:B37)+1))</f>
        <v>13</v>
      </c>
      <c r="C38" s="55">
        <v>1266</v>
      </c>
      <c r="D38" s="7">
        <v>2</v>
      </c>
      <c r="E38" s="25">
        <f t="shared" si="3"/>
        <v>2</v>
      </c>
      <c r="F38" s="25">
        <f t="shared" si="4"/>
        <v>0</v>
      </c>
      <c r="G38" s="47">
        <f t="shared" si="5"/>
        <v>1</v>
      </c>
      <c r="H38" s="52"/>
      <c r="I38" s="19"/>
      <c r="J38" s="15"/>
      <c r="K38"/>
      <c r="L38"/>
      <c r="M38"/>
      <c r="N38"/>
      <c r="O38"/>
      <c r="P38" s="15"/>
    </row>
    <row r="39" spans="1:16" x14ac:dyDescent="0.25">
      <c r="A39" s="17">
        <v>22</v>
      </c>
      <c r="B39" s="34">
        <f>IF(N(C39)=0,"",IF(ISNUMBER(MATCH(C39,C$26:C38,)),INDEX(B$26:B38,MATCH(C39,C$26:C38,)),MAX(B$26:B38)+1))</f>
        <v>14</v>
      </c>
      <c r="C39" s="55">
        <v>1276</v>
      </c>
      <c r="D39" s="7">
        <v>2</v>
      </c>
      <c r="E39" s="25">
        <f t="shared" si="3"/>
        <v>2</v>
      </c>
      <c r="F39" s="25">
        <f t="shared" si="4"/>
        <v>0</v>
      </c>
      <c r="G39" s="47">
        <f t="shared" si="5"/>
        <v>1</v>
      </c>
      <c r="H39" s="52"/>
      <c r="I39" s="19"/>
      <c r="J39" s="15"/>
      <c r="K39"/>
      <c r="L39"/>
      <c r="M39"/>
      <c r="N39"/>
      <c r="O39"/>
      <c r="P39" s="15"/>
    </row>
    <row r="40" spans="1:16" x14ac:dyDescent="0.25">
      <c r="A40" s="17">
        <v>23</v>
      </c>
      <c r="B40" s="34">
        <f>IF(N(C40)=0,"",IF(ISNUMBER(MATCH(C40,C$26:C39,)),INDEX(B$26:B39,MATCH(C40,C$26:C39,)),MAX(B$26:B39)+1))</f>
        <v>15</v>
      </c>
      <c r="C40" s="55">
        <v>1306</v>
      </c>
      <c r="D40" s="7">
        <v>10</v>
      </c>
      <c r="E40" s="25">
        <f t="shared" si="3"/>
        <v>10</v>
      </c>
      <c r="F40" s="25">
        <f t="shared" si="4"/>
        <v>0</v>
      </c>
      <c r="G40" s="47">
        <f t="shared" si="5"/>
        <v>1</v>
      </c>
      <c r="H40" s="52"/>
      <c r="I40" s="19"/>
      <c r="J40" s="15"/>
      <c r="K40"/>
      <c r="L40"/>
      <c r="M40"/>
      <c r="N40"/>
      <c r="O40"/>
      <c r="P40" s="15"/>
    </row>
    <row r="41" spans="1:16" x14ac:dyDescent="0.25">
      <c r="A41" s="17">
        <v>24</v>
      </c>
      <c r="B41" s="34">
        <f>IF(N(C41)=0,"",IF(ISNUMBER(MATCH(C41,C$26:C40,)),INDEX(B$26:B40,MATCH(C41,C$26:C40,)),MAX(B$26:B40)+1))</f>
        <v>16</v>
      </c>
      <c r="C41" s="55">
        <v>1316</v>
      </c>
      <c r="D41" s="7">
        <v>2</v>
      </c>
      <c r="E41" s="25">
        <f t="shared" si="3"/>
        <v>2</v>
      </c>
      <c r="F41" s="25">
        <f t="shared" si="4"/>
        <v>0</v>
      </c>
      <c r="G41" s="47">
        <f t="shared" si="5"/>
        <v>1</v>
      </c>
      <c r="H41" s="52"/>
      <c r="I41" s="19"/>
      <c r="J41" s="15"/>
      <c r="K41"/>
      <c r="L41"/>
      <c r="M41"/>
      <c r="N41"/>
      <c r="O41"/>
      <c r="P41" s="15"/>
    </row>
    <row r="42" spans="1:16" x14ac:dyDescent="0.25">
      <c r="A42" s="17">
        <v>25</v>
      </c>
      <c r="B42" s="34">
        <f>IF(N(C42)=0,"",IF(ISNUMBER(MATCH(C42,C$26:C41,)),INDEX(B$26:B41,MATCH(C42,C$26:C41,)),MAX(B$26:B41)+1))</f>
        <v>17</v>
      </c>
      <c r="C42" s="55">
        <v>1326</v>
      </c>
      <c r="D42" s="7">
        <v>10</v>
      </c>
      <c r="E42" s="25">
        <f t="shared" si="3"/>
        <v>10</v>
      </c>
      <c r="F42" s="25">
        <f t="shared" si="4"/>
        <v>0</v>
      </c>
      <c r="G42" s="47">
        <f t="shared" si="5"/>
        <v>1</v>
      </c>
      <c r="H42" s="52"/>
      <c r="I42" s="19"/>
      <c r="J42" s="15"/>
      <c r="K42"/>
      <c r="L42"/>
      <c r="M42"/>
      <c r="N42"/>
      <c r="O42"/>
      <c r="P42" s="15"/>
    </row>
    <row r="43" spans="1:16" x14ac:dyDescent="0.25">
      <c r="A43" s="17">
        <v>26</v>
      </c>
      <c r="B43" s="34">
        <f>IF(N(C43)=0,"",IF(ISNUMBER(MATCH(C43,C$26:C42,)),INDEX(B$26:B42,MATCH(C43,C$26:C42,)),MAX(B$26:B42)+1))</f>
        <v>18</v>
      </c>
      <c r="C43" s="55">
        <v>1336</v>
      </c>
      <c r="D43" s="7">
        <v>12</v>
      </c>
      <c r="E43" s="25">
        <f t="shared" si="3"/>
        <v>12</v>
      </c>
      <c r="F43" s="25">
        <f t="shared" si="4"/>
        <v>0</v>
      </c>
      <c r="G43" s="47">
        <f t="shared" si="5"/>
        <v>1</v>
      </c>
      <c r="H43" s="52"/>
      <c r="I43" s="19"/>
      <c r="J43" s="15"/>
      <c r="K43"/>
      <c r="L43"/>
      <c r="M43"/>
      <c r="N43"/>
      <c r="O43"/>
      <c r="P43" s="15"/>
    </row>
    <row r="44" spans="1:16" x14ac:dyDescent="0.25">
      <c r="A44" s="17">
        <v>27</v>
      </c>
      <c r="B44" s="34">
        <f>IF(N(C44)=0,"",IF(ISNUMBER(MATCH(C44,C$26:C43,)),INDEX(B$26:B43,MATCH(C44,C$26:C43,)),MAX(B$26:B43)+1))</f>
        <v>19</v>
      </c>
      <c r="C44" s="55">
        <v>1346</v>
      </c>
      <c r="D44" s="7">
        <v>2</v>
      </c>
      <c r="E44" s="25">
        <f t="shared" si="3"/>
        <v>2</v>
      </c>
      <c r="F44" s="25">
        <f t="shared" si="4"/>
        <v>0</v>
      </c>
      <c r="G44" s="47">
        <f t="shared" si="5"/>
        <v>1</v>
      </c>
      <c r="H44" s="52"/>
      <c r="I44" s="19"/>
      <c r="J44" s="15"/>
      <c r="K44"/>
      <c r="L44"/>
      <c r="M44"/>
      <c r="N44"/>
      <c r="O44"/>
      <c r="P44" s="15"/>
    </row>
    <row r="45" spans="1:16" x14ac:dyDescent="0.25">
      <c r="A45" s="17">
        <v>28</v>
      </c>
      <c r="B45" s="34">
        <f>IF(N(C45)=0,"",IF(ISNUMBER(MATCH(C45,C$26:C44,)),INDEX(B$26:B44,MATCH(C45,C$26:C44,)),MAX(B$26:B44)+1))</f>
        <v>20</v>
      </c>
      <c r="C45" s="55">
        <v>1376</v>
      </c>
      <c r="D45" s="7">
        <v>2</v>
      </c>
      <c r="E45" s="25">
        <f t="shared" si="3"/>
        <v>2</v>
      </c>
      <c r="F45" s="25">
        <f t="shared" si="4"/>
        <v>0</v>
      </c>
      <c r="G45" s="47">
        <f t="shared" si="5"/>
        <v>1</v>
      </c>
      <c r="H45" s="52"/>
      <c r="I45" s="19"/>
      <c r="J45" s="15"/>
      <c r="K45"/>
      <c r="L45"/>
      <c r="M45"/>
      <c r="N45"/>
      <c r="O45"/>
      <c r="P45" s="15"/>
    </row>
    <row r="46" spans="1:16" x14ac:dyDescent="0.25">
      <c r="A46" s="17">
        <v>29</v>
      </c>
      <c r="B46" s="34">
        <f>IF(N(C46)=0,"",IF(ISNUMBER(MATCH(C46,C$26:C45,)),INDEX(B$26:B45,MATCH(C46,C$26:C45,)),MAX(B$26:B45)+1))</f>
        <v>21</v>
      </c>
      <c r="C46" s="55">
        <v>1396</v>
      </c>
      <c r="D46" s="7">
        <v>8</v>
      </c>
      <c r="E46" s="25">
        <f t="shared" si="3"/>
        <v>8</v>
      </c>
      <c r="F46" s="25">
        <f t="shared" si="4"/>
        <v>0</v>
      </c>
      <c r="G46" s="47">
        <f t="shared" si="5"/>
        <v>1</v>
      </c>
      <c r="H46" s="52"/>
      <c r="I46" s="19"/>
      <c r="J46" s="15"/>
      <c r="K46"/>
      <c r="L46"/>
      <c r="M46"/>
      <c r="N46"/>
      <c r="O46"/>
      <c r="P46" s="15"/>
    </row>
    <row r="47" spans="1:16" x14ac:dyDescent="0.25">
      <c r="A47" s="17">
        <v>30</v>
      </c>
      <c r="B47" s="34">
        <f>IF(N(C47)=0,"",IF(ISNUMBER(MATCH(C47,C$26:C46,)),INDEX(B$26:B46,MATCH(C47,C$26:C46,)),MAX(B$26:B46)+1))</f>
        <v>22</v>
      </c>
      <c r="C47" s="55">
        <v>1406</v>
      </c>
      <c r="D47" s="7">
        <v>10</v>
      </c>
      <c r="E47" s="25">
        <f t="shared" si="3"/>
        <v>10</v>
      </c>
      <c r="F47" s="25">
        <f t="shared" si="4"/>
        <v>0</v>
      </c>
      <c r="G47" s="47">
        <f t="shared" si="5"/>
        <v>1</v>
      </c>
      <c r="H47" s="52"/>
      <c r="I47" s="19"/>
      <c r="J47" s="15"/>
      <c r="K47"/>
      <c r="L47"/>
      <c r="M47"/>
      <c r="N47"/>
      <c r="O47"/>
      <c r="P47" s="15"/>
    </row>
    <row r="48" spans="1:16" x14ac:dyDescent="0.25">
      <c r="A48" s="17">
        <v>31</v>
      </c>
      <c r="B48" s="34">
        <f>IF(N(C48)=0,"",IF(ISNUMBER(MATCH(C48,C$26:C47,)),INDEX(B$26:B47,MATCH(C48,C$26:C47,)),MAX(B$26:B47)+1))</f>
        <v>23</v>
      </c>
      <c r="C48" s="55">
        <v>1416</v>
      </c>
      <c r="D48" s="7">
        <v>4</v>
      </c>
      <c r="E48" s="25">
        <f t="shared" si="3"/>
        <v>4</v>
      </c>
      <c r="F48" s="25">
        <f t="shared" si="4"/>
        <v>0</v>
      </c>
      <c r="G48" s="47">
        <f t="shared" si="5"/>
        <v>1</v>
      </c>
      <c r="H48" s="52"/>
      <c r="I48" s="19"/>
      <c r="J48" s="15"/>
      <c r="K48"/>
      <c r="L48"/>
      <c r="M48"/>
      <c r="N48"/>
      <c r="O48"/>
      <c r="P48" s="15"/>
    </row>
    <row r="49" spans="1:16" x14ac:dyDescent="0.25">
      <c r="A49" s="17">
        <v>32</v>
      </c>
      <c r="B49" s="34">
        <f>IF(N(C49)=0,"",IF(ISNUMBER(MATCH(C49,C$26:C48,)),INDEX(B$26:B48,MATCH(C49,C$26:C48,)),MAX(B$26:B48)+1))</f>
        <v>24</v>
      </c>
      <c r="C49" s="55">
        <v>1436</v>
      </c>
      <c r="D49" s="7">
        <v>2</v>
      </c>
      <c r="E49" s="25">
        <f t="shared" si="3"/>
        <v>2</v>
      </c>
      <c r="F49" s="25">
        <f t="shared" si="4"/>
        <v>0</v>
      </c>
      <c r="G49" s="47">
        <f t="shared" si="5"/>
        <v>1</v>
      </c>
      <c r="H49" s="52"/>
      <c r="I49" s="19"/>
      <c r="J49" s="15"/>
      <c r="K49"/>
      <c r="L49"/>
      <c r="M49"/>
      <c r="N49"/>
      <c r="O49"/>
      <c r="P49" s="15"/>
    </row>
    <row r="50" spans="1:16" x14ac:dyDescent="0.25">
      <c r="A50" s="17">
        <v>33</v>
      </c>
      <c r="B50" s="34">
        <f>IF(N(C50)=0,"",IF(ISNUMBER(MATCH(C50,C$26:C49,)),INDEX(B$26:B49,MATCH(C50,C$26:C49,)),MAX(B$26:B49)+1))</f>
        <v>25</v>
      </c>
      <c r="C50" s="55">
        <v>1506</v>
      </c>
      <c r="D50" s="7">
        <v>6</v>
      </c>
      <c r="E50" s="25">
        <f t="shared" si="3"/>
        <v>6</v>
      </c>
      <c r="F50" s="25">
        <f t="shared" si="4"/>
        <v>0</v>
      </c>
      <c r="G50" s="47">
        <f t="shared" si="5"/>
        <v>1</v>
      </c>
      <c r="H50" s="52"/>
      <c r="I50" s="19"/>
      <c r="J50" s="15"/>
      <c r="K50"/>
      <c r="L50"/>
      <c r="M50"/>
      <c r="N50"/>
      <c r="O50"/>
      <c r="P50" s="15"/>
    </row>
    <row r="51" spans="1:16" x14ac:dyDescent="0.25">
      <c r="A51" s="17">
        <v>34</v>
      </c>
      <c r="B51" s="34">
        <f>IF(N(C51)=0,"",IF(ISNUMBER(MATCH(C51,C$26:C50,)),INDEX(B$26:B50,MATCH(C51,C$26:C50,)),MAX(B$26:B50)+1))</f>
        <v>26</v>
      </c>
      <c r="C51" s="55">
        <v>1526</v>
      </c>
      <c r="D51" s="7">
        <v>8</v>
      </c>
      <c r="E51" s="25">
        <f t="shared" si="3"/>
        <v>8</v>
      </c>
      <c r="F51" s="25">
        <f t="shared" si="4"/>
        <v>0</v>
      </c>
      <c r="G51" s="47">
        <f t="shared" si="5"/>
        <v>1</v>
      </c>
      <c r="H51" s="52"/>
      <c r="I51" s="19"/>
      <c r="J51" s="15"/>
      <c r="K51"/>
      <c r="L51"/>
      <c r="M51"/>
      <c r="N51"/>
      <c r="O51"/>
      <c r="P51" s="15"/>
    </row>
    <row r="52" spans="1:16" x14ac:dyDescent="0.25">
      <c r="A52" s="17">
        <v>35</v>
      </c>
      <c r="B52" s="34">
        <f>IF(N(C52)=0,"",IF(ISNUMBER(MATCH(C52,C$26:C51,)),INDEX(B$26:B51,MATCH(C52,C$26:C51,)),MAX(B$26:B51)+1))</f>
        <v>27</v>
      </c>
      <c r="C52" s="55">
        <v>1836</v>
      </c>
      <c r="D52" s="7">
        <v>2</v>
      </c>
      <c r="E52" s="25">
        <f t="shared" si="3"/>
        <v>2</v>
      </c>
      <c r="F52" s="25">
        <f t="shared" si="4"/>
        <v>0</v>
      </c>
      <c r="G52" s="47">
        <f t="shared" si="5"/>
        <v>1</v>
      </c>
      <c r="H52" s="52"/>
      <c r="I52" s="19"/>
      <c r="J52" s="15"/>
      <c r="K52"/>
      <c r="L52"/>
      <c r="M52"/>
      <c r="N52"/>
      <c r="O52"/>
      <c r="P52" s="15"/>
    </row>
    <row r="53" spans="1:16" x14ac:dyDescent="0.25">
      <c r="A53" s="17">
        <v>36</v>
      </c>
      <c r="B53" s="34">
        <f>IF(N(C53)=0,"",IF(ISNUMBER(MATCH(C53,C$26:C52,)),INDEX(B$26:B52,MATCH(C53,C$26:C52,)),MAX(B$26:B52)+1))</f>
        <v>28</v>
      </c>
      <c r="C53" s="55">
        <v>1906</v>
      </c>
      <c r="D53" s="7">
        <v>2</v>
      </c>
      <c r="E53" s="25">
        <f t="shared" si="3"/>
        <v>2</v>
      </c>
      <c r="F53" s="25">
        <f t="shared" si="4"/>
        <v>0</v>
      </c>
      <c r="G53" s="47">
        <f t="shared" si="5"/>
        <v>1</v>
      </c>
      <c r="H53" s="52"/>
      <c r="I53" s="19"/>
      <c r="J53" s="15"/>
      <c r="K53"/>
      <c r="L53"/>
      <c r="M53"/>
      <c r="N53"/>
      <c r="O53"/>
      <c r="P53" s="15"/>
    </row>
    <row r="54" spans="1:16" x14ac:dyDescent="0.25">
      <c r="A54" s="17">
        <v>37</v>
      </c>
      <c r="B54" s="34">
        <f>IF(N(C54)=0,"",IF(ISNUMBER(MATCH(C54,C$26:C53,)),INDEX(B$26:B53,MATCH(C54,C$26:C53,)),MAX(B$26:B53)+1))</f>
        <v>29</v>
      </c>
      <c r="C54" s="55">
        <v>2066</v>
      </c>
      <c r="D54" s="7">
        <v>2</v>
      </c>
      <c r="E54" s="25">
        <f t="shared" si="3"/>
        <v>2</v>
      </c>
      <c r="F54" s="25">
        <f t="shared" si="4"/>
        <v>0</v>
      </c>
      <c r="G54" s="47">
        <f t="shared" si="5"/>
        <v>1</v>
      </c>
      <c r="H54" s="52"/>
      <c r="I54" s="19"/>
      <c r="J54" s="15"/>
      <c r="K54"/>
      <c r="L54"/>
      <c r="M54"/>
      <c r="N54"/>
      <c r="O54"/>
      <c r="P54" s="15"/>
    </row>
    <row r="55" spans="1:16" x14ac:dyDescent="0.25">
      <c r="A55" s="17">
        <v>38</v>
      </c>
      <c r="B55" s="34">
        <f>IF(N(C55)=0,"",IF(ISNUMBER(MATCH(C55,C$26:C54,)),INDEX(B$26:B54,MATCH(C55,C$26:C54,)),MAX(B$26:B54)+1))</f>
        <v>30</v>
      </c>
      <c r="C55" s="55">
        <v>2086</v>
      </c>
      <c r="D55" s="7">
        <v>2</v>
      </c>
      <c r="E55" s="25">
        <f t="shared" si="3"/>
        <v>2</v>
      </c>
      <c r="F55" s="25">
        <f t="shared" si="4"/>
        <v>0</v>
      </c>
      <c r="G55" s="47">
        <f t="shared" si="5"/>
        <v>1</v>
      </c>
      <c r="H55" s="52"/>
      <c r="I55" s="19"/>
      <c r="J55" s="15"/>
      <c r="K55"/>
      <c r="L55"/>
      <c r="M55"/>
      <c r="N55"/>
      <c r="O55"/>
      <c r="P55" s="15"/>
    </row>
    <row r="56" spans="1:16" x14ac:dyDescent="0.25">
      <c r="A56" s="17">
        <v>39</v>
      </c>
      <c r="B56" s="34">
        <f>IF(N(C56)=0,"",IF(ISNUMBER(MATCH(C56,C$26:C55,)),INDEX(B$26:B55,MATCH(C56,C$26:C55,)),MAX(B$26:B55)+1))</f>
        <v>31</v>
      </c>
      <c r="C56" s="55">
        <v>2106</v>
      </c>
      <c r="D56" s="7">
        <v>2</v>
      </c>
      <c r="E56" s="25">
        <f t="shared" si="3"/>
        <v>2</v>
      </c>
      <c r="F56" s="25">
        <f t="shared" si="4"/>
        <v>0</v>
      </c>
      <c r="G56" s="47">
        <f t="shared" si="5"/>
        <v>1</v>
      </c>
      <c r="H56" s="52"/>
      <c r="I56" s="19"/>
      <c r="J56" s="15"/>
      <c r="K56"/>
      <c r="L56"/>
      <c r="M56"/>
      <c r="N56"/>
      <c r="O56"/>
      <c r="P56" s="15"/>
    </row>
    <row r="57" spans="1:16" x14ac:dyDescent="0.25">
      <c r="A57" s="17">
        <v>40</v>
      </c>
      <c r="B57" s="34">
        <f>IF(N(C57)=0,"",IF(ISNUMBER(MATCH(C57,C$26:C56,)),INDEX(B$26:B56,MATCH(C57,C$26:C56,)),MAX(B$26:B56)+1))</f>
        <v>32</v>
      </c>
      <c r="C57" s="55">
        <v>2126</v>
      </c>
      <c r="D57" s="7">
        <v>2</v>
      </c>
      <c r="E57" s="25">
        <f t="shared" si="3"/>
        <v>2</v>
      </c>
      <c r="F57" s="25">
        <f t="shared" si="4"/>
        <v>0</v>
      </c>
      <c r="G57" s="47">
        <f t="shared" si="5"/>
        <v>1</v>
      </c>
      <c r="H57" s="52"/>
      <c r="I57" s="19"/>
      <c r="J57" s="15"/>
      <c r="K57"/>
      <c r="L57"/>
      <c r="M57"/>
      <c r="N57"/>
      <c r="O57"/>
      <c r="P57" s="15"/>
    </row>
    <row r="58" spans="1:16" x14ac:dyDescent="0.25">
      <c r="A58" s="17">
        <v>41</v>
      </c>
      <c r="B58" s="34">
        <f>IF(N(C58)=0,"",IF(ISNUMBER(MATCH(C58,C$26:C57,)),INDEX(B$26:B57,MATCH(C58,C$26:C57,)),MAX(B$26:B57)+1))</f>
        <v>33</v>
      </c>
      <c r="C58" s="55">
        <v>2136</v>
      </c>
      <c r="D58" s="7">
        <v>2</v>
      </c>
      <c r="E58" s="25">
        <f t="shared" si="3"/>
        <v>2</v>
      </c>
      <c r="F58" s="25">
        <f t="shared" si="4"/>
        <v>0</v>
      </c>
      <c r="G58" s="47">
        <f t="shared" si="5"/>
        <v>1</v>
      </c>
      <c r="H58" s="52"/>
      <c r="I58" s="19"/>
      <c r="J58" s="15"/>
      <c r="K58"/>
      <c r="L58"/>
      <c r="M58"/>
      <c r="N58"/>
      <c r="O58"/>
      <c r="P58" s="15"/>
    </row>
    <row r="59" spans="1:16" x14ac:dyDescent="0.25">
      <c r="A59" s="17">
        <v>42</v>
      </c>
      <c r="B59" s="34">
        <f>IF(N(C59)=0,"",IF(ISNUMBER(MATCH(C59,C$26:C58,)),INDEX(B$26:B58,MATCH(C59,C$26:C58,)),MAX(B$26:B58)+1))</f>
        <v>34</v>
      </c>
      <c r="C59" s="55">
        <v>2176</v>
      </c>
      <c r="D59" s="7">
        <v>2</v>
      </c>
      <c r="E59" s="25">
        <f t="shared" si="3"/>
        <v>2</v>
      </c>
      <c r="F59" s="25">
        <f t="shared" si="4"/>
        <v>0</v>
      </c>
      <c r="G59" s="47">
        <f t="shared" si="5"/>
        <v>1</v>
      </c>
      <c r="H59" s="52"/>
      <c r="I59" s="19"/>
      <c r="J59" s="15"/>
      <c r="K59"/>
      <c r="L59"/>
      <c r="M59"/>
      <c r="N59"/>
      <c r="O59"/>
      <c r="P59" s="15"/>
    </row>
    <row r="60" spans="1:16" x14ac:dyDescent="0.25">
      <c r="A60" s="17">
        <v>43</v>
      </c>
      <c r="B60" s="34">
        <f>IF(N(C60)=0,"",IF(ISNUMBER(MATCH(C60,C$26:C59,)),INDEX(B$26:B59,MATCH(C60,C$26:C59,)),MAX(B$26:B59)+1))</f>
        <v>35</v>
      </c>
      <c r="C60" s="55">
        <v>2286</v>
      </c>
      <c r="D60" s="7">
        <v>2</v>
      </c>
      <c r="E60" s="25">
        <f t="shared" si="3"/>
        <v>2</v>
      </c>
      <c r="F60" s="25">
        <f t="shared" si="4"/>
        <v>0</v>
      </c>
      <c r="G60" s="47">
        <f t="shared" si="5"/>
        <v>1</v>
      </c>
      <c r="H60" s="52"/>
      <c r="I60" s="19"/>
      <c r="J60" s="15"/>
      <c r="K60"/>
      <c r="L60"/>
      <c r="M60"/>
      <c r="N60"/>
      <c r="O60"/>
      <c r="P60" s="15"/>
    </row>
    <row r="61" spans="1:16" x14ac:dyDescent="0.25">
      <c r="A61" s="17">
        <v>44</v>
      </c>
      <c r="B61" s="34">
        <f>IF(N(C61)=0,"",IF(ISNUMBER(MATCH(C61,C$26:C60,)),INDEX(B$26:B60,MATCH(C61,C$26:C60,)),MAX(B$26:B60)+1))</f>
        <v>36</v>
      </c>
      <c r="C61" s="55">
        <v>2346</v>
      </c>
      <c r="D61" s="7">
        <v>2</v>
      </c>
      <c r="E61" s="25">
        <f t="shared" si="3"/>
        <v>2</v>
      </c>
      <c r="F61" s="25">
        <f t="shared" si="4"/>
        <v>0</v>
      </c>
      <c r="G61" s="47">
        <f t="shared" si="5"/>
        <v>1</v>
      </c>
      <c r="H61" s="52"/>
      <c r="I61" s="19"/>
      <c r="J61" s="15"/>
      <c r="K61"/>
      <c r="L61"/>
      <c r="M61"/>
      <c r="N61"/>
      <c r="O61"/>
      <c r="P61" s="15"/>
    </row>
    <row r="62" spans="1:16" x14ac:dyDescent="0.25">
      <c r="A62" s="17">
        <v>45</v>
      </c>
      <c r="B62" s="34" t="str">
        <f>IF(N(C62)=0,"",IF(ISNUMBER(MATCH(C62,C$26:C61,)),INDEX(B$26:B61,MATCH(C62,C$26:C61,)),MAX(B$26:B61)+1))</f>
        <v/>
      </c>
      <c r="C62" s="55"/>
      <c r="D62" s="7"/>
      <c r="E62" s="25" t="str">
        <f t="shared" si="3"/>
        <v/>
      </c>
      <c r="F62" s="25" t="str">
        <f t="shared" si="4"/>
        <v/>
      </c>
      <c r="G62" s="47">
        <f t="shared" si="5"/>
        <v>0</v>
      </c>
      <c r="H62" s="52"/>
      <c r="I62" s="19"/>
      <c r="J62" s="15"/>
      <c r="K62"/>
      <c r="L62"/>
      <c r="M62"/>
      <c r="N62"/>
      <c r="O62"/>
      <c r="P62" s="15"/>
    </row>
    <row r="63" spans="1:16" x14ac:dyDescent="0.25">
      <c r="A63" s="17">
        <v>46</v>
      </c>
      <c r="B63" s="34" t="str">
        <f>IF(N(C63)=0,"",IF(ISNUMBER(MATCH(C63,C$26:C62,)),INDEX(B$26:B62,MATCH(C63,C$26:C62,)),MAX(B$26:B62)+1))</f>
        <v/>
      </c>
      <c r="C63" s="55"/>
      <c r="D63" s="7"/>
      <c r="E63" s="25" t="str">
        <f t="shared" si="3"/>
        <v/>
      </c>
      <c r="F63" s="25" t="str">
        <f t="shared" si="4"/>
        <v/>
      </c>
      <c r="G63" s="47">
        <f t="shared" si="5"/>
        <v>0</v>
      </c>
      <c r="H63" s="52"/>
      <c r="I63" s="19"/>
      <c r="J63" s="15"/>
      <c r="K63"/>
      <c r="L63"/>
      <c r="M63"/>
      <c r="N63"/>
      <c r="O63"/>
      <c r="P63" s="15"/>
    </row>
    <row r="64" spans="1:16" x14ac:dyDescent="0.25">
      <c r="A64" s="17">
        <v>47</v>
      </c>
      <c r="B64" s="34" t="str">
        <f>IF(N(C64)=0,"",IF(ISNUMBER(MATCH(C64,C$26:C63,)),INDEX(B$26:B63,MATCH(C64,C$26:C63,)),MAX(B$26:B63)+1))</f>
        <v/>
      </c>
      <c r="C64" s="55"/>
      <c r="D64" s="7"/>
      <c r="E64" s="25" t="str">
        <f t="shared" si="3"/>
        <v/>
      </c>
      <c r="F64" s="25" t="str">
        <f t="shared" si="4"/>
        <v/>
      </c>
      <c r="G64" s="47">
        <f t="shared" si="5"/>
        <v>0</v>
      </c>
      <c r="H64" s="52"/>
      <c r="I64" s="19"/>
      <c r="J64" s="15"/>
      <c r="K64"/>
      <c r="L64"/>
      <c r="M64"/>
      <c r="N64"/>
      <c r="O64"/>
      <c r="P64" s="15"/>
    </row>
    <row r="65" spans="1:16" x14ac:dyDescent="0.25">
      <c r="A65" s="17">
        <v>48</v>
      </c>
      <c r="B65" s="34" t="str">
        <f>IF(N(C65)=0,"",IF(ISNUMBER(MATCH(C65,C$26:C64,)),INDEX(B$26:B64,MATCH(C65,C$26:C64,)),MAX(B$26:B64)+1))</f>
        <v/>
      </c>
      <c r="C65" s="55"/>
      <c r="D65" s="7"/>
      <c r="E65" s="25" t="str">
        <f t="shared" si="3"/>
        <v/>
      </c>
      <c r="F65" s="25" t="str">
        <f t="shared" si="4"/>
        <v/>
      </c>
      <c r="G65" s="47">
        <f t="shared" si="5"/>
        <v>0</v>
      </c>
      <c r="H65" s="52"/>
      <c r="I65" s="19"/>
      <c r="J65" s="15"/>
      <c r="K65"/>
      <c r="L65"/>
      <c r="M65"/>
      <c r="N65"/>
      <c r="O65"/>
      <c r="P65" s="15"/>
    </row>
    <row r="66" spans="1:16" x14ac:dyDescent="0.25">
      <c r="A66" s="17">
        <v>49</v>
      </c>
      <c r="B66" s="34" t="str">
        <f>IF(N(C66)=0,"",IF(ISNUMBER(MATCH(C66,C$26:C65,)),INDEX(B$26:B65,MATCH(C66,C$26:C65,)),MAX(B$26:B65)+1))</f>
        <v/>
      </c>
      <c r="C66" s="55"/>
      <c r="D66" s="7"/>
      <c r="E66" s="25" t="str">
        <f t="shared" si="3"/>
        <v/>
      </c>
      <c r="F66" s="25" t="str">
        <f t="shared" si="4"/>
        <v/>
      </c>
      <c r="G66" s="47">
        <f t="shared" si="5"/>
        <v>0</v>
      </c>
      <c r="H66" s="52"/>
      <c r="I66" s="19"/>
      <c r="J66" s="15"/>
      <c r="K66"/>
      <c r="L66"/>
      <c r="M66"/>
      <c r="N66"/>
      <c r="O66"/>
      <c r="P66" s="15"/>
    </row>
    <row r="67" spans="1:16" x14ac:dyDescent="0.25">
      <c r="A67" s="17">
        <v>50</v>
      </c>
      <c r="B67" s="34" t="str">
        <f>IF(N(C67)=0,"",IF(ISNUMBER(MATCH(C67,C$26:C66,)),INDEX(B$26:B66,MATCH(C67,C$26:C66,)),MAX(B$26:B66)+1))</f>
        <v/>
      </c>
      <c r="C67" s="55"/>
      <c r="D67" s="7"/>
      <c r="E67" s="25" t="str">
        <f t="shared" si="3"/>
        <v/>
      </c>
      <c r="F67" s="25" t="str">
        <f t="shared" si="4"/>
        <v/>
      </c>
      <c r="G67" s="47">
        <f t="shared" si="5"/>
        <v>0</v>
      </c>
      <c r="H67" s="52"/>
      <c r="I67" s="19"/>
      <c r="J67" s="15"/>
      <c r="K67"/>
      <c r="L67"/>
      <c r="M67"/>
      <c r="N67"/>
      <c r="O67"/>
      <c r="P67" s="15"/>
    </row>
    <row r="68" spans="1:16" x14ac:dyDescent="0.25">
      <c r="A68" s="17">
        <v>51</v>
      </c>
      <c r="B68" s="34" t="str">
        <f>IF(N(C68)=0,"",IF(ISNUMBER(MATCH(C68,C$26:C67,)),INDEX(B$26:B67,MATCH(C68,C$26:C67,)),MAX(B$26:B67)+1))</f>
        <v/>
      </c>
      <c r="C68" s="55"/>
      <c r="D68" s="7"/>
      <c r="E68" s="25" t="str">
        <f t="shared" si="3"/>
        <v/>
      </c>
      <c r="F68" s="25" t="str">
        <f t="shared" si="4"/>
        <v/>
      </c>
      <c r="G68" s="47">
        <f t="shared" si="5"/>
        <v>0</v>
      </c>
      <c r="H68" s="52"/>
      <c r="I68" s="19"/>
      <c r="J68" s="15"/>
      <c r="K68"/>
      <c r="L68"/>
      <c r="M68"/>
      <c r="N68"/>
      <c r="O68"/>
      <c r="P68" s="15"/>
    </row>
    <row r="69" spans="1:16" x14ac:dyDescent="0.25">
      <c r="A69" s="17">
        <v>52</v>
      </c>
      <c r="B69" s="34" t="str">
        <f>IF(N(C69)=0,"",IF(ISNUMBER(MATCH(C69,C$26:C68,)),INDEX(B$26:B68,MATCH(C69,C$26:C68,)),MAX(B$26:B68)+1))</f>
        <v/>
      </c>
      <c r="C69" s="55"/>
      <c r="D69" s="7"/>
      <c r="E69" s="25" t="str">
        <f t="shared" si="3"/>
        <v/>
      </c>
      <c r="F69" s="25" t="str">
        <f t="shared" si="4"/>
        <v/>
      </c>
      <c r="G69" s="47">
        <f t="shared" si="5"/>
        <v>0</v>
      </c>
      <c r="H69" s="52"/>
      <c r="I69" s="19"/>
      <c r="J69" s="15"/>
      <c r="K69"/>
      <c r="L69"/>
      <c r="M69"/>
      <c r="N69"/>
      <c r="O69"/>
      <c r="P69" s="15"/>
    </row>
    <row r="70" spans="1:16" x14ac:dyDescent="0.25">
      <c r="A70" s="17">
        <v>53</v>
      </c>
      <c r="B70" s="34" t="str">
        <f>IF(N(C70)=0,"",IF(ISNUMBER(MATCH(C70,C$26:C69,)),INDEX(B$26:B69,MATCH(C70,C$26:C69,)),MAX(B$26:B69)+1))</f>
        <v/>
      </c>
      <c r="C70" s="55"/>
      <c r="D70" s="7"/>
      <c r="E70" s="25" t="str">
        <f t="shared" si="3"/>
        <v/>
      </c>
      <c r="F70" s="25" t="str">
        <f t="shared" si="4"/>
        <v/>
      </c>
      <c r="G70" s="47">
        <f t="shared" si="5"/>
        <v>0</v>
      </c>
      <c r="H70" s="52"/>
      <c r="I70" s="19"/>
      <c r="J70" s="15"/>
      <c r="K70"/>
      <c r="L70"/>
      <c r="M70"/>
      <c r="N70"/>
      <c r="O70"/>
      <c r="P70" s="15"/>
    </row>
    <row r="71" spans="1:16" x14ac:dyDescent="0.25">
      <c r="A71" s="17">
        <v>54</v>
      </c>
      <c r="B71" s="34" t="str">
        <f>IF(N(C71)=0,"",IF(ISNUMBER(MATCH(C71,C$26:C70,)),INDEX(B$26:B70,MATCH(C71,C$26:C70,)),MAX(B$26:B70)+1))</f>
        <v/>
      </c>
      <c r="C71" s="55"/>
      <c r="D71" s="7"/>
      <c r="E71" s="25" t="str">
        <f t="shared" si="3"/>
        <v/>
      </c>
      <c r="F71" s="25" t="str">
        <f t="shared" si="4"/>
        <v/>
      </c>
      <c r="G71" s="47">
        <f t="shared" si="5"/>
        <v>0</v>
      </c>
      <c r="H71" s="52"/>
      <c r="I71" s="19"/>
      <c r="J71" s="15"/>
      <c r="K71"/>
      <c r="L71"/>
      <c r="M71"/>
      <c r="N71"/>
      <c r="O71"/>
      <c r="P71" s="15"/>
    </row>
    <row r="72" spans="1:16" x14ac:dyDescent="0.25">
      <c r="A72" s="17">
        <v>55</v>
      </c>
      <c r="B72" s="34" t="str">
        <f>IF(N(C72)=0,"",IF(ISNUMBER(MATCH(C72,C$26:C71,)),INDEX(B$26:B71,MATCH(C72,C$26:C71,)),MAX(B$26:B71)+1))</f>
        <v/>
      </c>
      <c r="C72" s="55"/>
      <c r="D72" s="7"/>
      <c r="E72" s="25" t="str">
        <f t="shared" si="3"/>
        <v/>
      </c>
      <c r="F72" s="25" t="str">
        <f t="shared" si="4"/>
        <v/>
      </c>
      <c r="G72" s="47">
        <f t="shared" si="5"/>
        <v>0</v>
      </c>
      <c r="H72" s="52"/>
      <c r="I72" s="19"/>
      <c r="J72" s="15"/>
      <c r="K72"/>
      <c r="L72"/>
      <c r="M72"/>
      <c r="N72"/>
      <c r="O72"/>
      <c r="P72" s="15"/>
    </row>
    <row r="73" spans="1:16" x14ac:dyDescent="0.25">
      <c r="A73" s="17">
        <v>56</v>
      </c>
      <c r="B73" s="34" t="str">
        <f>IF(N(C73)=0,"",IF(ISNUMBER(MATCH(C73,C$26:C72,)),INDEX(B$26:B72,MATCH(C73,C$26:C72,)),MAX(B$26:B72)+1))</f>
        <v/>
      </c>
      <c r="C73" s="55"/>
      <c r="D73" s="7"/>
      <c r="E73" s="25" t="str">
        <f t="shared" si="3"/>
        <v/>
      </c>
      <c r="F73" s="25" t="str">
        <f t="shared" si="4"/>
        <v/>
      </c>
      <c r="G73" s="47">
        <f t="shared" si="5"/>
        <v>0</v>
      </c>
      <c r="H73" s="52"/>
      <c r="I73" s="19"/>
      <c r="J73" s="15"/>
      <c r="K73"/>
      <c r="L73"/>
      <c r="M73"/>
      <c r="N73"/>
      <c r="O73"/>
      <c r="P73" s="15"/>
    </row>
    <row r="74" spans="1:16" x14ac:dyDescent="0.25">
      <c r="A74" s="17">
        <v>57</v>
      </c>
      <c r="B74" s="34" t="str">
        <f>IF(N(C74)=0,"",IF(ISNUMBER(MATCH(C74,C$26:C73,)),INDEX(B$26:B73,MATCH(C74,C$26:C73,)),MAX(B$26:B73)+1))</f>
        <v/>
      </c>
      <c r="C74" s="55"/>
      <c r="D74" s="7"/>
      <c r="E74" s="25" t="str">
        <f t="shared" si="3"/>
        <v/>
      </c>
      <c r="F74" s="25" t="str">
        <f t="shared" si="4"/>
        <v/>
      </c>
      <c r="G74" s="47">
        <f t="shared" si="5"/>
        <v>0</v>
      </c>
      <c r="H74" s="52"/>
      <c r="I74" s="19"/>
      <c r="J74" s="15"/>
      <c r="K74"/>
      <c r="L74"/>
      <c r="M74"/>
      <c r="N74"/>
      <c r="O74"/>
      <c r="P74" s="15"/>
    </row>
    <row r="75" spans="1:16" x14ac:dyDescent="0.25">
      <c r="A75" s="17">
        <v>58</v>
      </c>
      <c r="B75" s="34" t="str">
        <f>IF(N(C75)=0,"",IF(ISNUMBER(MATCH(C75,C$26:C74,)),INDEX(B$26:B74,MATCH(C75,C$26:C74,)),MAX(B$26:B74)+1))</f>
        <v/>
      </c>
      <c r="C75" s="55"/>
      <c r="D75" s="7"/>
      <c r="E75" s="25" t="str">
        <f t="shared" si="3"/>
        <v/>
      </c>
      <c r="F75" s="25" t="str">
        <f t="shared" si="4"/>
        <v/>
      </c>
      <c r="G75" s="47">
        <f t="shared" si="5"/>
        <v>0</v>
      </c>
      <c r="H75" s="52"/>
      <c r="I75" s="19"/>
      <c r="J75" s="15"/>
      <c r="K75"/>
      <c r="L75"/>
      <c r="M75"/>
      <c r="N75"/>
      <c r="O75"/>
      <c r="P75" s="15"/>
    </row>
    <row r="76" spans="1:16" x14ac:dyDescent="0.25">
      <c r="A76" s="17">
        <v>59</v>
      </c>
      <c r="B76" s="34" t="str">
        <f>IF(N(C76)=0,"",IF(ISNUMBER(MATCH(C76,C$26:C75,)),INDEX(B$26:B75,MATCH(C76,C$26:C75,)),MAX(B$26:B75)+1))</f>
        <v/>
      </c>
      <c r="C76" s="55"/>
      <c r="D76" s="7"/>
      <c r="E76" s="25" t="str">
        <f t="shared" si="3"/>
        <v/>
      </c>
      <c r="F76" s="25" t="str">
        <f t="shared" si="4"/>
        <v/>
      </c>
      <c r="G76" s="47">
        <f t="shared" si="5"/>
        <v>0</v>
      </c>
      <c r="H76" s="52"/>
      <c r="I76" s="19"/>
      <c r="J76" s="15"/>
      <c r="K76"/>
      <c r="L76"/>
      <c r="M76"/>
      <c r="N76"/>
      <c r="O76"/>
      <c r="P76" s="15"/>
    </row>
    <row r="77" spans="1:16" x14ac:dyDescent="0.25">
      <c r="A77" s="17">
        <v>60</v>
      </c>
      <c r="B77" s="34" t="str">
        <f>IF(N(C77)=0,"",IF(ISNUMBER(MATCH(C77,C$26:C76,)),INDEX(B$26:B76,MATCH(C77,C$26:C76,)),MAX(B$26:B76)+1))</f>
        <v/>
      </c>
      <c r="C77" s="55"/>
      <c r="D77" s="7"/>
      <c r="E77" s="25" t="str">
        <f t="shared" si="3"/>
        <v/>
      </c>
      <c r="F77" s="25" t="str">
        <f t="shared" si="4"/>
        <v/>
      </c>
      <c r="G77" s="47">
        <f t="shared" si="5"/>
        <v>0</v>
      </c>
      <c r="H77" s="52"/>
      <c r="I77" s="19"/>
      <c r="J77" s="15"/>
      <c r="K77"/>
      <c r="L77"/>
      <c r="M77"/>
      <c r="N77"/>
      <c r="O77"/>
      <c r="P77" s="15"/>
    </row>
    <row r="78" spans="1:16" x14ac:dyDescent="0.25">
      <c r="A78" s="17">
        <v>61</v>
      </c>
      <c r="B78" s="34" t="str">
        <f>IF(N(C78)=0,"",IF(ISNUMBER(MATCH(C78,C$26:C77,)),INDEX(B$26:B77,MATCH(C78,C$26:C77,)),MAX(B$26:B77)+1))</f>
        <v/>
      </c>
      <c r="C78" s="55"/>
      <c r="D78" s="7"/>
      <c r="E78" s="25" t="str">
        <f t="shared" si="3"/>
        <v/>
      </c>
      <c r="F78" s="25" t="str">
        <f t="shared" si="4"/>
        <v/>
      </c>
      <c r="G78" s="47">
        <f t="shared" si="5"/>
        <v>0</v>
      </c>
      <c r="H78" s="52"/>
      <c r="I78" s="19"/>
      <c r="J78" s="15"/>
      <c r="K78"/>
      <c r="L78"/>
      <c r="M78"/>
      <c r="N78"/>
      <c r="O78"/>
      <c r="P78" s="15"/>
    </row>
    <row r="79" spans="1:16" x14ac:dyDescent="0.25">
      <c r="A79" s="17">
        <v>62</v>
      </c>
      <c r="B79" s="34" t="str">
        <f>IF(N(C79)=0,"",IF(ISNUMBER(MATCH(C79,C$26:C78,)),INDEX(B$26:B78,MATCH(C79,C$26:C78,)),MAX(B$26:B78)+1))</f>
        <v/>
      </c>
      <c r="C79" s="55"/>
      <c r="D79" s="7"/>
      <c r="E79" s="25" t="str">
        <f t="shared" si="3"/>
        <v/>
      </c>
      <c r="F79" s="25" t="str">
        <f t="shared" si="4"/>
        <v/>
      </c>
      <c r="G79" s="47">
        <f t="shared" si="5"/>
        <v>0</v>
      </c>
      <c r="H79" s="52"/>
      <c r="I79" s="19"/>
      <c r="J79" s="15"/>
      <c r="K79"/>
      <c r="L79"/>
      <c r="M79"/>
      <c r="N79"/>
      <c r="O79"/>
      <c r="P79" s="15"/>
    </row>
    <row r="80" spans="1:16" x14ac:dyDescent="0.25">
      <c r="A80" s="17">
        <v>63</v>
      </c>
      <c r="B80" s="34" t="str">
        <f>IF(N(C80)=0,"",IF(ISNUMBER(MATCH(C80,C$26:C79,)),INDEX(B$26:B79,MATCH(C80,C$26:C79,)),MAX(B$26:B79)+1))</f>
        <v/>
      </c>
      <c r="C80" s="55"/>
      <c r="D80" s="7"/>
      <c r="E80" s="25" t="str">
        <f t="shared" si="3"/>
        <v/>
      </c>
      <c r="F80" s="25" t="str">
        <f t="shared" si="4"/>
        <v/>
      </c>
      <c r="G80" s="47">
        <f t="shared" si="5"/>
        <v>0</v>
      </c>
      <c r="H80" s="52"/>
      <c r="I80" s="19"/>
      <c r="J80" s="15"/>
      <c r="K80"/>
      <c r="L80"/>
      <c r="M80"/>
      <c r="N80"/>
      <c r="O80"/>
      <c r="P80" s="15"/>
    </row>
    <row r="81" spans="1:16" x14ac:dyDescent="0.25">
      <c r="A81" s="17">
        <v>64</v>
      </c>
      <c r="B81" s="34" t="str">
        <f>IF(N(C81)=0,"",IF(ISNUMBER(MATCH(C81,C$26:C80,)),INDEX(B$26:B80,MATCH(C81,C$26:C80,)),MAX(B$26:B80)+1))</f>
        <v/>
      </c>
      <c r="C81" s="55"/>
      <c r="D81" s="7"/>
      <c r="E81" s="25" t="str">
        <f t="shared" si="3"/>
        <v/>
      </c>
      <c r="F81" s="25" t="str">
        <f t="shared" si="4"/>
        <v/>
      </c>
      <c r="G81" s="47">
        <f t="shared" si="5"/>
        <v>0</v>
      </c>
      <c r="H81" s="52"/>
      <c r="I81" s="19"/>
      <c r="J81" s="15"/>
      <c r="K81"/>
      <c r="L81"/>
      <c r="M81"/>
      <c r="N81"/>
      <c r="O81"/>
      <c r="P81" s="15"/>
    </row>
    <row r="82" spans="1:16" x14ac:dyDescent="0.25">
      <c r="A82" s="17">
        <v>65</v>
      </c>
      <c r="B82" s="34" t="str">
        <f>IF(N(C82)=0,"",IF(ISNUMBER(MATCH(C82,C$26:C81,)),INDEX(B$26:B81,MATCH(C82,C$26:C81,)),MAX(B$26:B81)+1))</f>
        <v/>
      </c>
      <c r="C82" s="55"/>
      <c r="D82" s="7"/>
      <c r="E82" s="25" t="str">
        <f t="shared" si="3"/>
        <v/>
      </c>
      <c r="F82" s="25" t="str">
        <f t="shared" si="4"/>
        <v/>
      </c>
      <c r="G82" s="47">
        <f t="shared" si="5"/>
        <v>0</v>
      </c>
      <c r="H82" s="52"/>
      <c r="I82" s="19"/>
      <c r="J82" s="15"/>
      <c r="K82"/>
      <c r="L82"/>
      <c r="M82"/>
      <c r="N82"/>
      <c r="O82"/>
      <c r="P82" s="15"/>
    </row>
    <row r="83" spans="1:16" x14ac:dyDescent="0.25">
      <c r="A83" s="17">
        <v>66</v>
      </c>
      <c r="B83" s="34" t="str">
        <f>IF(N(C83)=0,"",IF(ISNUMBER(MATCH(C83,C$26:C82,)),INDEX(B$26:B82,MATCH(C83,C$26:C82,)),MAX(B$26:B82)+1))</f>
        <v/>
      </c>
      <c r="C83" s="55"/>
      <c r="D83" s="7"/>
      <c r="E83" s="25" t="str">
        <f t="shared" si="3"/>
        <v/>
      </c>
      <c r="F83" s="25" t="str">
        <f t="shared" si="4"/>
        <v/>
      </c>
      <c r="G83" s="47">
        <f t="shared" si="5"/>
        <v>0</v>
      </c>
      <c r="H83" s="52"/>
      <c r="I83" s="19"/>
      <c r="J83" s="15"/>
      <c r="K83"/>
      <c r="L83"/>
      <c r="M83"/>
      <c r="N83"/>
      <c r="O83"/>
      <c r="P83" s="15"/>
    </row>
    <row r="84" spans="1:16" x14ac:dyDescent="0.25">
      <c r="A84" s="17">
        <v>67</v>
      </c>
      <c r="B84" s="34" t="str">
        <f>IF(N(C84)=0,"",IF(ISNUMBER(MATCH(C84,C$26:C83,)),INDEX(B$26:B83,MATCH(C84,C$26:C83,)),MAX(B$26:B83)+1))</f>
        <v/>
      </c>
      <c r="C84" s="55"/>
      <c r="D84" s="7"/>
      <c r="E84" s="25" t="str">
        <f t="shared" si="3"/>
        <v/>
      </c>
      <c r="F84" s="25" t="str">
        <f t="shared" si="4"/>
        <v/>
      </c>
      <c r="G84" s="47">
        <f t="shared" si="5"/>
        <v>0</v>
      </c>
      <c r="H84" s="52"/>
      <c r="I84" s="19"/>
      <c r="J84" s="15"/>
      <c r="K84"/>
      <c r="L84"/>
      <c r="M84"/>
      <c r="N84"/>
      <c r="O84"/>
      <c r="P84" s="15"/>
    </row>
    <row r="85" spans="1:16" x14ac:dyDescent="0.25">
      <c r="A85" s="17">
        <v>68</v>
      </c>
      <c r="B85" s="34" t="str">
        <f>IF(N(C85)=0,"",IF(ISNUMBER(MATCH(C85,C$26:C84,)),INDEX(B$26:B84,MATCH(C85,C$26:C84,)),MAX(B$26:B84)+1))</f>
        <v/>
      </c>
      <c r="C85" s="55"/>
      <c r="D85" s="7"/>
      <c r="E85" s="25" t="str">
        <f t="shared" si="3"/>
        <v/>
      </c>
      <c r="F85" s="25" t="str">
        <f t="shared" si="4"/>
        <v/>
      </c>
      <c r="G85" s="47">
        <f t="shared" si="5"/>
        <v>0</v>
      </c>
      <c r="H85" s="52"/>
      <c r="I85" s="19"/>
      <c r="J85" s="15"/>
      <c r="K85"/>
      <c r="L85"/>
      <c r="M85"/>
      <c r="N85"/>
      <c r="O85"/>
    </row>
    <row r="86" spans="1:16" x14ac:dyDescent="0.25">
      <c r="A86" s="17">
        <v>69</v>
      </c>
      <c r="B86" s="34" t="str">
        <f>IF(N(C86)=0,"",IF(ISNUMBER(MATCH(C86,C$26:C85,)),INDEX(B$26:B85,MATCH(C86,C$26:C85,)),MAX(B$26:B85)+1))</f>
        <v/>
      </c>
      <c r="C86" s="55"/>
      <c r="D86" s="7"/>
      <c r="E86" s="25" t="str">
        <f t="shared" si="3"/>
        <v/>
      </c>
      <c r="F86" s="25" t="str">
        <f t="shared" si="4"/>
        <v/>
      </c>
      <c r="G86" s="47">
        <f t="shared" si="5"/>
        <v>0</v>
      </c>
      <c r="H86" s="52"/>
      <c r="I86" s="19"/>
      <c r="J86" s="15"/>
      <c r="K86"/>
      <c r="L86"/>
      <c r="M86"/>
      <c r="N86"/>
      <c r="O86"/>
    </row>
    <row r="87" spans="1:16" x14ac:dyDescent="0.25">
      <c r="A87" s="17">
        <v>70</v>
      </c>
      <c r="B87" s="34" t="str">
        <f>IF(N(C87)=0,"",IF(ISNUMBER(MATCH(C87,C$26:C86,)),INDEX(B$26:B86,MATCH(C87,C$26:C86,)),MAX(B$26:B86)+1))</f>
        <v/>
      </c>
      <c r="C87" s="55"/>
      <c r="D87" s="7"/>
      <c r="E87" s="25" t="str">
        <f t="shared" si="3"/>
        <v/>
      </c>
      <c r="F87" s="25" t="str">
        <f t="shared" si="4"/>
        <v/>
      </c>
      <c r="G87" s="47">
        <f t="shared" si="5"/>
        <v>0</v>
      </c>
      <c r="H87" s="52"/>
      <c r="I87" s="19"/>
      <c r="J87" s="15"/>
      <c r="K87"/>
      <c r="L87"/>
      <c r="M87"/>
      <c r="N87"/>
      <c r="O87"/>
    </row>
    <row r="88" spans="1:16" x14ac:dyDescent="0.25">
      <c r="A88" s="17">
        <v>71</v>
      </c>
      <c r="B88" s="34" t="str">
        <f>IF(N(C88)=0,"",IF(ISNUMBER(MATCH(C88,C$26:C87,)),INDEX(B$26:B87,MATCH(C88,C$26:C87,)),MAX(B$26:B87)+1))</f>
        <v/>
      </c>
      <c r="C88" s="55"/>
      <c r="D88" s="7"/>
      <c r="E88" s="25" t="str">
        <f t="shared" si="3"/>
        <v/>
      </c>
      <c r="F88" s="25" t="str">
        <f t="shared" si="4"/>
        <v/>
      </c>
      <c r="G88" s="47">
        <f t="shared" si="5"/>
        <v>0</v>
      </c>
      <c r="H88" s="52"/>
      <c r="I88" s="19"/>
      <c r="J88" s="15"/>
      <c r="K88"/>
      <c r="L88"/>
      <c r="M88"/>
      <c r="N88"/>
      <c r="O88"/>
    </row>
    <row r="89" spans="1:16" x14ac:dyDescent="0.25">
      <c r="A89" s="17">
        <v>72</v>
      </c>
      <c r="B89" s="34" t="str">
        <f>IF(N(C89)=0,"",IF(ISNUMBER(MATCH(C89,C$26:C88,)),INDEX(B$26:B88,MATCH(C89,C$26:C88,)),MAX(B$26:B88)+1))</f>
        <v/>
      </c>
      <c r="C89" s="55"/>
      <c r="D89" s="7"/>
      <c r="E89" s="25" t="str">
        <f t="shared" si="3"/>
        <v/>
      </c>
      <c r="F89" s="25" t="str">
        <f t="shared" si="4"/>
        <v/>
      </c>
      <c r="G89" s="47">
        <f t="shared" si="5"/>
        <v>0</v>
      </c>
      <c r="H89" s="52"/>
      <c r="I89" s="19"/>
      <c r="J89" s="15"/>
      <c r="K89"/>
      <c r="L89"/>
      <c r="M89"/>
      <c r="N89"/>
      <c r="O89"/>
    </row>
    <row r="90" spans="1:16" x14ac:dyDescent="0.25">
      <c r="A90" s="17">
        <v>73</v>
      </c>
      <c r="B90" s="34" t="str">
        <f>IF(N(C90)=0,"",IF(ISNUMBER(MATCH(C90,C$26:C89,)),INDEX(B$26:B89,MATCH(C90,C$26:C89,)),MAX(B$26:B89)+1))</f>
        <v/>
      </c>
      <c r="C90" s="55"/>
      <c r="D90" s="7"/>
      <c r="E90" s="25" t="str">
        <f t="shared" ref="E90:E115" si="6">IF($K$3=0,0,IF(ISNA(VLOOKUP(C90,H$26:I$115,2,))*C90,D90,IF(C90="","",IF(D90="",TRUNC($C$3/C90)-VLOOKUP(C90,H$26:I$115,2,),D90-VLOOKUP(C90,H$26:I$115,2,)))))</f>
        <v/>
      </c>
      <c r="F90" s="25" t="str">
        <f t="shared" ref="F90:F115" si="7">IF($K$3=0,"",IF(AND(C90&lt;&gt;"",D90&lt;&gt;""),D90-E90,IF(D90="","",TRUNC($C$3/C90)-VLOOKUP(C90,H$26:I$115,2,))))</f>
        <v/>
      </c>
      <c r="G90" s="47">
        <f t="shared" si="5"/>
        <v>0</v>
      </c>
      <c r="H90" s="52"/>
      <c r="I90" s="19"/>
      <c r="J90" s="15"/>
      <c r="K90"/>
      <c r="L90"/>
      <c r="M90"/>
      <c r="N90"/>
      <c r="O90"/>
    </row>
    <row r="91" spans="1:16" x14ac:dyDescent="0.25">
      <c r="A91" s="17">
        <v>74</v>
      </c>
      <c r="B91" s="34" t="str">
        <f>IF(N(C91)=0,"",IF(ISNUMBER(MATCH(C91,C$26:C90,)),INDEX(B$26:B90,MATCH(C91,C$26:C90,)),MAX(B$26:B90)+1))</f>
        <v/>
      </c>
      <c r="C91" s="55"/>
      <c r="D91" s="7"/>
      <c r="E91" s="25" t="str">
        <f t="shared" si="6"/>
        <v/>
      </c>
      <c r="F91" s="25" t="str">
        <f t="shared" si="7"/>
        <v/>
      </c>
      <c r="G91" s="47">
        <f t="shared" ref="G91:G114" si="8">--(C91+H91+K91&gt;0)</f>
        <v>0</v>
      </c>
      <c r="H91" s="52"/>
      <c r="I91" s="19"/>
      <c r="J91" s="15"/>
      <c r="K91"/>
      <c r="L91"/>
      <c r="M91"/>
      <c r="N91"/>
      <c r="O91"/>
    </row>
    <row r="92" spans="1:16" x14ac:dyDescent="0.25">
      <c r="A92" s="17">
        <v>75</v>
      </c>
      <c r="B92" s="34" t="str">
        <f>IF(N(C92)=0,"",IF(ISNUMBER(MATCH(C92,C$26:C91,)),INDEX(B$26:B91,MATCH(C92,C$26:C91,)),MAX(B$26:B91)+1))</f>
        <v/>
      </c>
      <c r="C92" s="55"/>
      <c r="D92" s="7"/>
      <c r="E92" s="25" t="str">
        <f t="shared" si="6"/>
        <v/>
      </c>
      <c r="F92" s="25" t="str">
        <f t="shared" si="7"/>
        <v/>
      </c>
      <c r="G92" s="47">
        <f t="shared" si="8"/>
        <v>0</v>
      </c>
      <c r="H92" s="52"/>
      <c r="I92" s="19"/>
      <c r="J92" s="15"/>
      <c r="K92"/>
      <c r="L92"/>
      <c r="M92"/>
      <c r="N92"/>
      <c r="O92"/>
    </row>
    <row r="93" spans="1:16" x14ac:dyDescent="0.25">
      <c r="A93" s="17">
        <v>76</v>
      </c>
      <c r="B93" s="34" t="str">
        <f>IF(N(C93)=0,"",IF(ISNUMBER(MATCH(C93,C$26:C92,)),INDEX(B$26:B92,MATCH(C93,C$26:C92,)),MAX(B$26:B92)+1))</f>
        <v/>
      </c>
      <c r="C93" s="55"/>
      <c r="D93" s="7"/>
      <c r="E93" s="25" t="str">
        <f t="shared" si="6"/>
        <v/>
      </c>
      <c r="F93" s="25" t="str">
        <f t="shared" si="7"/>
        <v/>
      </c>
      <c r="G93" s="47">
        <f t="shared" si="8"/>
        <v>0</v>
      </c>
      <c r="H93" s="52"/>
      <c r="I93" s="19"/>
      <c r="J93" s="15"/>
      <c r="K93"/>
      <c r="L93"/>
      <c r="M93"/>
      <c r="N93"/>
      <c r="O93"/>
    </row>
    <row r="94" spans="1:16" x14ac:dyDescent="0.25">
      <c r="A94" s="17">
        <v>77</v>
      </c>
      <c r="B94" s="34" t="str">
        <f>IF(N(C94)=0,"",IF(ISNUMBER(MATCH(C94,C$26:C93,)),INDEX(B$26:B93,MATCH(C94,C$26:C93,)),MAX(B$26:B93)+1))</f>
        <v/>
      </c>
      <c r="C94" s="55"/>
      <c r="D94" s="7"/>
      <c r="E94" s="25" t="str">
        <f t="shared" si="6"/>
        <v/>
      </c>
      <c r="F94" s="25" t="str">
        <f t="shared" si="7"/>
        <v/>
      </c>
      <c r="G94" s="47">
        <f t="shared" si="8"/>
        <v>0</v>
      </c>
      <c r="H94" s="52"/>
      <c r="I94" s="19"/>
      <c r="J94" s="15"/>
      <c r="K94"/>
      <c r="L94"/>
      <c r="M94"/>
      <c r="N94"/>
      <c r="O94"/>
    </row>
    <row r="95" spans="1:16" x14ac:dyDescent="0.25">
      <c r="A95" s="17">
        <v>78</v>
      </c>
      <c r="B95" s="34" t="str">
        <f>IF(N(C95)=0,"",IF(ISNUMBER(MATCH(C95,C$26:C94,)),INDEX(B$26:B94,MATCH(C95,C$26:C94,)),MAX(B$26:B94)+1))</f>
        <v/>
      </c>
      <c r="C95" s="55"/>
      <c r="D95" s="7"/>
      <c r="E95" s="25" t="str">
        <f t="shared" si="6"/>
        <v/>
      </c>
      <c r="F95" s="25" t="str">
        <f t="shared" si="7"/>
        <v/>
      </c>
      <c r="G95" s="47">
        <f t="shared" si="8"/>
        <v>0</v>
      </c>
      <c r="H95" s="52"/>
      <c r="I95" s="19"/>
      <c r="J95" s="15"/>
      <c r="K95"/>
      <c r="L95"/>
      <c r="M95"/>
      <c r="N95"/>
      <c r="O95"/>
    </row>
    <row r="96" spans="1:16" x14ac:dyDescent="0.25">
      <c r="A96" s="17">
        <v>79</v>
      </c>
      <c r="B96" s="34" t="str">
        <f>IF(N(C96)=0,"",IF(ISNUMBER(MATCH(C96,C$26:C95,)),INDEX(B$26:B95,MATCH(C96,C$26:C95,)),MAX(B$26:B95)+1))</f>
        <v/>
      </c>
      <c r="C96" s="55"/>
      <c r="D96" s="7"/>
      <c r="E96" s="25" t="str">
        <f t="shared" si="6"/>
        <v/>
      </c>
      <c r="F96" s="25" t="str">
        <f t="shared" si="7"/>
        <v/>
      </c>
      <c r="G96" s="47">
        <f t="shared" si="8"/>
        <v>0</v>
      </c>
      <c r="H96" s="52"/>
      <c r="I96" s="19"/>
      <c r="J96" s="15"/>
      <c r="K96"/>
      <c r="L96"/>
      <c r="M96"/>
      <c r="N96"/>
      <c r="O96"/>
    </row>
    <row r="97" spans="1:15" x14ac:dyDescent="0.25">
      <c r="A97" s="17">
        <v>80</v>
      </c>
      <c r="B97" s="34" t="str">
        <f>IF(N(C97)=0,"",IF(ISNUMBER(MATCH(C97,C$26:C96,)),INDEX(B$26:B96,MATCH(C97,C$26:C96,)),MAX(B$26:B96)+1))</f>
        <v/>
      </c>
      <c r="C97" s="55"/>
      <c r="D97" s="7"/>
      <c r="E97" s="25" t="str">
        <f t="shared" si="6"/>
        <v/>
      </c>
      <c r="F97" s="25" t="str">
        <f t="shared" si="7"/>
        <v/>
      </c>
      <c r="G97" s="47">
        <f t="shared" si="8"/>
        <v>0</v>
      </c>
      <c r="H97" s="52"/>
      <c r="I97" s="19"/>
      <c r="J97" s="17" t="s">
        <v>15</v>
      </c>
      <c r="K97"/>
      <c r="L97"/>
      <c r="M97"/>
      <c r="N97"/>
      <c r="O97"/>
    </row>
    <row r="98" spans="1:15" x14ac:dyDescent="0.25">
      <c r="A98" s="17">
        <v>81</v>
      </c>
      <c r="B98" s="34" t="str">
        <f>IF(N(C98)=0,"",IF(ISNUMBER(MATCH(C98,C$26:C97,)),INDEX(B$26:B97,MATCH(C98,C$26:C97,)),MAX(B$26:B97)+1))</f>
        <v/>
      </c>
      <c r="C98" s="55"/>
      <c r="D98" s="7"/>
      <c r="E98" s="25" t="str">
        <f t="shared" si="6"/>
        <v/>
      </c>
      <c r="F98" s="25" t="str">
        <f t="shared" si="7"/>
        <v/>
      </c>
      <c r="G98" s="47">
        <f t="shared" si="8"/>
        <v>0</v>
      </c>
      <c r="H98" s="52"/>
      <c r="I98" s="19"/>
      <c r="J98" s="17" t="s">
        <v>16</v>
      </c>
      <c r="K98"/>
      <c r="L98"/>
      <c r="M98"/>
      <c r="N98"/>
      <c r="O98"/>
    </row>
    <row r="99" spans="1:15" x14ac:dyDescent="0.25">
      <c r="A99" s="17">
        <v>82</v>
      </c>
      <c r="B99" s="34" t="str">
        <f>IF(N(C99)=0,"",IF(ISNUMBER(MATCH(C99,C$26:C98,)),INDEX(B$26:B98,MATCH(C99,C$26:C98,)),MAX(B$26:B98)+1))</f>
        <v/>
      </c>
      <c r="C99" s="55"/>
      <c r="D99" s="7"/>
      <c r="E99" s="25" t="str">
        <f t="shared" si="6"/>
        <v/>
      </c>
      <c r="F99" s="25" t="str">
        <f t="shared" si="7"/>
        <v/>
      </c>
      <c r="G99" s="47">
        <f t="shared" si="8"/>
        <v>0</v>
      </c>
      <c r="H99" s="52"/>
      <c r="I99" s="19"/>
      <c r="J99" s="15"/>
      <c r="K99"/>
      <c r="L99"/>
      <c r="M99"/>
      <c r="N99"/>
      <c r="O99"/>
    </row>
    <row r="100" spans="1:15" x14ac:dyDescent="0.25">
      <c r="A100" s="17">
        <v>83</v>
      </c>
      <c r="B100" s="34" t="str">
        <f>IF(N(C100)=0,"",IF(ISNUMBER(MATCH(C100,C$26:C99,)),INDEX(B$26:B99,MATCH(C100,C$26:C99,)),MAX(B$26:B99)+1))</f>
        <v/>
      </c>
      <c r="C100" s="55"/>
      <c r="D100" s="7"/>
      <c r="E100" s="25" t="str">
        <f t="shared" si="6"/>
        <v/>
      </c>
      <c r="F100" s="25" t="str">
        <f t="shared" si="7"/>
        <v/>
      </c>
      <c r="G100" s="47">
        <f t="shared" si="8"/>
        <v>0</v>
      </c>
      <c r="H100" s="52"/>
      <c r="I100" s="19"/>
      <c r="J100" s="15"/>
      <c r="K100"/>
      <c r="L100"/>
      <c r="M100"/>
      <c r="N100"/>
      <c r="O100"/>
    </row>
    <row r="101" spans="1:15" x14ac:dyDescent="0.25">
      <c r="A101" s="17">
        <v>84</v>
      </c>
      <c r="B101" s="34" t="str">
        <f>IF(N(C101)=0,"",IF(ISNUMBER(MATCH(C101,C$26:C100,)),INDEX(B$26:B100,MATCH(C101,C$26:C100,)),MAX(B$26:B100)+1))</f>
        <v/>
      </c>
      <c r="C101" s="55"/>
      <c r="D101" s="7"/>
      <c r="E101" s="25" t="str">
        <f t="shared" si="6"/>
        <v/>
      </c>
      <c r="F101" s="25" t="str">
        <f t="shared" si="7"/>
        <v/>
      </c>
      <c r="G101" s="47">
        <f t="shared" si="8"/>
        <v>0</v>
      </c>
      <c r="H101" s="52"/>
      <c r="I101" s="19"/>
      <c r="J101" s="15"/>
      <c r="K101"/>
      <c r="L101"/>
      <c r="M101"/>
      <c r="N101"/>
      <c r="O101"/>
    </row>
    <row r="102" spans="1:15" x14ac:dyDescent="0.25">
      <c r="A102" s="17">
        <v>85</v>
      </c>
      <c r="B102" s="34" t="str">
        <f>IF(N(C102)=0,"",IF(ISNUMBER(MATCH(C102,C$26:C101,)),INDEX(B$26:B101,MATCH(C102,C$26:C101,)),MAX(B$26:B101)+1))</f>
        <v/>
      </c>
      <c r="C102" s="55"/>
      <c r="D102" s="7"/>
      <c r="E102" s="25" t="str">
        <f t="shared" si="6"/>
        <v/>
      </c>
      <c r="F102" s="25" t="str">
        <f t="shared" si="7"/>
        <v/>
      </c>
      <c r="G102" s="47">
        <f t="shared" si="8"/>
        <v>0</v>
      </c>
      <c r="H102" s="52"/>
      <c r="I102" s="19"/>
      <c r="J102" s="15"/>
      <c r="K102"/>
      <c r="L102"/>
      <c r="M102"/>
      <c r="N102"/>
      <c r="O102"/>
    </row>
    <row r="103" spans="1:15" x14ac:dyDescent="0.25">
      <c r="A103" s="17">
        <v>86</v>
      </c>
      <c r="B103" s="34" t="str">
        <f>IF(N(C103)=0,"",IF(ISNUMBER(MATCH(C103,C$26:C102,)),INDEX(B$26:B102,MATCH(C103,C$26:C102,)),MAX(B$26:B102)+1))</f>
        <v/>
      </c>
      <c r="C103" s="55"/>
      <c r="D103" s="7"/>
      <c r="E103" s="25" t="str">
        <f t="shared" si="6"/>
        <v/>
      </c>
      <c r="F103" s="25" t="str">
        <f t="shared" si="7"/>
        <v/>
      </c>
      <c r="G103" s="47">
        <f t="shared" si="8"/>
        <v>0</v>
      </c>
      <c r="H103" s="52"/>
      <c r="I103" s="19"/>
      <c r="J103" s="15"/>
      <c r="K103"/>
      <c r="L103"/>
      <c r="M103"/>
      <c r="N103"/>
      <c r="O103"/>
    </row>
    <row r="104" spans="1:15" x14ac:dyDescent="0.25">
      <c r="A104" s="17">
        <v>87</v>
      </c>
      <c r="B104" s="34" t="str">
        <f>IF(N(C104)=0,"",IF(ISNUMBER(MATCH(C104,C$26:C103,)),INDEX(B$26:B103,MATCH(C104,C$26:C103,)),MAX(B$26:B103)+1))</f>
        <v/>
      </c>
      <c r="C104" s="55"/>
      <c r="D104" s="7"/>
      <c r="E104" s="25" t="str">
        <f t="shared" si="6"/>
        <v/>
      </c>
      <c r="F104" s="25" t="str">
        <f t="shared" si="7"/>
        <v/>
      </c>
      <c r="G104" s="47">
        <f t="shared" si="8"/>
        <v>0</v>
      </c>
      <c r="H104" s="52"/>
      <c r="I104" s="19"/>
      <c r="K104"/>
      <c r="L104"/>
      <c r="M104"/>
      <c r="N104"/>
      <c r="O104"/>
    </row>
    <row r="105" spans="1:15" x14ac:dyDescent="0.25">
      <c r="A105" s="17">
        <v>88</v>
      </c>
      <c r="B105" s="34" t="str">
        <f>IF(N(C105)=0,"",IF(ISNUMBER(MATCH(C105,C$26:C104,)),INDEX(B$26:B104,MATCH(C105,C$26:C104,)),MAX(B$26:B104)+1))</f>
        <v/>
      </c>
      <c r="C105" s="55"/>
      <c r="D105" s="7"/>
      <c r="E105" s="25" t="str">
        <f t="shared" si="6"/>
        <v/>
      </c>
      <c r="F105" s="25" t="str">
        <f t="shared" si="7"/>
        <v/>
      </c>
      <c r="G105" s="47">
        <f t="shared" si="8"/>
        <v>0</v>
      </c>
      <c r="H105" s="52"/>
      <c r="I105" s="19"/>
      <c r="K105"/>
      <c r="L105"/>
      <c r="M105"/>
      <c r="N105"/>
      <c r="O105"/>
    </row>
    <row r="106" spans="1:15" x14ac:dyDescent="0.25">
      <c r="A106" s="17">
        <v>89</v>
      </c>
      <c r="B106" s="34" t="str">
        <f>IF(N(C106)=0,"",IF(ISNUMBER(MATCH(C106,C$26:C105,)),INDEX(B$26:B105,MATCH(C106,C$26:C105,)),MAX(B$26:B105)+1))</f>
        <v/>
      </c>
      <c r="C106" s="55"/>
      <c r="D106" s="7"/>
      <c r="E106" s="25" t="str">
        <f t="shared" si="6"/>
        <v/>
      </c>
      <c r="F106" s="25" t="str">
        <f t="shared" si="7"/>
        <v/>
      </c>
      <c r="G106" s="47">
        <f t="shared" si="8"/>
        <v>0</v>
      </c>
      <c r="H106" s="52"/>
      <c r="I106" s="19"/>
      <c r="K106"/>
      <c r="L106"/>
      <c r="M106"/>
      <c r="N106"/>
      <c r="O106"/>
    </row>
    <row r="107" spans="1:15" x14ac:dyDescent="0.25">
      <c r="A107" s="17">
        <v>90</v>
      </c>
      <c r="B107" s="34" t="str">
        <f>IF(N(C107)=0,"",IF(ISNUMBER(MATCH(C107,C$26:C106,)),INDEX(B$26:B106,MATCH(C107,C$26:C106,)),MAX(B$26:B106)+1))</f>
        <v/>
      </c>
      <c r="C107" s="55"/>
      <c r="D107" s="7"/>
      <c r="E107" s="25" t="str">
        <f t="shared" si="6"/>
        <v/>
      </c>
      <c r="F107" s="25" t="str">
        <f t="shared" si="7"/>
        <v/>
      </c>
      <c r="G107" s="47">
        <f t="shared" si="8"/>
        <v>0</v>
      </c>
      <c r="H107" s="52"/>
      <c r="I107" s="19"/>
      <c r="K107"/>
      <c r="L107"/>
      <c r="M107"/>
      <c r="N107"/>
      <c r="O107"/>
    </row>
    <row r="108" spans="1:15" x14ac:dyDescent="0.25">
      <c r="A108" s="17">
        <v>91</v>
      </c>
      <c r="B108" s="34" t="str">
        <f>IF(N(C108)=0,"",IF(ISNUMBER(MATCH(C108,C$26:C107,)),INDEX(B$26:B107,MATCH(C108,C$26:C107,)),MAX(B$26:B107)+1))</f>
        <v/>
      </c>
      <c r="C108" s="55"/>
      <c r="D108" s="7"/>
      <c r="E108" s="25" t="str">
        <f t="shared" si="6"/>
        <v/>
      </c>
      <c r="F108" s="25" t="str">
        <f t="shared" si="7"/>
        <v/>
      </c>
      <c r="G108" s="47">
        <f t="shared" si="8"/>
        <v>0</v>
      </c>
      <c r="H108" s="52"/>
      <c r="I108" s="19"/>
      <c r="K108"/>
      <c r="L108"/>
      <c r="M108"/>
      <c r="N108"/>
      <c r="O108"/>
    </row>
    <row r="109" spans="1:15" x14ac:dyDescent="0.25">
      <c r="A109" s="17">
        <v>92</v>
      </c>
      <c r="B109" s="34" t="str">
        <f>IF(N(C109)=0,"",IF(ISNUMBER(MATCH(C109,C$26:C108,)),INDEX(B$26:B108,MATCH(C109,C$26:C108,)),MAX(B$26:B108)+1))</f>
        <v/>
      </c>
      <c r="C109" s="55"/>
      <c r="D109" s="7"/>
      <c r="E109" s="25" t="str">
        <f t="shared" si="6"/>
        <v/>
      </c>
      <c r="F109" s="25" t="str">
        <f t="shared" si="7"/>
        <v/>
      </c>
      <c r="G109" s="47">
        <f t="shared" si="8"/>
        <v>0</v>
      </c>
      <c r="H109" s="52"/>
      <c r="I109" s="19"/>
      <c r="K109"/>
      <c r="L109"/>
      <c r="M109"/>
      <c r="N109"/>
      <c r="O109"/>
    </row>
    <row r="110" spans="1:15" x14ac:dyDescent="0.25">
      <c r="A110" s="17">
        <v>93</v>
      </c>
      <c r="B110" s="34" t="str">
        <f>IF(N(C110)=0,"",IF(ISNUMBER(MATCH(C110,C$26:C109,)),INDEX(B$26:B109,MATCH(C110,C$26:C109,)),MAX(B$26:B109)+1))</f>
        <v/>
      </c>
      <c r="C110" s="55"/>
      <c r="D110" s="7"/>
      <c r="E110" s="25" t="str">
        <f t="shared" si="6"/>
        <v/>
      </c>
      <c r="F110" s="25" t="str">
        <f t="shared" si="7"/>
        <v/>
      </c>
      <c r="G110" s="47">
        <f t="shared" si="8"/>
        <v>0</v>
      </c>
      <c r="H110" s="52"/>
      <c r="I110" s="19"/>
      <c r="K110"/>
      <c r="L110"/>
      <c r="M110"/>
      <c r="N110"/>
      <c r="O110"/>
    </row>
    <row r="111" spans="1:15" x14ac:dyDescent="0.25">
      <c r="A111" s="17">
        <v>94</v>
      </c>
      <c r="B111" s="34" t="str">
        <f>IF(N(C111)=0,"",IF(ISNUMBER(MATCH(C111,C$26:C110,)),INDEX(B$26:B110,MATCH(C111,C$26:C110,)),MAX(B$26:B110)+1))</f>
        <v/>
      </c>
      <c r="C111" s="55"/>
      <c r="D111" s="7"/>
      <c r="E111" s="25" t="str">
        <f t="shared" si="6"/>
        <v/>
      </c>
      <c r="F111" s="25" t="str">
        <f t="shared" si="7"/>
        <v/>
      </c>
      <c r="G111" s="47">
        <f t="shared" si="8"/>
        <v>0</v>
      </c>
      <c r="H111" s="52"/>
      <c r="I111" s="19"/>
      <c r="K111"/>
      <c r="L111"/>
      <c r="M111"/>
      <c r="N111"/>
      <c r="O111"/>
    </row>
    <row r="112" spans="1:15" x14ac:dyDescent="0.25">
      <c r="A112" s="17">
        <v>95</v>
      </c>
      <c r="B112" s="34" t="str">
        <f>IF(N(C112)=0,"",IF(ISNUMBER(MATCH(C112,C$26:C111,)),INDEX(B$26:B111,MATCH(C112,C$26:C111,)),MAX(B$26:B111)+1))</f>
        <v/>
      </c>
      <c r="C112" s="55"/>
      <c r="D112" s="7"/>
      <c r="E112" s="25" t="str">
        <f t="shared" si="6"/>
        <v/>
      </c>
      <c r="F112" s="25" t="str">
        <f t="shared" si="7"/>
        <v/>
      </c>
      <c r="G112" s="47">
        <f t="shared" si="8"/>
        <v>0</v>
      </c>
      <c r="H112" s="52"/>
      <c r="I112" s="19"/>
      <c r="K112"/>
      <c r="L112"/>
      <c r="M112"/>
      <c r="N112"/>
      <c r="O112"/>
    </row>
    <row r="113" spans="1:15" x14ac:dyDescent="0.25">
      <c r="A113" s="17">
        <v>96</v>
      </c>
      <c r="B113" s="34" t="str">
        <f>IF(N(C113)=0,"",IF(ISNUMBER(MATCH(C113,C$26:C112,)),INDEX(B$26:B112,MATCH(C113,C$26:C112,)),MAX(B$26:B112)+1))</f>
        <v/>
      </c>
      <c r="C113" s="55"/>
      <c r="D113" s="7"/>
      <c r="E113" s="25" t="str">
        <f t="shared" si="6"/>
        <v/>
      </c>
      <c r="F113" s="25" t="str">
        <f t="shared" si="7"/>
        <v/>
      </c>
      <c r="G113" s="47">
        <f t="shared" si="8"/>
        <v>0</v>
      </c>
      <c r="H113" s="52"/>
      <c r="I113" s="19"/>
      <c r="K113"/>
      <c r="L113"/>
      <c r="M113"/>
      <c r="N113"/>
      <c r="O113"/>
    </row>
    <row r="114" spans="1:15" x14ac:dyDescent="0.25">
      <c r="A114" s="17">
        <v>97</v>
      </c>
      <c r="B114" s="34" t="str">
        <f>IF(N(C114)=0,"",IF(ISNUMBER(MATCH(C114,C$26:C113,)),INDEX(B$26:B113,MATCH(C114,C$26:C113,)),MAX(B$26:B113)+1))</f>
        <v/>
      </c>
      <c r="C114" s="55"/>
      <c r="D114" s="7"/>
      <c r="E114" s="25" t="str">
        <f t="shared" si="6"/>
        <v/>
      </c>
      <c r="F114" s="25" t="str">
        <f t="shared" si="7"/>
        <v/>
      </c>
      <c r="G114" s="47">
        <f t="shared" si="8"/>
        <v>0</v>
      </c>
      <c r="H114" s="52"/>
      <c r="I114" s="19"/>
      <c r="K114"/>
      <c r="L114"/>
      <c r="M114"/>
      <c r="N114"/>
      <c r="O114"/>
    </row>
    <row r="115" spans="1:15" x14ac:dyDescent="0.25">
      <c r="A115" s="17">
        <v>98</v>
      </c>
      <c r="B115" s="35" t="str">
        <f>IF(N(C115)=0,"",IF(ISNUMBER(MATCH(C115,C$26:C114,)),INDEX(B$26:B114,MATCH(C115,C$26:C114,)),MAX(B$26:B114)+1))</f>
        <v/>
      </c>
      <c r="C115" s="56"/>
      <c r="D115" s="8"/>
      <c r="E115" s="26" t="str">
        <f t="shared" si="6"/>
        <v/>
      </c>
      <c r="F115" s="26" t="str">
        <f t="shared" si="7"/>
        <v/>
      </c>
      <c r="G115" s="47">
        <v>1</v>
      </c>
      <c r="H115" s="53"/>
      <c r="I115" s="20"/>
      <c r="K115"/>
      <c r="L115"/>
      <c r="M115"/>
      <c r="N115"/>
      <c r="O115"/>
    </row>
    <row r="116" spans="1:15" x14ac:dyDescent="0.25">
      <c r="K116"/>
      <c r="L116"/>
      <c r="M116"/>
      <c r="N116"/>
      <c r="O116"/>
    </row>
    <row r="117" spans="1:15" x14ac:dyDescent="0.25">
      <c r="K117"/>
      <c r="L117"/>
      <c r="M117"/>
      <c r="N117"/>
      <c r="O117"/>
    </row>
    <row r="118" spans="1:15" x14ac:dyDescent="0.25">
      <c r="K118"/>
      <c r="L118"/>
      <c r="M118"/>
      <c r="N118"/>
      <c r="O118"/>
    </row>
    <row r="119" spans="1:15" x14ac:dyDescent="0.25">
      <c r="K119"/>
      <c r="L119"/>
      <c r="M119"/>
      <c r="N119"/>
      <c r="O119"/>
    </row>
    <row r="120" spans="1:15" x14ac:dyDescent="0.25">
      <c r="K120"/>
      <c r="L120"/>
      <c r="M120"/>
      <c r="N120"/>
      <c r="O120"/>
    </row>
    <row r="121" spans="1:15" x14ac:dyDescent="0.25">
      <c r="K121"/>
      <c r="L121"/>
      <c r="M121"/>
      <c r="N121"/>
      <c r="O121"/>
    </row>
    <row r="122" spans="1:15" x14ac:dyDescent="0.25">
      <c r="K122"/>
      <c r="L122"/>
      <c r="M122"/>
      <c r="N122"/>
      <c r="O122"/>
    </row>
    <row r="123" spans="1:15" x14ac:dyDescent="0.25">
      <c r="K123"/>
      <c r="L123"/>
      <c r="M123"/>
      <c r="N123"/>
      <c r="O123"/>
    </row>
    <row r="124" spans="1:15" x14ac:dyDescent="0.25">
      <c r="K124"/>
      <c r="L124"/>
      <c r="M124"/>
      <c r="N124"/>
      <c r="O124"/>
    </row>
    <row r="125" spans="1:15" x14ac:dyDescent="0.25">
      <c r="K125"/>
      <c r="L125"/>
      <c r="M125"/>
      <c r="N125"/>
      <c r="O125"/>
    </row>
    <row r="126" spans="1:15" x14ac:dyDescent="0.25">
      <c r="K126"/>
      <c r="L126"/>
      <c r="M126"/>
      <c r="N126"/>
      <c r="O126"/>
    </row>
    <row r="127" spans="1:15" x14ac:dyDescent="0.25">
      <c r="K127"/>
      <c r="L127"/>
      <c r="M127"/>
      <c r="N127"/>
      <c r="O127"/>
    </row>
    <row r="128" spans="1:15" x14ac:dyDescent="0.25">
      <c r="K128"/>
      <c r="L128"/>
      <c r="M128"/>
      <c r="N128"/>
      <c r="O128"/>
    </row>
    <row r="129" spans="11:15" x14ac:dyDescent="0.25">
      <c r="K129"/>
      <c r="L129"/>
      <c r="M129"/>
      <c r="N129"/>
      <c r="O129"/>
    </row>
    <row r="130" spans="11:15" x14ac:dyDescent="0.25">
      <c r="K130"/>
      <c r="L130"/>
      <c r="M130"/>
      <c r="N130"/>
      <c r="O130"/>
    </row>
    <row r="131" spans="11:15" x14ac:dyDescent="0.25">
      <c r="K131"/>
      <c r="L131"/>
      <c r="M131"/>
      <c r="N131"/>
      <c r="O131"/>
    </row>
    <row r="132" spans="11:15" x14ac:dyDescent="0.25">
      <c r="K132"/>
      <c r="L132"/>
      <c r="M132"/>
      <c r="N132"/>
      <c r="O132"/>
    </row>
    <row r="133" spans="11:15" x14ac:dyDescent="0.25">
      <c r="K133"/>
      <c r="L133"/>
      <c r="M133"/>
      <c r="N133"/>
      <c r="O133"/>
    </row>
    <row r="134" spans="11:15" x14ac:dyDescent="0.25">
      <c r="K134"/>
      <c r="L134"/>
      <c r="M134"/>
      <c r="N134"/>
      <c r="O134"/>
    </row>
    <row r="135" spans="11:15" x14ac:dyDescent="0.25">
      <c r="K135"/>
      <c r="L135"/>
      <c r="M135"/>
      <c r="N135"/>
      <c r="O135"/>
    </row>
    <row r="136" spans="11:15" x14ac:dyDescent="0.25">
      <c r="K136"/>
      <c r="L136"/>
      <c r="M136"/>
      <c r="N136"/>
      <c r="O136"/>
    </row>
    <row r="137" spans="11:15" x14ac:dyDescent="0.25">
      <c r="K137"/>
      <c r="L137"/>
      <c r="M137"/>
      <c r="N137"/>
      <c r="O137"/>
    </row>
    <row r="138" spans="11:15" x14ac:dyDescent="0.25">
      <c r="K138"/>
      <c r="L138"/>
      <c r="M138"/>
      <c r="N138"/>
      <c r="O138"/>
    </row>
    <row r="139" spans="11:15" x14ac:dyDescent="0.25">
      <c r="K139"/>
      <c r="L139"/>
      <c r="M139"/>
      <c r="N139"/>
      <c r="O139"/>
    </row>
    <row r="140" spans="11:15" x14ac:dyDescent="0.25">
      <c r="K140"/>
      <c r="L140"/>
      <c r="M140"/>
      <c r="N140"/>
      <c r="O140"/>
    </row>
    <row r="141" spans="11:15" x14ac:dyDescent="0.25">
      <c r="K141"/>
      <c r="L141"/>
      <c r="M141"/>
      <c r="N141"/>
      <c r="O141"/>
    </row>
    <row r="142" spans="11:15" x14ac:dyDescent="0.25">
      <c r="K142"/>
      <c r="L142"/>
      <c r="M142"/>
      <c r="N142"/>
      <c r="O142"/>
    </row>
    <row r="143" spans="11:15" x14ac:dyDescent="0.25">
      <c r="K143"/>
      <c r="L143"/>
      <c r="M143"/>
      <c r="N143"/>
      <c r="O143"/>
    </row>
    <row r="144" spans="11:15" x14ac:dyDescent="0.25">
      <c r="K144"/>
      <c r="L144"/>
      <c r="M144"/>
      <c r="N144"/>
      <c r="O144"/>
    </row>
    <row r="145" spans="11:15" x14ac:dyDescent="0.25">
      <c r="K145"/>
      <c r="L145"/>
      <c r="M145"/>
      <c r="N145"/>
      <c r="O145"/>
    </row>
    <row r="146" spans="11:15" x14ac:dyDescent="0.25">
      <c r="K146"/>
      <c r="L146"/>
      <c r="M146"/>
      <c r="N146"/>
      <c r="O146"/>
    </row>
    <row r="147" spans="11:15" x14ac:dyDescent="0.25">
      <c r="K147"/>
      <c r="L147"/>
      <c r="M147"/>
      <c r="N147"/>
      <c r="O147"/>
    </row>
    <row r="148" spans="11:15" x14ac:dyDescent="0.25">
      <c r="K148"/>
      <c r="L148"/>
      <c r="M148"/>
      <c r="N148"/>
      <c r="O148"/>
    </row>
    <row r="149" spans="11:15" x14ac:dyDescent="0.25">
      <c r="K149"/>
      <c r="L149"/>
      <c r="M149"/>
      <c r="N149"/>
      <c r="O149"/>
    </row>
    <row r="150" spans="11:15" x14ac:dyDescent="0.25">
      <c r="K150"/>
      <c r="L150"/>
      <c r="M150"/>
      <c r="N150"/>
      <c r="O150"/>
    </row>
    <row r="151" spans="11:15" x14ac:dyDescent="0.25">
      <c r="K151"/>
      <c r="L151"/>
      <c r="M151"/>
      <c r="N151"/>
      <c r="O151"/>
    </row>
    <row r="152" spans="11:15" x14ac:dyDescent="0.25">
      <c r="K152"/>
      <c r="L152"/>
      <c r="M152"/>
      <c r="N152"/>
      <c r="O152"/>
    </row>
    <row r="153" spans="11:15" x14ac:dyDescent="0.25">
      <c r="K153"/>
      <c r="L153"/>
      <c r="M153"/>
      <c r="N153"/>
      <c r="O153"/>
    </row>
    <row r="154" spans="11:15" x14ac:dyDescent="0.25">
      <c r="K154"/>
      <c r="L154"/>
      <c r="M154"/>
      <c r="N154"/>
      <c r="O154"/>
    </row>
    <row r="155" spans="11:15" x14ac:dyDescent="0.25">
      <c r="K155"/>
      <c r="L155"/>
      <c r="M155"/>
      <c r="N155"/>
      <c r="O155"/>
    </row>
    <row r="156" spans="11:15" x14ac:dyDescent="0.25">
      <c r="K156"/>
      <c r="L156"/>
      <c r="M156"/>
      <c r="N156"/>
      <c r="O156"/>
    </row>
    <row r="157" spans="11:15" x14ac:dyDescent="0.25">
      <c r="K157"/>
      <c r="L157"/>
      <c r="M157"/>
      <c r="N157"/>
      <c r="O157"/>
    </row>
    <row r="158" spans="11:15" x14ac:dyDescent="0.25">
      <c r="K158"/>
      <c r="L158"/>
      <c r="M158"/>
      <c r="N158"/>
      <c r="O158"/>
    </row>
    <row r="159" spans="11:15" x14ac:dyDescent="0.25">
      <c r="K159"/>
      <c r="L159"/>
      <c r="M159"/>
      <c r="N159"/>
      <c r="O159"/>
    </row>
    <row r="160" spans="11:15" x14ac:dyDescent="0.25">
      <c r="K160"/>
      <c r="L160"/>
      <c r="M160"/>
      <c r="N160"/>
      <c r="O160"/>
    </row>
    <row r="161" spans="11:15" x14ac:dyDescent="0.25">
      <c r="K161"/>
      <c r="L161"/>
      <c r="M161"/>
      <c r="N161"/>
      <c r="O161"/>
    </row>
    <row r="162" spans="11:15" x14ac:dyDescent="0.25">
      <c r="K162"/>
      <c r="L162"/>
      <c r="M162"/>
      <c r="N162"/>
      <c r="O162"/>
    </row>
    <row r="163" spans="11:15" x14ac:dyDescent="0.25">
      <c r="K163"/>
      <c r="L163"/>
      <c r="M163"/>
      <c r="N163"/>
      <c r="O163"/>
    </row>
    <row r="164" spans="11:15" x14ac:dyDescent="0.25">
      <c r="K164"/>
      <c r="L164"/>
      <c r="M164"/>
      <c r="N164"/>
      <c r="O164"/>
    </row>
    <row r="165" spans="11:15" x14ac:dyDescent="0.25">
      <c r="K165"/>
      <c r="L165"/>
      <c r="M165"/>
      <c r="N165"/>
      <c r="O165"/>
    </row>
    <row r="166" spans="11:15" x14ac:dyDescent="0.25">
      <c r="K166"/>
      <c r="L166"/>
      <c r="M166"/>
      <c r="N166"/>
      <c r="O166"/>
    </row>
    <row r="167" spans="11:15" x14ac:dyDescent="0.25">
      <c r="K167"/>
      <c r="L167"/>
      <c r="M167"/>
      <c r="N167"/>
      <c r="O167"/>
    </row>
    <row r="168" spans="11:15" x14ac:dyDescent="0.25">
      <c r="K168"/>
      <c r="L168"/>
      <c r="M168"/>
      <c r="N168"/>
      <c r="O168"/>
    </row>
    <row r="169" spans="11:15" x14ac:dyDescent="0.25">
      <c r="K169"/>
      <c r="L169"/>
      <c r="M169"/>
      <c r="N169"/>
      <c r="O169"/>
    </row>
    <row r="170" spans="11:15" x14ac:dyDescent="0.25">
      <c r="K170"/>
      <c r="L170"/>
      <c r="M170"/>
      <c r="N170"/>
      <c r="O170"/>
    </row>
    <row r="171" spans="11:15" x14ac:dyDescent="0.25">
      <c r="K171"/>
      <c r="L171"/>
      <c r="M171"/>
      <c r="N171"/>
      <c r="O171"/>
    </row>
    <row r="172" spans="11:15" x14ac:dyDescent="0.25">
      <c r="K172"/>
      <c r="L172"/>
      <c r="M172"/>
      <c r="N172"/>
      <c r="O172"/>
    </row>
    <row r="173" spans="11:15" x14ac:dyDescent="0.25">
      <c r="K173"/>
      <c r="L173"/>
      <c r="M173"/>
      <c r="N173"/>
      <c r="O173"/>
    </row>
    <row r="174" spans="11:15" x14ac:dyDescent="0.25">
      <c r="K174"/>
      <c r="L174"/>
      <c r="M174"/>
      <c r="N174"/>
      <c r="O174"/>
    </row>
    <row r="175" spans="11:15" x14ac:dyDescent="0.25">
      <c r="K175"/>
      <c r="L175"/>
      <c r="M175"/>
      <c r="N175"/>
      <c r="O175"/>
    </row>
    <row r="176" spans="11:15" x14ac:dyDescent="0.25">
      <c r="K176"/>
      <c r="L176"/>
      <c r="M176"/>
      <c r="N176"/>
      <c r="O176"/>
    </row>
    <row r="177" spans="11:15" x14ac:dyDescent="0.25">
      <c r="K177"/>
      <c r="L177"/>
      <c r="M177"/>
      <c r="N177"/>
      <c r="O177"/>
    </row>
    <row r="178" spans="11:15" x14ac:dyDescent="0.25">
      <c r="K178"/>
      <c r="L178"/>
      <c r="M178"/>
      <c r="N178"/>
      <c r="O178"/>
    </row>
    <row r="179" spans="11:15" x14ac:dyDescent="0.25">
      <c r="K179"/>
      <c r="L179"/>
      <c r="M179"/>
      <c r="N179"/>
      <c r="O179"/>
    </row>
    <row r="180" spans="11:15" x14ac:dyDescent="0.25">
      <c r="K180"/>
      <c r="L180"/>
      <c r="M180"/>
      <c r="N180"/>
      <c r="O180"/>
    </row>
    <row r="181" spans="11:15" x14ac:dyDescent="0.25">
      <c r="K181"/>
      <c r="L181"/>
      <c r="M181"/>
      <c r="N181"/>
      <c r="O181"/>
    </row>
    <row r="182" spans="11:15" x14ac:dyDescent="0.25">
      <c r="K182"/>
      <c r="L182"/>
      <c r="M182"/>
      <c r="N182"/>
      <c r="O182"/>
    </row>
    <row r="183" spans="11:15" x14ac:dyDescent="0.25">
      <c r="K183"/>
      <c r="L183"/>
      <c r="M183"/>
      <c r="N183"/>
      <c r="O183"/>
    </row>
    <row r="184" spans="11:15" x14ac:dyDescent="0.25">
      <c r="K184"/>
      <c r="L184"/>
      <c r="M184"/>
      <c r="N184"/>
      <c r="O184"/>
    </row>
    <row r="185" spans="11:15" x14ac:dyDescent="0.25">
      <c r="K185"/>
      <c r="L185"/>
      <c r="M185"/>
      <c r="N185"/>
      <c r="O185"/>
    </row>
    <row r="186" spans="11:15" x14ac:dyDescent="0.25">
      <c r="K186"/>
      <c r="L186"/>
      <c r="M186"/>
      <c r="N186"/>
      <c r="O186"/>
    </row>
    <row r="187" spans="11:15" x14ac:dyDescent="0.25">
      <c r="K187"/>
      <c r="L187"/>
      <c r="M187"/>
      <c r="N187"/>
      <c r="O187"/>
    </row>
    <row r="188" spans="11:15" x14ac:dyDescent="0.25">
      <c r="K188"/>
      <c r="L188"/>
      <c r="M188"/>
      <c r="N188"/>
      <c r="O188"/>
    </row>
    <row r="189" spans="11:15" x14ac:dyDescent="0.25">
      <c r="K189"/>
      <c r="L189"/>
      <c r="M189"/>
      <c r="N189"/>
      <c r="O189"/>
    </row>
    <row r="190" spans="11:15" x14ac:dyDescent="0.25">
      <c r="K190"/>
      <c r="L190"/>
      <c r="M190"/>
      <c r="N190"/>
      <c r="O190"/>
    </row>
    <row r="191" spans="11:15" x14ac:dyDescent="0.25">
      <c r="K191"/>
      <c r="L191"/>
      <c r="M191"/>
      <c r="N191"/>
      <c r="O191"/>
    </row>
    <row r="192" spans="11:15" x14ac:dyDescent="0.25">
      <c r="K192"/>
      <c r="L192"/>
      <c r="M192"/>
      <c r="N192"/>
      <c r="O192"/>
    </row>
    <row r="193" spans="11:15" x14ac:dyDescent="0.25">
      <c r="K193"/>
      <c r="L193"/>
      <c r="M193"/>
      <c r="N193"/>
      <c r="O193"/>
    </row>
    <row r="194" spans="11:15" x14ac:dyDescent="0.25">
      <c r="K194"/>
      <c r="L194"/>
      <c r="M194"/>
      <c r="N194"/>
      <c r="O194"/>
    </row>
    <row r="195" spans="11:15" x14ac:dyDescent="0.25">
      <c r="K195"/>
      <c r="L195"/>
      <c r="M195"/>
      <c r="N195"/>
      <c r="O195"/>
    </row>
    <row r="196" spans="11:15" x14ac:dyDescent="0.25">
      <c r="K196"/>
      <c r="L196"/>
      <c r="M196"/>
      <c r="N196"/>
      <c r="O196"/>
    </row>
    <row r="197" spans="11:15" x14ac:dyDescent="0.25">
      <c r="K197"/>
      <c r="L197"/>
      <c r="M197"/>
      <c r="N197"/>
      <c r="O197"/>
    </row>
    <row r="198" spans="11:15" x14ac:dyDescent="0.25">
      <c r="K198"/>
      <c r="L198"/>
      <c r="M198"/>
      <c r="N198"/>
      <c r="O198"/>
    </row>
    <row r="199" spans="11:15" x14ac:dyDescent="0.25">
      <c r="K199"/>
      <c r="L199"/>
      <c r="M199"/>
      <c r="N199"/>
      <c r="O199"/>
    </row>
    <row r="200" spans="11:15" x14ac:dyDescent="0.25">
      <c r="K200"/>
      <c r="L200"/>
      <c r="M200"/>
      <c r="N200"/>
      <c r="O200"/>
    </row>
    <row r="201" spans="11:15" x14ac:dyDescent="0.25">
      <c r="K201"/>
      <c r="L201"/>
      <c r="M201"/>
      <c r="N201"/>
      <c r="O201"/>
    </row>
    <row r="202" spans="11:15" x14ac:dyDescent="0.25">
      <c r="K202"/>
      <c r="L202"/>
      <c r="M202"/>
      <c r="N202"/>
      <c r="O202"/>
    </row>
    <row r="203" spans="11:15" x14ac:dyDescent="0.25">
      <c r="K203"/>
      <c r="L203"/>
      <c r="M203"/>
      <c r="N203"/>
      <c r="O203"/>
    </row>
    <row r="204" spans="11:15" x14ac:dyDescent="0.25">
      <c r="K204"/>
      <c r="L204"/>
      <c r="M204"/>
      <c r="N204"/>
      <c r="O204"/>
    </row>
    <row r="205" spans="11:15" x14ac:dyDescent="0.25">
      <c r="K205"/>
      <c r="L205"/>
      <c r="M205"/>
      <c r="N205"/>
      <c r="O205"/>
    </row>
    <row r="206" spans="11:15" x14ac:dyDescent="0.25">
      <c r="K206"/>
      <c r="L206"/>
      <c r="M206"/>
      <c r="N206"/>
      <c r="O206"/>
    </row>
    <row r="207" spans="11:15" x14ac:dyDescent="0.25">
      <c r="K207"/>
      <c r="L207"/>
      <c r="M207"/>
      <c r="N207"/>
      <c r="O207"/>
    </row>
    <row r="208" spans="11:15" x14ac:dyDescent="0.25">
      <c r="K208"/>
      <c r="L208"/>
      <c r="M208"/>
      <c r="N208"/>
      <c r="O208"/>
    </row>
    <row r="209" spans="11:15" x14ac:dyDescent="0.25">
      <c r="K209"/>
      <c r="L209"/>
      <c r="M209"/>
      <c r="N209"/>
      <c r="O209"/>
    </row>
    <row r="210" spans="11:15" x14ac:dyDescent="0.25">
      <c r="K210"/>
      <c r="L210"/>
      <c r="M210"/>
      <c r="N210"/>
      <c r="O210"/>
    </row>
    <row r="211" spans="11:15" x14ac:dyDescent="0.25">
      <c r="K211"/>
      <c r="L211"/>
      <c r="M211"/>
      <c r="N211"/>
      <c r="O211"/>
    </row>
    <row r="212" spans="11:15" x14ac:dyDescent="0.25">
      <c r="K212"/>
      <c r="L212"/>
      <c r="M212"/>
      <c r="N212"/>
      <c r="O212"/>
    </row>
    <row r="213" spans="11:15" x14ac:dyDescent="0.25">
      <c r="K213"/>
      <c r="L213"/>
      <c r="M213"/>
      <c r="N213"/>
      <c r="O213"/>
    </row>
    <row r="214" spans="11:15" x14ac:dyDescent="0.25">
      <c r="K214"/>
      <c r="L214"/>
      <c r="M214"/>
      <c r="N214"/>
      <c r="O214"/>
    </row>
    <row r="215" spans="11:15" x14ac:dyDescent="0.25">
      <c r="K215"/>
      <c r="L215"/>
      <c r="M215"/>
      <c r="N215"/>
      <c r="O215"/>
    </row>
    <row r="216" spans="11:15" x14ac:dyDescent="0.25">
      <c r="K216"/>
      <c r="L216"/>
      <c r="M216"/>
      <c r="N216"/>
      <c r="O216"/>
    </row>
    <row r="217" spans="11:15" x14ac:dyDescent="0.25">
      <c r="K217"/>
      <c r="L217"/>
      <c r="M217"/>
      <c r="N217"/>
      <c r="O217"/>
    </row>
    <row r="218" spans="11:15" x14ac:dyDescent="0.25">
      <c r="K218"/>
      <c r="L218"/>
      <c r="M218"/>
      <c r="N218"/>
      <c r="O218"/>
    </row>
    <row r="219" spans="11:15" x14ac:dyDescent="0.25">
      <c r="K219"/>
      <c r="L219"/>
      <c r="M219"/>
      <c r="N219"/>
      <c r="O219"/>
    </row>
    <row r="220" spans="11:15" x14ac:dyDescent="0.25">
      <c r="K220"/>
      <c r="L220"/>
      <c r="M220"/>
      <c r="N220"/>
      <c r="O220"/>
    </row>
    <row r="221" spans="11:15" x14ac:dyDescent="0.25">
      <c r="K221"/>
      <c r="L221"/>
      <c r="M221"/>
      <c r="N221"/>
      <c r="O221"/>
    </row>
    <row r="222" spans="11:15" x14ac:dyDescent="0.25">
      <c r="K222"/>
      <c r="L222"/>
      <c r="M222"/>
      <c r="N222"/>
      <c r="O222"/>
    </row>
    <row r="223" spans="11:15" x14ac:dyDescent="0.25">
      <c r="K223"/>
      <c r="L223"/>
      <c r="M223"/>
      <c r="N223"/>
      <c r="O223"/>
    </row>
    <row r="224" spans="11:15" x14ac:dyDescent="0.25">
      <c r="K224"/>
      <c r="L224"/>
      <c r="M224"/>
      <c r="N224"/>
      <c r="O224"/>
    </row>
    <row r="225" spans="11:15" x14ac:dyDescent="0.25">
      <c r="K225"/>
      <c r="L225"/>
      <c r="M225"/>
      <c r="N225"/>
      <c r="O225"/>
    </row>
    <row r="226" spans="11:15" x14ac:dyDescent="0.25">
      <c r="K226"/>
      <c r="L226"/>
      <c r="M226"/>
      <c r="N226"/>
      <c r="O226"/>
    </row>
    <row r="227" spans="11:15" x14ac:dyDescent="0.25">
      <c r="K227"/>
      <c r="L227"/>
      <c r="M227"/>
      <c r="N227"/>
      <c r="O227"/>
    </row>
    <row r="228" spans="11:15" x14ac:dyDescent="0.25">
      <c r="K228"/>
      <c r="L228"/>
      <c r="M228"/>
      <c r="N228"/>
      <c r="O228"/>
    </row>
    <row r="229" spans="11:15" x14ac:dyDescent="0.25">
      <c r="K229"/>
      <c r="L229"/>
      <c r="M229"/>
      <c r="N229"/>
      <c r="O229"/>
    </row>
    <row r="230" spans="11:15" x14ac:dyDescent="0.25">
      <c r="K230"/>
      <c r="L230"/>
      <c r="M230"/>
      <c r="N230"/>
      <c r="O230"/>
    </row>
    <row r="231" spans="11:15" x14ac:dyDescent="0.25">
      <c r="K231"/>
      <c r="L231"/>
      <c r="M231"/>
      <c r="N231"/>
      <c r="O231"/>
    </row>
    <row r="232" spans="11:15" x14ac:dyDescent="0.25">
      <c r="K232"/>
      <c r="L232"/>
      <c r="M232"/>
      <c r="N232"/>
      <c r="O232"/>
    </row>
    <row r="233" spans="11:15" x14ac:dyDescent="0.25">
      <c r="K233"/>
      <c r="L233"/>
      <c r="M233"/>
      <c r="N233"/>
      <c r="O233"/>
    </row>
    <row r="234" spans="11:15" x14ac:dyDescent="0.25">
      <c r="K234"/>
      <c r="L234"/>
      <c r="M234"/>
      <c r="N234"/>
      <c r="O234"/>
    </row>
    <row r="235" spans="11:15" x14ac:dyDescent="0.25">
      <c r="K235"/>
      <c r="L235"/>
      <c r="M235"/>
      <c r="N235"/>
      <c r="O235"/>
    </row>
    <row r="236" spans="11:15" x14ac:dyDescent="0.25">
      <c r="K236"/>
      <c r="L236"/>
      <c r="M236"/>
      <c r="N236"/>
      <c r="O236"/>
    </row>
    <row r="237" spans="11:15" x14ac:dyDescent="0.25">
      <c r="K237"/>
      <c r="L237"/>
      <c r="M237"/>
      <c r="N237"/>
      <c r="O237"/>
    </row>
    <row r="238" spans="11:15" x14ac:dyDescent="0.25">
      <c r="K238"/>
      <c r="L238"/>
      <c r="M238"/>
      <c r="N238"/>
      <c r="O238"/>
    </row>
    <row r="239" spans="11:15" x14ac:dyDescent="0.25">
      <c r="K239"/>
      <c r="L239"/>
      <c r="M239"/>
      <c r="N239"/>
      <c r="O239"/>
    </row>
    <row r="240" spans="11:15" x14ac:dyDescent="0.25">
      <c r="K240"/>
      <c r="L240"/>
      <c r="M240"/>
      <c r="N240"/>
      <c r="O240"/>
    </row>
    <row r="241" spans="11:15" x14ac:dyDescent="0.25">
      <c r="K241"/>
      <c r="L241"/>
      <c r="M241"/>
      <c r="N241"/>
      <c r="O241"/>
    </row>
    <row r="242" spans="11:15" x14ac:dyDescent="0.25">
      <c r="K242"/>
      <c r="L242"/>
      <c r="M242"/>
      <c r="N242"/>
      <c r="O242"/>
    </row>
    <row r="243" spans="11:15" x14ac:dyDescent="0.25">
      <c r="K243"/>
      <c r="L243"/>
      <c r="M243"/>
      <c r="N243"/>
      <c r="O243"/>
    </row>
    <row r="244" spans="11:15" x14ac:dyDescent="0.25">
      <c r="K244"/>
      <c r="L244"/>
      <c r="M244"/>
      <c r="N244"/>
      <c r="O244"/>
    </row>
    <row r="245" spans="11:15" x14ac:dyDescent="0.25">
      <c r="K245"/>
      <c r="L245"/>
      <c r="M245"/>
      <c r="N245"/>
      <c r="O245"/>
    </row>
    <row r="246" spans="11:15" x14ac:dyDescent="0.25">
      <c r="K246"/>
      <c r="L246"/>
      <c r="M246"/>
      <c r="N246"/>
      <c r="O246"/>
    </row>
    <row r="247" spans="11:15" x14ac:dyDescent="0.25">
      <c r="K247"/>
      <c r="L247"/>
      <c r="M247"/>
      <c r="N247"/>
      <c r="O247"/>
    </row>
    <row r="248" spans="11:15" x14ac:dyDescent="0.25">
      <c r="K248"/>
      <c r="L248"/>
      <c r="M248"/>
      <c r="N248"/>
      <c r="O248"/>
    </row>
    <row r="249" spans="11:15" x14ac:dyDescent="0.25">
      <c r="K249"/>
      <c r="L249"/>
      <c r="M249"/>
      <c r="N249"/>
      <c r="O249"/>
    </row>
    <row r="250" spans="11:15" x14ac:dyDescent="0.25">
      <c r="K250"/>
      <c r="L250"/>
      <c r="M250"/>
      <c r="N250"/>
      <c r="O250"/>
    </row>
    <row r="251" spans="11:15" x14ac:dyDescent="0.25">
      <c r="K251"/>
      <c r="L251"/>
      <c r="M251"/>
      <c r="N251"/>
      <c r="O251"/>
    </row>
    <row r="252" spans="11:15" x14ac:dyDescent="0.25">
      <c r="K252"/>
      <c r="L252"/>
      <c r="M252"/>
      <c r="N252"/>
      <c r="O252"/>
    </row>
    <row r="253" spans="11:15" x14ac:dyDescent="0.25">
      <c r="K253"/>
      <c r="L253"/>
      <c r="M253"/>
      <c r="N253"/>
      <c r="O253"/>
    </row>
    <row r="254" spans="11:15" x14ac:dyDescent="0.25">
      <c r="K254"/>
      <c r="L254"/>
      <c r="M254"/>
      <c r="N254"/>
      <c r="O254"/>
    </row>
    <row r="255" spans="11:15" x14ac:dyDescent="0.25">
      <c r="K255"/>
      <c r="L255"/>
      <c r="M255"/>
      <c r="N255"/>
      <c r="O255"/>
    </row>
    <row r="256" spans="11:15" x14ac:dyDescent="0.25">
      <c r="K256"/>
      <c r="L256"/>
      <c r="M256"/>
      <c r="N256"/>
      <c r="O256"/>
    </row>
    <row r="257" spans="11:15" x14ac:dyDescent="0.25">
      <c r="K257"/>
      <c r="L257"/>
      <c r="M257"/>
      <c r="N257"/>
      <c r="O257"/>
    </row>
    <row r="258" spans="11:15" x14ac:dyDescent="0.25">
      <c r="K258"/>
      <c r="L258"/>
      <c r="M258"/>
      <c r="N258"/>
      <c r="O258"/>
    </row>
    <row r="259" spans="11:15" x14ac:dyDescent="0.25">
      <c r="K259"/>
      <c r="L259"/>
      <c r="M259"/>
      <c r="N259"/>
      <c r="O259"/>
    </row>
    <row r="260" spans="11:15" x14ac:dyDescent="0.25">
      <c r="K260"/>
      <c r="L260"/>
      <c r="M260"/>
      <c r="N260"/>
      <c r="O260"/>
    </row>
    <row r="261" spans="11:15" x14ac:dyDescent="0.25">
      <c r="K261"/>
      <c r="L261"/>
      <c r="M261"/>
      <c r="N261"/>
      <c r="O261"/>
    </row>
    <row r="262" spans="11:15" x14ac:dyDescent="0.25">
      <c r="K262"/>
      <c r="L262"/>
      <c r="M262"/>
      <c r="N262"/>
      <c r="O262"/>
    </row>
    <row r="263" spans="11:15" x14ac:dyDescent="0.25">
      <c r="K263"/>
      <c r="L263"/>
      <c r="M263"/>
      <c r="N263"/>
      <c r="O263"/>
    </row>
    <row r="264" spans="11:15" x14ac:dyDescent="0.25">
      <c r="K264"/>
      <c r="L264"/>
      <c r="M264"/>
      <c r="N264"/>
      <c r="O264"/>
    </row>
    <row r="265" spans="11:15" x14ac:dyDescent="0.25">
      <c r="K265"/>
      <c r="L265"/>
      <c r="M265"/>
      <c r="N265"/>
      <c r="O265"/>
    </row>
    <row r="266" spans="11:15" x14ac:dyDescent="0.25">
      <c r="K266"/>
      <c r="L266"/>
      <c r="M266"/>
      <c r="N266"/>
      <c r="O266"/>
    </row>
    <row r="267" spans="11:15" x14ac:dyDescent="0.25">
      <c r="K267"/>
      <c r="L267"/>
      <c r="M267"/>
      <c r="N267"/>
      <c r="O267"/>
    </row>
    <row r="268" spans="11:15" x14ac:dyDescent="0.25">
      <c r="K268"/>
      <c r="L268"/>
      <c r="M268"/>
      <c r="N268"/>
      <c r="O268"/>
    </row>
    <row r="269" spans="11:15" x14ac:dyDescent="0.25">
      <c r="K269"/>
      <c r="L269"/>
      <c r="M269"/>
      <c r="N269"/>
      <c r="O269"/>
    </row>
    <row r="270" spans="11:15" x14ac:dyDescent="0.25">
      <c r="K270"/>
      <c r="L270"/>
      <c r="M270"/>
      <c r="N270"/>
      <c r="O270"/>
    </row>
    <row r="271" spans="11:15" x14ac:dyDescent="0.25">
      <c r="K271"/>
      <c r="L271"/>
      <c r="M271"/>
      <c r="N271"/>
      <c r="O271"/>
    </row>
    <row r="272" spans="11:15" x14ac:dyDescent="0.25">
      <c r="K272"/>
      <c r="L272"/>
      <c r="M272"/>
      <c r="N272"/>
      <c r="O272"/>
    </row>
    <row r="273" spans="11:15" x14ac:dyDescent="0.25">
      <c r="K273"/>
      <c r="L273"/>
      <c r="M273"/>
      <c r="N273"/>
      <c r="O273"/>
    </row>
    <row r="274" spans="11:15" x14ac:dyDescent="0.25">
      <c r="K274"/>
      <c r="L274"/>
      <c r="M274"/>
      <c r="N274"/>
      <c r="O274"/>
    </row>
    <row r="275" spans="11:15" x14ac:dyDescent="0.25">
      <c r="K275"/>
      <c r="L275"/>
      <c r="M275"/>
      <c r="N275"/>
      <c r="O275"/>
    </row>
    <row r="276" spans="11:15" x14ac:dyDescent="0.25">
      <c r="K276"/>
      <c r="L276"/>
      <c r="M276"/>
      <c r="N276"/>
      <c r="O276"/>
    </row>
    <row r="277" spans="11:15" x14ac:dyDescent="0.25">
      <c r="K277"/>
      <c r="L277"/>
      <c r="M277"/>
      <c r="N277"/>
      <c r="O277"/>
    </row>
    <row r="278" spans="11:15" x14ac:dyDescent="0.25">
      <c r="K278"/>
      <c r="L278"/>
      <c r="M278"/>
      <c r="N278"/>
      <c r="O278"/>
    </row>
    <row r="279" spans="11:15" x14ac:dyDescent="0.25">
      <c r="K279"/>
      <c r="L279"/>
      <c r="M279"/>
      <c r="N279"/>
      <c r="O279"/>
    </row>
    <row r="280" spans="11:15" x14ac:dyDescent="0.25">
      <c r="K280"/>
      <c r="L280"/>
      <c r="M280"/>
      <c r="N280"/>
      <c r="O280"/>
    </row>
    <row r="281" spans="11:15" x14ac:dyDescent="0.25">
      <c r="K281"/>
      <c r="L281"/>
      <c r="M281"/>
      <c r="N281"/>
      <c r="O281"/>
    </row>
    <row r="282" spans="11:15" x14ac:dyDescent="0.25">
      <c r="K282"/>
      <c r="L282"/>
      <c r="M282"/>
      <c r="N282"/>
      <c r="O282"/>
    </row>
    <row r="283" spans="11:15" x14ac:dyDescent="0.25">
      <c r="K283"/>
      <c r="L283"/>
      <c r="M283"/>
      <c r="N283"/>
      <c r="O283"/>
    </row>
    <row r="284" spans="11:15" x14ac:dyDescent="0.25">
      <c r="K284"/>
      <c r="L284"/>
      <c r="M284"/>
      <c r="N284"/>
      <c r="O284"/>
    </row>
    <row r="285" spans="11:15" x14ac:dyDescent="0.25">
      <c r="K285"/>
      <c r="L285"/>
      <c r="M285"/>
      <c r="N285"/>
      <c r="O285"/>
    </row>
    <row r="286" spans="11:15" x14ac:dyDescent="0.25">
      <c r="K286"/>
      <c r="L286"/>
      <c r="M286"/>
      <c r="N286"/>
      <c r="O286"/>
    </row>
    <row r="287" spans="11:15" x14ac:dyDescent="0.25">
      <c r="K287"/>
      <c r="L287"/>
      <c r="M287"/>
      <c r="N287"/>
      <c r="O287"/>
    </row>
    <row r="288" spans="11:15" x14ac:dyDescent="0.25">
      <c r="K288"/>
      <c r="L288"/>
      <c r="M288"/>
      <c r="N288"/>
      <c r="O288"/>
    </row>
    <row r="289" spans="11:15" x14ac:dyDescent="0.25">
      <c r="K289"/>
      <c r="L289"/>
      <c r="M289"/>
      <c r="N289"/>
      <c r="O289"/>
    </row>
    <row r="290" spans="11:15" x14ac:dyDescent="0.25">
      <c r="K290"/>
      <c r="L290"/>
      <c r="M290"/>
      <c r="N290"/>
      <c r="O290"/>
    </row>
    <row r="291" spans="11:15" x14ac:dyDescent="0.25">
      <c r="K291"/>
      <c r="L291"/>
      <c r="M291"/>
      <c r="N291"/>
      <c r="O291"/>
    </row>
    <row r="292" spans="11:15" x14ac:dyDescent="0.25">
      <c r="K292"/>
      <c r="L292"/>
      <c r="M292"/>
      <c r="N292"/>
      <c r="O292"/>
    </row>
    <row r="293" spans="11:15" x14ac:dyDescent="0.25">
      <c r="K293"/>
      <c r="L293"/>
      <c r="M293"/>
      <c r="N293"/>
      <c r="O293"/>
    </row>
    <row r="294" spans="11:15" x14ac:dyDescent="0.25">
      <c r="K294"/>
      <c r="L294"/>
      <c r="M294"/>
      <c r="N294"/>
      <c r="O294"/>
    </row>
    <row r="295" spans="11:15" x14ac:dyDescent="0.25">
      <c r="K295"/>
      <c r="L295"/>
      <c r="M295"/>
      <c r="N295"/>
      <c r="O295"/>
    </row>
    <row r="296" spans="11:15" x14ac:dyDescent="0.25">
      <c r="K296"/>
      <c r="L296"/>
      <c r="M296"/>
      <c r="N296"/>
      <c r="O296"/>
    </row>
    <row r="297" spans="11:15" x14ac:dyDescent="0.25">
      <c r="K297"/>
      <c r="L297"/>
      <c r="M297"/>
      <c r="N297"/>
      <c r="O297"/>
    </row>
    <row r="298" spans="11:15" x14ac:dyDescent="0.25">
      <c r="K298"/>
      <c r="L298"/>
      <c r="M298"/>
      <c r="N298"/>
      <c r="O298"/>
    </row>
    <row r="299" spans="11:15" x14ac:dyDescent="0.25">
      <c r="K299"/>
      <c r="L299"/>
      <c r="M299"/>
      <c r="N299"/>
      <c r="O299"/>
    </row>
    <row r="300" spans="11:15" x14ac:dyDescent="0.25">
      <c r="K300"/>
      <c r="L300"/>
      <c r="M300"/>
      <c r="N300"/>
      <c r="O300"/>
    </row>
    <row r="301" spans="11:15" x14ac:dyDescent="0.25">
      <c r="K301"/>
      <c r="L301"/>
      <c r="M301"/>
      <c r="N301"/>
      <c r="O301"/>
    </row>
    <row r="302" spans="11:15" x14ac:dyDescent="0.25">
      <c r="K302"/>
      <c r="L302"/>
      <c r="M302"/>
      <c r="N302"/>
      <c r="O302"/>
    </row>
    <row r="303" spans="11:15" x14ac:dyDescent="0.25">
      <c r="K303"/>
      <c r="L303"/>
      <c r="M303"/>
      <c r="N303"/>
      <c r="O303"/>
    </row>
    <row r="304" spans="11:15" x14ac:dyDescent="0.25">
      <c r="K304"/>
      <c r="L304"/>
      <c r="M304"/>
      <c r="N304"/>
      <c r="O304"/>
    </row>
    <row r="305" spans="11:15" x14ac:dyDescent="0.25">
      <c r="K305"/>
      <c r="L305"/>
      <c r="M305"/>
      <c r="N305"/>
      <c r="O305"/>
    </row>
    <row r="306" spans="11:15" x14ac:dyDescent="0.25">
      <c r="K306"/>
      <c r="L306"/>
      <c r="M306"/>
      <c r="N306"/>
      <c r="O306"/>
    </row>
    <row r="307" spans="11:15" x14ac:dyDescent="0.25">
      <c r="K307"/>
      <c r="L307"/>
      <c r="M307"/>
      <c r="N307"/>
      <c r="O307"/>
    </row>
    <row r="308" spans="11:15" x14ac:dyDescent="0.25">
      <c r="K308"/>
      <c r="L308"/>
      <c r="M308"/>
      <c r="N308"/>
      <c r="O308"/>
    </row>
    <row r="309" spans="11:15" x14ac:dyDescent="0.25">
      <c r="K309"/>
      <c r="L309"/>
      <c r="M309"/>
      <c r="N309"/>
      <c r="O309"/>
    </row>
    <row r="310" spans="11:15" x14ac:dyDescent="0.25">
      <c r="K310"/>
      <c r="L310"/>
      <c r="M310"/>
      <c r="N310"/>
      <c r="O310"/>
    </row>
    <row r="311" spans="11:15" x14ac:dyDescent="0.25">
      <c r="K311"/>
      <c r="L311"/>
      <c r="M311"/>
      <c r="N311"/>
      <c r="O311"/>
    </row>
    <row r="312" spans="11:15" x14ac:dyDescent="0.25">
      <c r="K312"/>
      <c r="L312"/>
      <c r="M312"/>
      <c r="N312"/>
      <c r="O312"/>
    </row>
    <row r="313" spans="11:15" x14ac:dyDescent="0.25">
      <c r="K313"/>
      <c r="L313"/>
      <c r="M313"/>
      <c r="N313"/>
      <c r="O313"/>
    </row>
    <row r="314" spans="11:15" x14ac:dyDescent="0.25">
      <c r="K314"/>
      <c r="L314"/>
      <c r="M314"/>
      <c r="N314"/>
      <c r="O314"/>
    </row>
    <row r="315" spans="11:15" x14ac:dyDescent="0.25">
      <c r="K315"/>
      <c r="L315"/>
      <c r="M315"/>
      <c r="N315"/>
      <c r="O315"/>
    </row>
    <row r="316" spans="11:15" x14ac:dyDescent="0.25">
      <c r="K316"/>
      <c r="L316"/>
      <c r="M316"/>
      <c r="N316"/>
      <c r="O316"/>
    </row>
    <row r="317" spans="11:15" x14ac:dyDescent="0.25">
      <c r="K317"/>
      <c r="L317"/>
      <c r="M317"/>
      <c r="N317"/>
      <c r="O317"/>
    </row>
    <row r="318" spans="11:15" x14ac:dyDescent="0.25">
      <c r="K318"/>
      <c r="L318"/>
      <c r="M318"/>
      <c r="N318"/>
      <c r="O318"/>
    </row>
    <row r="319" spans="11:15" x14ac:dyDescent="0.25">
      <c r="K319"/>
      <c r="L319"/>
      <c r="M319"/>
      <c r="N319"/>
      <c r="O319"/>
    </row>
    <row r="320" spans="11:15" x14ac:dyDescent="0.25">
      <c r="K320"/>
      <c r="L320"/>
      <c r="M320"/>
      <c r="N320"/>
      <c r="O320"/>
    </row>
    <row r="321" spans="11:15" x14ac:dyDescent="0.25">
      <c r="K321"/>
      <c r="L321"/>
      <c r="M321"/>
      <c r="N321"/>
      <c r="O321"/>
    </row>
    <row r="322" spans="11:15" x14ac:dyDescent="0.25">
      <c r="K322"/>
      <c r="L322"/>
      <c r="M322"/>
      <c r="N322"/>
      <c r="O322"/>
    </row>
    <row r="323" spans="11:15" x14ac:dyDescent="0.25">
      <c r="K323"/>
      <c r="L323"/>
      <c r="M323"/>
      <c r="N323"/>
      <c r="O323"/>
    </row>
    <row r="324" spans="11:15" x14ac:dyDescent="0.25">
      <c r="K324"/>
      <c r="L324"/>
      <c r="M324"/>
      <c r="N324"/>
      <c r="O324"/>
    </row>
    <row r="325" spans="11:15" x14ac:dyDescent="0.25">
      <c r="K325"/>
      <c r="L325"/>
      <c r="M325"/>
      <c r="N325"/>
      <c r="O325"/>
    </row>
    <row r="326" spans="11:15" x14ac:dyDescent="0.25">
      <c r="K326"/>
      <c r="L326"/>
      <c r="M326"/>
      <c r="N326"/>
      <c r="O326"/>
    </row>
    <row r="327" spans="11:15" x14ac:dyDescent="0.25">
      <c r="K327"/>
      <c r="L327"/>
      <c r="M327"/>
      <c r="N327"/>
      <c r="O327"/>
    </row>
    <row r="328" spans="11:15" x14ac:dyDescent="0.25">
      <c r="K328"/>
      <c r="L328"/>
      <c r="M328"/>
      <c r="N328"/>
      <c r="O328"/>
    </row>
    <row r="329" spans="11:15" x14ac:dyDescent="0.25">
      <c r="K329"/>
      <c r="L329"/>
      <c r="M329"/>
      <c r="N329"/>
      <c r="O329"/>
    </row>
    <row r="330" spans="11:15" x14ac:dyDescent="0.25">
      <c r="K330"/>
      <c r="L330"/>
      <c r="M330"/>
      <c r="N330"/>
      <c r="O330"/>
    </row>
    <row r="331" spans="11:15" x14ac:dyDescent="0.25">
      <c r="K331"/>
      <c r="L331"/>
      <c r="M331"/>
      <c r="N331"/>
      <c r="O331"/>
    </row>
    <row r="332" spans="11:15" x14ac:dyDescent="0.25">
      <c r="K332"/>
      <c r="L332"/>
      <c r="M332"/>
      <c r="N332"/>
      <c r="O332"/>
    </row>
    <row r="333" spans="11:15" x14ac:dyDescent="0.25">
      <c r="K333"/>
      <c r="L333"/>
      <c r="M333"/>
      <c r="N333"/>
      <c r="O333"/>
    </row>
    <row r="334" spans="11:15" x14ac:dyDescent="0.25">
      <c r="K334"/>
      <c r="L334"/>
      <c r="M334"/>
      <c r="N334"/>
      <c r="O334"/>
    </row>
    <row r="335" spans="11:15" x14ac:dyDescent="0.25">
      <c r="K335"/>
      <c r="L335"/>
      <c r="M335"/>
      <c r="N335"/>
      <c r="O335"/>
    </row>
    <row r="336" spans="11:15" x14ac:dyDescent="0.25">
      <c r="K336"/>
      <c r="L336"/>
      <c r="M336"/>
      <c r="N336"/>
      <c r="O336"/>
    </row>
    <row r="337" spans="11:15" x14ac:dyDescent="0.25">
      <c r="K337"/>
      <c r="L337"/>
      <c r="M337"/>
      <c r="N337"/>
      <c r="O337"/>
    </row>
    <row r="338" spans="11:15" x14ac:dyDescent="0.25">
      <c r="K338"/>
      <c r="L338"/>
      <c r="M338"/>
      <c r="N338"/>
      <c r="O338"/>
    </row>
    <row r="339" spans="11:15" x14ac:dyDescent="0.25">
      <c r="K339"/>
      <c r="L339"/>
      <c r="M339"/>
      <c r="N339"/>
      <c r="O339"/>
    </row>
    <row r="340" spans="11:15" x14ac:dyDescent="0.25">
      <c r="K340"/>
      <c r="L340"/>
      <c r="M340"/>
      <c r="N340"/>
      <c r="O340"/>
    </row>
    <row r="341" spans="11:15" x14ac:dyDescent="0.25">
      <c r="K341"/>
      <c r="L341"/>
      <c r="M341"/>
      <c r="N341"/>
      <c r="O341"/>
    </row>
    <row r="342" spans="11:15" x14ac:dyDescent="0.25">
      <c r="K342"/>
      <c r="L342"/>
      <c r="M342"/>
      <c r="N342"/>
      <c r="O342"/>
    </row>
    <row r="343" spans="11:15" x14ac:dyDescent="0.25">
      <c r="K343"/>
      <c r="L343"/>
      <c r="M343"/>
      <c r="N343"/>
      <c r="O343"/>
    </row>
    <row r="344" spans="11:15" x14ac:dyDescent="0.25">
      <c r="K344"/>
      <c r="L344"/>
      <c r="M344"/>
      <c r="N344"/>
      <c r="O344"/>
    </row>
    <row r="345" spans="11:15" x14ac:dyDescent="0.25">
      <c r="K345"/>
      <c r="L345"/>
      <c r="M345"/>
      <c r="N345"/>
      <c r="O345"/>
    </row>
    <row r="346" spans="11:15" x14ac:dyDescent="0.25">
      <c r="K346"/>
      <c r="L346"/>
      <c r="M346"/>
      <c r="N346"/>
      <c r="O346"/>
    </row>
    <row r="347" spans="11:15" x14ac:dyDescent="0.25">
      <c r="K347"/>
      <c r="L347"/>
      <c r="M347"/>
      <c r="N347"/>
      <c r="O347"/>
    </row>
    <row r="348" spans="11:15" x14ac:dyDescent="0.25">
      <c r="K348"/>
      <c r="L348"/>
      <c r="M348"/>
      <c r="N348"/>
      <c r="O348"/>
    </row>
    <row r="349" spans="11:15" x14ac:dyDescent="0.25">
      <c r="K349"/>
      <c r="L349"/>
      <c r="M349"/>
      <c r="N349"/>
      <c r="O349"/>
    </row>
    <row r="350" spans="11:15" x14ac:dyDescent="0.25">
      <c r="K350"/>
      <c r="L350"/>
      <c r="M350"/>
      <c r="N350"/>
      <c r="O350"/>
    </row>
    <row r="351" spans="11:15" x14ac:dyDescent="0.25">
      <c r="K351"/>
      <c r="L351"/>
      <c r="M351"/>
      <c r="N351"/>
      <c r="O351"/>
    </row>
    <row r="352" spans="11:15" x14ac:dyDescent="0.25">
      <c r="K352"/>
      <c r="L352"/>
      <c r="M352"/>
      <c r="N352"/>
      <c r="O352"/>
    </row>
    <row r="353" spans="11:15" x14ac:dyDescent="0.25">
      <c r="K353"/>
      <c r="L353"/>
      <c r="M353"/>
      <c r="N353"/>
      <c r="O353"/>
    </row>
    <row r="354" spans="11:15" x14ac:dyDescent="0.25">
      <c r="K354"/>
      <c r="L354"/>
      <c r="M354"/>
      <c r="N354"/>
      <c r="O354"/>
    </row>
    <row r="355" spans="11:15" x14ac:dyDescent="0.25">
      <c r="K355"/>
      <c r="L355"/>
      <c r="M355"/>
      <c r="N355"/>
      <c r="O355"/>
    </row>
    <row r="356" spans="11:15" x14ac:dyDescent="0.25">
      <c r="K356"/>
      <c r="L356"/>
      <c r="M356"/>
      <c r="N356"/>
      <c r="O356"/>
    </row>
    <row r="357" spans="11:15" x14ac:dyDescent="0.25">
      <c r="K357"/>
      <c r="L357"/>
      <c r="M357"/>
      <c r="N357"/>
      <c r="O357"/>
    </row>
    <row r="358" spans="11:15" x14ac:dyDescent="0.25">
      <c r="K358"/>
      <c r="L358"/>
      <c r="M358"/>
      <c r="N358"/>
      <c r="O358"/>
    </row>
    <row r="359" spans="11:15" x14ac:dyDescent="0.25">
      <c r="K359"/>
      <c r="L359"/>
      <c r="M359"/>
      <c r="N359"/>
      <c r="O359"/>
    </row>
    <row r="360" spans="11:15" x14ac:dyDescent="0.25">
      <c r="K360"/>
      <c r="L360"/>
      <c r="M360"/>
      <c r="N360"/>
      <c r="O360"/>
    </row>
    <row r="361" spans="11:15" x14ac:dyDescent="0.25">
      <c r="K361"/>
      <c r="L361"/>
      <c r="M361"/>
      <c r="N361"/>
      <c r="O361"/>
    </row>
    <row r="362" spans="11:15" x14ac:dyDescent="0.25">
      <c r="K362"/>
      <c r="L362"/>
      <c r="M362"/>
      <c r="N362"/>
      <c r="O362"/>
    </row>
    <row r="363" spans="11:15" x14ac:dyDescent="0.25">
      <c r="K363"/>
      <c r="L363"/>
      <c r="M363"/>
      <c r="N363"/>
      <c r="O363"/>
    </row>
    <row r="364" spans="11:15" x14ac:dyDescent="0.25">
      <c r="K364"/>
      <c r="L364"/>
      <c r="M364"/>
      <c r="N364"/>
      <c r="O364"/>
    </row>
    <row r="365" spans="11:15" x14ac:dyDescent="0.25">
      <c r="K365"/>
      <c r="L365"/>
      <c r="M365"/>
      <c r="N365"/>
      <c r="O365"/>
    </row>
    <row r="366" spans="11:15" x14ac:dyDescent="0.25">
      <c r="K366"/>
      <c r="L366"/>
      <c r="M366"/>
      <c r="N366"/>
      <c r="O366"/>
    </row>
    <row r="367" spans="11:15" x14ac:dyDescent="0.25">
      <c r="K367"/>
      <c r="L367"/>
      <c r="M367"/>
      <c r="N367"/>
      <c r="O367"/>
    </row>
    <row r="368" spans="11:15" x14ac:dyDescent="0.25">
      <c r="K368"/>
      <c r="L368"/>
      <c r="M368"/>
      <c r="N368"/>
      <c r="O368"/>
    </row>
    <row r="369" spans="11:15" x14ac:dyDescent="0.25">
      <c r="K369"/>
      <c r="L369"/>
      <c r="M369"/>
      <c r="N369"/>
      <c r="O369"/>
    </row>
    <row r="370" spans="11:15" x14ac:dyDescent="0.25">
      <c r="K370"/>
      <c r="L370"/>
      <c r="M370"/>
      <c r="N370"/>
      <c r="O370"/>
    </row>
    <row r="371" spans="11:15" x14ac:dyDescent="0.25">
      <c r="K371"/>
      <c r="L371"/>
      <c r="M371"/>
      <c r="N371"/>
      <c r="O371"/>
    </row>
    <row r="372" spans="11:15" x14ac:dyDescent="0.25">
      <c r="K372"/>
      <c r="L372"/>
      <c r="M372"/>
      <c r="N372"/>
      <c r="O372"/>
    </row>
    <row r="373" spans="11:15" x14ac:dyDescent="0.25">
      <c r="K373"/>
      <c r="L373"/>
      <c r="M373"/>
      <c r="N373"/>
      <c r="O373"/>
    </row>
    <row r="374" spans="11:15" x14ac:dyDescent="0.25">
      <c r="K374"/>
      <c r="L374"/>
      <c r="M374"/>
      <c r="N374"/>
      <c r="O374"/>
    </row>
    <row r="375" spans="11:15" x14ac:dyDescent="0.25">
      <c r="K375"/>
      <c r="L375"/>
      <c r="M375"/>
      <c r="N375"/>
      <c r="O375"/>
    </row>
    <row r="376" spans="11:15" x14ac:dyDescent="0.25">
      <c r="K376"/>
      <c r="L376"/>
      <c r="M376"/>
      <c r="N376"/>
      <c r="O376"/>
    </row>
    <row r="377" spans="11:15" x14ac:dyDescent="0.25">
      <c r="K377"/>
      <c r="L377"/>
      <c r="M377"/>
      <c r="N377"/>
      <c r="O377"/>
    </row>
    <row r="378" spans="11:15" x14ac:dyDescent="0.25">
      <c r="K378"/>
      <c r="L378"/>
      <c r="M378"/>
      <c r="N378"/>
      <c r="O378"/>
    </row>
    <row r="379" spans="11:15" x14ac:dyDescent="0.25">
      <c r="K379"/>
      <c r="L379"/>
      <c r="M379"/>
      <c r="N379"/>
      <c r="O379"/>
    </row>
    <row r="380" spans="11:15" x14ac:dyDescent="0.25">
      <c r="K380"/>
      <c r="L380"/>
      <c r="M380"/>
      <c r="N380"/>
      <c r="O380"/>
    </row>
    <row r="381" spans="11:15" x14ac:dyDescent="0.25">
      <c r="K381"/>
      <c r="L381"/>
      <c r="M381"/>
      <c r="N381"/>
      <c r="O381"/>
    </row>
    <row r="382" spans="11:15" x14ac:dyDescent="0.25">
      <c r="K382"/>
      <c r="L382"/>
      <c r="M382"/>
      <c r="N382"/>
      <c r="O382"/>
    </row>
    <row r="383" spans="11:15" x14ac:dyDescent="0.25">
      <c r="K383"/>
      <c r="L383"/>
      <c r="M383"/>
      <c r="N383"/>
      <c r="O383"/>
    </row>
    <row r="384" spans="11:15" x14ac:dyDescent="0.25">
      <c r="K384"/>
      <c r="L384"/>
      <c r="M384"/>
      <c r="N384"/>
      <c r="O384"/>
    </row>
    <row r="385" spans="11:15" x14ac:dyDescent="0.25">
      <c r="K385"/>
      <c r="L385"/>
      <c r="M385"/>
      <c r="N385"/>
      <c r="O385"/>
    </row>
    <row r="386" spans="11:15" x14ac:dyDescent="0.25">
      <c r="K386"/>
      <c r="L386"/>
      <c r="M386"/>
      <c r="N386"/>
      <c r="O386"/>
    </row>
    <row r="387" spans="11:15" x14ac:dyDescent="0.25">
      <c r="K387"/>
      <c r="L387"/>
      <c r="M387"/>
      <c r="N387"/>
      <c r="O387"/>
    </row>
    <row r="388" spans="11:15" x14ac:dyDescent="0.25">
      <c r="K388"/>
      <c r="L388"/>
      <c r="M388"/>
      <c r="N388"/>
      <c r="O388"/>
    </row>
    <row r="389" spans="11:15" x14ac:dyDescent="0.25">
      <c r="K389"/>
      <c r="L389"/>
      <c r="M389"/>
      <c r="N389"/>
      <c r="O389"/>
    </row>
    <row r="390" spans="11:15" x14ac:dyDescent="0.25">
      <c r="K390"/>
      <c r="L390"/>
      <c r="M390"/>
      <c r="N390"/>
      <c r="O390"/>
    </row>
    <row r="391" spans="11:15" x14ac:dyDescent="0.25">
      <c r="K391"/>
      <c r="L391"/>
      <c r="M391"/>
      <c r="N391"/>
      <c r="O391"/>
    </row>
    <row r="392" spans="11:15" x14ac:dyDescent="0.25">
      <c r="K392"/>
      <c r="L392"/>
      <c r="M392"/>
      <c r="N392"/>
      <c r="O392"/>
    </row>
    <row r="393" spans="11:15" x14ac:dyDescent="0.25">
      <c r="K393"/>
      <c r="L393"/>
      <c r="M393"/>
      <c r="N393"/>
      <c r="O393"/>
    </row>
    <row r="394" spans="11:15" x14ac:dyDescent="0.25">
      <c r="K394"/>
      <c r="L394"/>
      <c r="M394"/>
      <c r="N394"/>
      <c r="O394"/>
    </row>
    <row r="395" spans="11:15" x14ac:dyDescent="0.25">
      <c r="K395"/>
      <c r="L395"/>
      <c r="M395"/>
      <c r="N395"/>
      <c r="O395"/>
    </row>
    <row r="396" spans="11:15" x14ac:dyDescent="0.25">
      <c r="K396"/>
      <c r="L396"/>
      <c r="M396"/>
      <c r="N396"/>
      <c r="O396"/>
    </row>
    <row r="397" spans="11:15" x14ac:dyDescent="0.25">
      <c r="K397"/>
      <c r="L397"/>
      <c r="M397"/>
      <c r="N397"/>
      <c r="O397"/>
    </row>
    <row r="398" spans="11:15" x14ac:dyDescent="0.25">
      <c r="K398"/>
      <c r="L398"/>
      <c r="M398"/>
      <c r="N398"/>
      <c r="O398"/>
    </row>
    <row r="399" spans="11:15" x14ac:dyDescent="0.25">
      <c r="K399"/>
      <c r="L399"/>
      <c r="M399"/>
      <c r="N399"/>
      <c r="O399"/>
    </row>
    <row r="400" spans="11:15" x14ac:dyDescent="0.25">
      <c r="K400"/>
      <c r="L400"/>
      <c r="M400"/>
      <c r="N400"/>
      <c r="O400"/>
    </row>
    <row r="401" spans="11:15" x14ac:dyDescent="0.25">
      <c r="K401"/>
      <c r="L401"/>
      <c r="M401"/>
      <c r="N401"/>
      <c r="O401"/>
    </row>
    <row r="402" spans="11:15" x14ac:dyDescent="0.25">
      <c r="K402"/>
      <c r="L402"/>
      <c r="M402"/>
      <c r="N402"/>
      <c r="O402"/>
    </row>
    <row r="403" spans="11:15" x14ac:dyDescent="0.25">
      <c r="K403"/>
      <c r="L403"/>
      <c r="M403"/>
      <c r="N403"/>
      <c r="O403"/>
    </row>
    <row r="404" spans="11:15" x14ac:dyDescent="0.25">
      <c r="K404"/>
      <c r="L404"/>
      <c r="M404"/>
      <c r="N404"/>
      <c r="O404"/>
    </row>
    <row r="405" spans="11:15" x14ac:dyDescent="0.25">
      <c r="K405"/>
      <c r="L405"/>
      <c r="M405"/>
      <c r="N405"/>
      <c r="O405"/>
    </row>
    <row r="406" spans="11:15" x14ac:dyDescent="0.25">
      <c r="K406"/>
      <c r="L406"/>
      <c r="M406"/>
      <c r="N406"/>
      <c r="O406"/>
    </row>
    <row r="407" spans="11:15" x14ac:dyDescent="0.25">
      <c r="K407"/>
      <c r="L407"/>
      <c r="M407"/>
      <c r="N407"/>
      <c r="O407"/>
    </row>
    <row r="408" spans="11:15" x14ac:dyDescent="0.25">
      <c r="K408"/>
      <c r="L408"/>
      <c r="M408"/>
      <c r="N408"/>
      <c r="O408"/>
    </row>
    <row r="409" spans="11:15" x14ac:dyDescent="0.25">
      <c r="K409"/>
      <c r="L409"/>
      <c r="M409"/>
      <c r="N409"/>
      <c r="O409"/>
    </row>
    <row r="410" spans="11:15" x14ac:dyDescent="0.25">
      <c r="K410"/>
      <c r="L410"/>
      <c r="M410"/>
      <c r="N410"/>
      <c r="O410"/>
    </row>
    <row r="411" spans="11:15" x14ac:dyDescent="0.25">
      <c r="K411"/>
      <c r="L411"/>
      <c r="M411"/>
      <c r="N411"/>
      <c r="O411"/>
    </row>
    <row r="412" spans="11:15" x14ac:dyDescent="0.25">
      <c r="K412"/>
      <c r="L412"/>
      <c r="M412"/>
      <c r="N412"/>
      <c r="O412"/>
    </row>
    <row r="413" spans="11:15" x14ac:dyDescent="0.25">
      <c r="K413"/>
      <c r="L413"/>
      <c r="M413"/>
      <c r="N413"/>
      <c r="O413"/>
    </row>
    <row r="414" spans="11:15" x14ac:dyDescent="0.25">
      <c r="K414"/>
      <c r="L414"/>
      <c r="M414"/>
      <c r="N414"/>
      <c r="O414"/>
    </row>
    <row r="415" spans="11:15" x14ac:dyDescent="0.25">
      <c r="K415"/>
      <c r="L415"/>
      <c r="M415"/>
      <c r="N415"/>
      <c r="O415"/>
    </row>
    <row r="416" spans="11:15" x14ac:dyDescent="0.25">
      <c r="K416"/>
      <c r="L416"/>
      <c r="M416"/>
      <c r="N416"/>
      <c r="O416"/>
    </row>
    <row r="417" spans="11:15" x14ac:dyDescent="0.25">
      <c r="K417"/>
      <c r="L417"/>
      <c r="M417"/>
      <c r="N417"/>
      <c r="O417"/>
    </row>
    <row r="418" spans="11:15" x14ac:dyDescent="0.25">
      <c r="K418"/>
      <c r="L418"/>
      <c r="M418"/>
      <c r="N418"/>
      <c r="O418"/>
    </row>
    <row r="419" spans="11:15" x14ac:dyDescent="0.25">
      <c r="K419"/>
      <c r="L419"/>
      <c r="M419"/>
      <c r="N419"/>
      <c r="O419"/>
    </row>
    <row r="420" spans="11:15" x14ac:dyDescent="0.25">
      <c r="K420"/>
      <c r="L420"/>
      <c r="M420"/>
      <c r="N420"/>
      <c r="O420"/>
    </row>
    <row r="421" spans="11:15" x14ac:dyDescent="0.25">
      <c r="K421"/>
      <c r="L421"/>
      <c r="M421"/>
      <c r="N421"/>
      <c r="O421"/>
    </row>
    <row r="422" spans="11:15" x14ac:dyDescent="0.25">
      <c r="K422"/>
      <c r="L422"/>
      <c r="M422"/>
      <c r="N422"/>
      <c r="O422"/>
    </row>
    <row r="423" spans="11:15" x14ac:dyDescent="0.25">
      <c r="K423"/>
      <c r="L423"/>
      <c r="M423"/>
      <c r="N423"/>
      <c r="O423"/>
    </row>
    <row r="424" spans="11:15" x14ac:dyDescent="0.25">
      <c r="K424"/>
      <c r="L424"/>
      <c r="M424"/>
      <c r="N424"/>
      <c r="O424"/>
    </row>
    <row r="425" spans="11:15" x14ac:dyDescent="0.25">
      <c r="K425"/>
      <c r="L425"/>
      <c r="M425"/>
      <c r="N425"/>
      <c r="O425"/>
    </row>
    <row r="426" spans="11:15" x14ac:dyDescent="0.25">
      <c r="K426"/>
      <c r="L426"/>
      <c r="M426"/>
      <c r="N426"/>
      <c r="O426"/>
    </row>
    <row r="427" spans="11:15" x14ac:dyDescent="0.25">
      <c r="K427"/>
      <c r="L427"/>
      <c r="M427"/>
      <c r="N427"/>
      <c r="O427"/>
    </row>
    <row r="428" spans="11:15" x14ac:dyDescent="0.25">
      <c r="K428"/>
      <c r="L428"/>
      <c r="M428"/>
      <c r="N428"/>
      <c r="O428"/>
    </row>
    <row r="429" spans="11:15" x14ac:dyDescent="0.25">
      <c r="K429"/>
      <c r="L429"/>
      <c r="M429"/>
      <c r="N429"/>
      <c r="O429"/>
    </row>
    <row r="430" spans="11:15" x14ac:dyDescent="0.25">
      <c r="K430"/>
      <c r="L430"/>
      <c r="M430"/>
      <c r="N430"/>
      <c r="O430"/>
    </row>
    <row r="431" spans="11:15" x14ac:dyDescent="0.25">
      <c r="K431"/>
      <c r="L431"/>
      <c r="M431"/>
      <c r="N431"/>
      <c r="O431"/>
    </row>
    <row r="432" spans="11:15" x14ac:dyDescent="0.25">
      <c r="K432"/>
      <c r="L432"/>
      <c r="M432"/>
      <c r="N432"/>
      <c r="O432"/>
    </row>
    <row r="433" spans="11:15" x14ac:dyDescent="0.25">
      <c r="K433"/>
      <c r="L433"/>
      <c r="M433"/>
      <c r="N433"/>
      <c r="O433"/>
    </row>
    <row r="434" spans="11:15" x14ac:dyDescent="0.25">
      <c r="K434"/>
      <c r="L434"/>
      <c r="M434"/>
      <c r="N434"/>
      <c r="O434"/>
    </row>
    <row r="435" spans="11:15" x14ac:dyDescent="0.25">
      <c r="K435"/>
      <c r="L435"/>
      <c r="M435"/>
      <c r="N435"/>
      <c r="O435"/>
    </row>
    <row r="436" spans="11:15" x14ac:dyDescent="0.25">
      <c r="K436"/>
      <c r="L436"/>
      <c r="M436"/>
      <c r="N436"/>
      <c r="O436"/>
    </row>
    <row r="437" spans="11:15" x14ac:dyDescent="0.25">
      <c r="K437"/>
      <c r="L437"/>
      <c r="M437"/>
      <c r="N437"/>
      <c r="O437"/>
    </row>
    <row r="438" spans="11:15" x14ac:dyDescent="0.25">
      <c r="K438"/>
      <c r="L438"/>
      <c r="M438"/>
      <c r="N438"/>
      <c r="O438"/>
    </row>
    <row r="439" spans="11:15" x14ac:dyDescent="0.25">
      <c r="K439"/>
      <c r="L439"/>
      <c r="M439"/>
      <c r="N439"/>
      <c r="O439"/>
    </row>
    <row r="440" spans="11:15" x14ac:dyDescent="0.25">
      <c r="K440"/>
      <c r="L440"/>
      <c r="M440"/>
      <c r="N440"/>
      <c r="O440"/>
    </row>
    <row r="441" spans="11:15" x14ac:dyDescent="0.25">
      <c r="K441"/>
      <c r="L441"/>
      <c r="M441"/>
      <c r="N441"/>
      <c r="O441"/>
    </row>
    <row r="442" spans="11:15" x14ac:dyDescent="0.25">
      <c r="K442"/>
      <c r="L442"/>
      <c r="M442"/>
      <c r="N442"/>
      <c r="O442"/>
    </row>
    <row r="443" spans="11:15" x14ac:dyDescent="0.25">
      <c r="K443"/>
      <c r="L443"/>
      <c r="M443"/>
      <c r="N443"/>
      <c r="O443"/>
    </row>
    <row r="444" spans="11:15" x14ac:dyDescent="0.25">
      <c r="K444"/>
      <c r="L444"/>
      <c r="M444"/>
      <c r="N444"/>
      <c r="O444"/>
    </row>
    <row r="445" spans="11:15" x14ac:dyDescent="0.25">
      <c r="K445"/>
      <c r="L445"/>
      <c r="M445"/>
      <c r="N445"/>
      <c r="O445"/>
    </row>
    <row r="446" spans="11:15" x14ac:dyDescent="0.25">
      <c r="K446"/>
      <c r="L446"/>
      <c r="M446"/>
      <c r="N446"/>
      <c r="O446"/>
    </row>
    <row r="447" spans="11:15" x14ac:dyDescent="0.25">
      <c r="K447"/>
      <c r="L447"/>
      <c r="M447"/>
      <c r="N447"/>
      <c r="O447"/>
    </row>
    <row r="448" spans="11:15" x14ac:dyDescent="0.25">
      <c r="K448"/>
      <c r="L448"/>
      <c r="M448"/>
      <c r="N448"/>
      <c r="O448"/>
    </row>
    <row r="449" spans="11:15" x14ac:dyDescent="0.25">
      <c r="K449"/>
      <c r="L449"/>
      <c r="M449"/>
      <c r="N449"/>
      <c r="O449"/>
    </row>
    <row r="450" spans="11:15" x14ac:dyDescent="0.25">
      <c r="K450"/>
      <c r="L450"/>
      <c r="M450"/>
      <c r="N450"/>
      <c r="O450"/>
    </row>
    <row r="451" spans="11:15" x14ac:dyDescent="0.25">
      <c r="K451"/>
      <c r="L451"/>
      <c r="M451"/>
      <c r="N451"/>
      <c r="O451"/>
    </row>
    <row r="452" spans="11:15" x14ac:dyDescent="0.25">
      <c r="K452"/>
      <c r="L452"/>
      <c r="M452"/>
      <c r="N452"/>
      <c r="O452"/>
    </row>
    <row r="453" spans="11:15" x14ac:dyDescent="0.25">
      <c r="K453"/>
      <c r="L453"/>
      <c r="M453"/>
      <c r="N453"/>
      <c r="O453"/>
    </row>
    <row r="454" spans="11:15" x14ac:dyDescent="0.25">
      <c r="K454"/>
      <c r="L454"/>
      <c r="M454"/>
      <c r="N454"/>
      <c r="O454"/>
    </row>
    <row r="455" spans="11:15" x14ac:dyDescent="0.25">
      <c r="K455"/>
      <c r="L455"/>
      <c r="M455"/>
      <c r="N455"/>
      <c r="O455"/>
    </row>
    <row r="456" spans="11:15" x14ac:dyDescent="0.25">
      <c r="K456"/>
      <c r="L456"/>
      <c r="M456"/>
      <c r="N456"/>
      <c r="O456"/>
    </row>
    <row r="457" spans="11:15" x14ac:dyDescent="0.25">
      <c r="K457"/>
      <c r="L457"/>
      <c r="M457"/>
      <c r="N457"/>
      <c r="O457"/>
    </row>
    <row r="458" spans="11:15" x14ac:dyDescent="0.25">
      <c r="K458"/>
      <c r="L458"/>
      <c r="M458"/>
      <c r="N458"/>
      <c r="O458"/>
    </row>
    <row r="459" spans="11:15" x14ac:dyDescent="0.25">
      <c r="K459"/>
      <c r="L459"/>
      <c r="M459"/>
      <c r="N459"/>
      <c r="O459"/>
    </row>
    <row r="460" spans="11:15" x14ac:dyDescent="0.25">
      <c r="K460"/>
      <c r="L460"/>
      <c r="M460"/>
      <c r="N460"/>
      <c r="O460"/>
    </row>
    <row r="461" spans="11:15" x14ac:dyDescent="0.25">
      <c r="K461"/>
      <c r="L461"/>
      <c r="M461"/>
      <c r="N461"/>
      <c r="O461"/>
    </row>
    <row r="462" spans="11:15" x14ac:dyDescent="0.25">
      <c r="K462"/>
      <c r="L462"/>
      <c r="M462"/>
      <c r="N462"/>
      <c r="O462"/>
    </row>
    <row r="463" spans="11:15" x14ac:dyDescent="0.25">
      <c r="K463"/>
      <c r="L463"/>
      <c r="M463"/>
      <c r="N463"/>
      <c r="O463"/>
    </row>
    <row r="464" spans="11:15" x14ac:dyDescent="0.25">
      <c r="K464"/>
      <c r="L464"/>
      <c r="M464"/>
      <c r="N464"/>
      <c r="O464"/>
    </row>
    <row r="465" spans="11:15" x14ac:dyDescent="0.25">
      <c r="K465"/>
      <c r="L465"/>
      <c r="M465"/>
      <c r="N465"/>
      <c r="O465"/>
    </row>
    <row r="466" spans="11:15" x14ac:dyDescent="0.25">
      <c r="K466"/>
      <c r="L466"/>
      <c r="M466"/>
      <c r="N466"/>
      <c r="O466"/>
    </row>
    <row r="467" spans="11:15" x14ac:dyDescent="0.25">
      <c r="K467"/>
      <c r="L467"/>
      <c r="M467"/>
      <c r="N467"/>
      <c r="O467"/>
    </row>
    <row r="468" spans="11:15" x14ac:dyDescent="0.25">
      <c r="K468"/>
      <c r="L468"/>
      <c r="M468"/>
      <c r="N468"/>
      <c r="O468"/>
    </row>
    <row r="469" spans="11:15" x14ac:dyDescent="0.25">
      <c r="K469"/>
      <c r="L469"/>
      <c r="M469"/>
      <c r="N469"/>
      <c r="O469"/>
    </row>
    <row r="470" spans="11:15" x14ac:dyDescent="0.25">
      <c r="K470"/>
      <c r="L470"/>
      <c r="M470"/>
      <c r="N470"/>
      <c r="O470"/>
    </row>
    <row r="471" spans="11:15" x14ac:dyDescent="0.25">
      <c r="K471"/>
      <c r="L471"/>
      <c r="M471"/>
      <c r="N471"/>
      <c r="O471"/>
    </row>
    <row r="472" spans="11:15" x14ac:dyDescent="0.25">
      <c r="K472"/>
      <c r="L472"/>
      <c r="M472"/>
      <c r="N472"/>
      <c r="O472"/>
    </row>
    <row r="473" spans="11:15" x14ac:dyDescent="0.25">
      <c r="K473"/>
      <c r="L473"/>
      <c r="M473"/>
      <c r="N473"/>
      <c r="O473"/>
    </row>
    <row r="474" spans="11:15" x14ac:dyDescent="0.25">
      <c r="K474"/>
      <c r="L474"/>
      <c r="M474"/>
      <c r="N474"/>
      <c r="O474"/>
    </row>
    <row r="475" spans="11:15" x14ac:dyDescent="0.25">
      <c r="K475"/>
      <c r="L475"/>
      <c r="M475"/>
      <c r="N475"/>
      <c r="O475"/>
    </row>
    <row r="476" spans="11:15" x14ac:dyDescent="0.25">
      <c r="K476"/>
      <c r="L476"/>
      <c r="M476"/>
      <c r="N476"/>
      <c r="O476"/>
    </row>
    <row r="477" spans="11:15" x14ac:dyDescent="0.25">
      <c r="K477"/>
      <c r="L477"/>
      <c r="M477"/>
      <c r="N477"/>
      <c r="O477"/>
    </row>
    <row r="478" spans="11:15" x14ac:dyDescent="0.25">
      <c r="K478"/>
      <c r="L478"/>
      <c r="M478"/>
      <c r="N478"/>
      <c r="O478"/>
    </row>
    <row r="479" spans="11:15" x14ac:dyDescent="0.25">
      <c r="K479"/>
      <c r="L479"/>
      <c r="M479"/>
      <c r="N479"/>
      <c r="O479"/>
    </row>
    <row r="480" spans="11:15" x14ac:dyDescent="0.25">
      <c r="K480"/>
      <c r="L480"/>
      <c r="M480"/>
      <c r="N480"/>
      <c r="O480"/>
    </row>
    <row r="481" spans="11:15" x14ac:dyDescent="0.25">
      <c r="K481"/>
      <c r="L481"/>
      <c r="M481"/>
      <c r="N481"/>
      <c r="O481"/>
    </row>
    <row r="482" spans="11:15" x14ac:dyDescent="0.25">
      <c r="K482"/>
      <c r="L482"/>
      <c r="M482"/>
      <c r="N482"/>
      <c r="O482"/>
    </row>
    <row r="483" spans="11:15" x14ac:dyDescent="0.25">
      <c r="K483"/>
      <c r="L483"/>
      <c r="M483"/>
      <c r="N483"/>
      <c r="O483"/>
    </row>
    <row r="484" spans="11:15" x14ac:dyDescent="0.25">
      <c r="K484"/>
      <c r="L484"/>
      <c r="M484"/>
      <c r="N484"/>
      <c r="O484"/>
    </row>
    <row r="485" spans="11:15" x14ac:dyDescent="0.25">
      <c r="K485"/>
      <c r="L485"/>
      <c r="M485"/>
      <c r="N485"/>
      <c r="O485"/>
    </row>
    <row r="486" spans="11:15" x14ac:dyDescent="0.25">
      <c r="K486"/>
      <c r="L486"/>
      <c r="M486"/>
      <c r="N486"/>
      <c r="O486"/>
    </row>
    <row r="487" spans="11:15" x14ac:dyDescent="0.25">
      <c r="K487"/>
      <c r="L487"/>
      <c r="M487"/>
      <c r="N487"/>
      <c r="O487"/>
    </row>
    <row r="488" spans="11:15" x14ac:dyDescent="0.25">
      <c r="K488"/>
      <c r="L488"/>
      <c r="M488"/>
      <c r="N488"/>
      <c r="O488"/>
    </row>
    <row r="489" spans="11:15" x14ac:dyDescent="0.25">
      <c r="K489"/>
      <c r="L489"/>
      <c r="M489"/>
      <c r="N489"/>
      <c r="O489"/>
    </row>
    <row r="490" spans="11:15" x14ac:dyDescent="0.25">
      <c r="K490"/>
      <c r="L490"/>
      <c r="M490"/>
      <c r="N490"/>
      <c r="O490"/>
    </row>
    <row r="491" spans="11:15" x14ac:dyDescent="0.25">
      <c r="K491"/>
      <c r="L491"/>
      <c r="M491"/>
      <c r="N491"/>
      <c r="O491"/>
    </row>
    <row r="492" spans="11:15" x14ac:dyDescent="0.25">
      <c r="K492"/>
      <c r="L492"/>
      <c r="M492"/>
      <c r="N492"/>
      <c r="O492"/>
    </row>
    <row r="493" spans="11:15" x14ac:dyDescent="0.25">
      <c r="K493"/>
      <c r="L493"/>
      <c r="M493"/>
      <c r="N493"/>
      <c r="O493"/>
    </row>
    <row r="494" spans="11:15" x14ac:dyDescent="0.25">
      <c r="K494"/>
      <c r="L494"/>
      <c r="M494"/>
      <c r="N494"/>
      <c r="O494"/>
    </row>
    <row r="495" spans="11:15" x14ac:dyDescent="0.25">
      <c r="K495"/>
      <c r="L495"/>
      <c r="M495"/>
      <c r="N495"/>
      <c r="O495"/>
    </row>
    <row r="496" spans="11:15" x14ac:dyDescent="0.25">
      <c r="K496"/>
      <c r="L496"/>
      <c r="M496"/>
      <c r="N496"/>
      <c r="O496"/>
    </row>
    <row r="497" spans="11:15" x14ac:dyDescent="0.25">
      <c r="K497"/>
      <c r="L497"/>
      <c r="M497"/>
      <c r="N497"/>
      <c r="O497"/>
    </row>
    <row r="498" spans="11:15" x14ac:dyDescent="0.25">
      <c r="K498"/>
      <c r="L498"/>
      <c r="M498"/>
      <c r="N498"/>
      <c r="O498"/>
    </row>
    <row r="499" spans="11:15" x14ac:dyDescent="0.25">
      <c r="K499"/>
      <c r="L499"/>
      <c r="M499"/>
      <c r="N499"/>
      <c r="O499"/>
    </row>
    <row r="500" spans="11:15" x14ac:dyDescent="0.25">
      <c r="K500"/>
      <c r="L500"/>
      <c r="M500"/>
      <c r="N500"/>
      <c r="O500"/>
    </row>
    <row r="501" spans="11:15" x14ac:dyDescent="0.25">
      <c r="K501"/>
      <c r="L501"/>
      <c r="M501"/>
      <c r="N501"/>
      <c r="O501"/>
    </row>
    <row r="502" spans="11:15" x14ac:dyDescent="0.25">
      <c r="K502"/>
      <c r="L502"/>
      <c r="M502"/>
      <c r="N502"/>
      <c r="O502"/>
    </row>
    <row r="503" spans="11:15" x14ac:dyDescent="0.25">
      <c r="K503"/>
      <c r="L503"/>
      <c r="M503"/>
      <c r="N503"/>
      <c r="O503"/>
    </row>
    <row r="504" spans="11:15" x14ac:dyDescent="0.25">
      <c r="K504"/>
      <c r="L504"/>
      <c r="M504"/>
      <c r="N504"/>
      <c r="O504"/>
    </row>
    <row r="505" spans="11:15" x14ac:dyDescent="0.25">
      <c r="K505"/>
      <c r="L505"/>
      <c r="M505"/>
      <c r="N505"/>
      <c r="O505"/>
    </row>
    <row r="506" spans="11:15" x14ac:dyDescent="0.25">
      <c r="K506"/>
      <c r="L506"/>
      <c r="M506"/>
      <c r="N506"/>
      <c r="O506"/>
    </row>
    <row r="507" spans="11:15" x14ac:dyDescent="0.25">
      <c r="K507"/>
      <c r="L507"/>
      <c r="M507"/>
      <c r="N507"/>
      <c r="O507"/>
    </row>
    <row r="508" spans="11:15" x14ac:dyDescent="0.25">
      <c r="K508"/>
      <c r="L508"/>
      <c r="M508"/>
      <c r="N508"/>
      <c r="O508"/>
    </row>
    <row r="509" spans="11:15" x14ac:dyDescent="0.25">
      <c r="K509"/>
      <c r="L509"/>
      <c r="M509"/>
      <c r="N509"/>
      <c r="O509"/>
    </row>
    <row r="510" spans="11:15" x14ac:dyDescent="0.25">
      <c r="K510"/>
      <c r="L510"/>
      <c r="M510"/>
      <c r="N510"/>
      <c r="O510"/>
    </row>
    <row r="511" spans="11:15" x14ac:dyDescent="0.25">
      <c r="K511"/>
      <c r="L511"/>
      <c r="M511"/>
      <c r="N511"/>
      <c r="O511"/>
    </row>
    <row r="512" spans="11:15" x14ac:dyDescent="0.25">
      <c r="K512"/>
      <c r="L512"/>
      <c r="M512"/>
      <c r="N512"/>
      <c r="O512"/>
    </row>
    <row r="513" spans="11:15" x14ac:dyDescent="0.25">
      <c r="K513"/>
      <c r="L513"/>
      <c r="M513"/>
      <c r="N513"/>
      <c r="O513"/>
    </row>
    <row r="514" spans="11:15" x14ac:dyDescent="0.25">
      <c r="K514"/>
      <c r="L514"/>
      <c r="M514"/>
      <c r="N514"/>
      <c r="O514"/>
    </row>
    <row r="515" spans="11:15" x14ac:dyDescent="0.25">
      <c r="K515"/>
      <c r="L515"/>
      <c r="M515"/>
      <c r="N515"/>
      <c r="O515"/>
    </row>
    <row r="516" spans="11:15" x14ac:dyDescent="0.25">
      <c r="K516"/>
      <c r="L516"/>
      <c r="M516"/>
      <c r="N516"/>
      <c r="O516"/>
    </row>
    <row r="517" spans="11:15" x14ac:dyDescent="0.25">
      <c r="K517"/>
      <c r="L517"/>
      <c r="M517"/>
      <c r="N517"/>
      <c r="O517"/>
    </row>
    <row r="518" spans="11:15" x14ac:dyDescent="0.25">
      <c r="K518"/>
      <c r="L518"/>
      <c r="M518"/>
      <c r="N518"/>
      <c r="O518"/>
    </row>
    <row r="519" spans="11:15" x14ac:dyDescent="0.25">
      <c r="K519"/>
      <c r="L519"/>
      <c r="M519"/>
      <c r="N519"/>
      <c r="O519"/>
    </row>
    <row r="520" spans="11:15" x14ac:dyDescent="0.25">
      <c r="K520"/>
      <c r="L520"/>
      <c r="M520"/>
      <c r="N520"/>
      <c r="O520"/>
    </row>
    <row r="521" spans="11:15" x14ac:dyDescent="0.25">
      <c r="K521"/>
      <c r="L521"/>
      <c r="M521"/>
      <c r="N521"/>
      <c r="O521"/>
    </row>
    <row r="522" spans="11:15" x14ac:dyDescent="0.25">
      <c r="K522"/>
      <c r="L522"/>
      <c r="M522"/>
      <c r="N522"/>
      <c r="O522"/>
    </row>
    <row r="523" spans="11:15" x14ac:dyDescent="0.25">
      <c r="K523"/>
      <c r="L523"/>
      <c r="M523"/>
      <c r="N523"/>
      <c r="O523"/>
    </row>
    <row r="524" spans="11:15" x14ac:dyDescent="0.25">
      <c r="K524"/>
      <c r="L524"/>
      <c r="M524"/>
      <c r="N524"/>
      <c r="O524"/>
    </row>
    <row r="525" spans="11:15" x14ac:dyDescent="0.25">
      <c r="K525"/>
      <c r="L525"/>
      <c r="M525"/>
      <c r="N525"/>
      <c r="O525"/>
    </row>
    <row r="526" spans="11:15" x14ac:dyDescent="0.25">
      <c r="K526"/>
      <c r="L526"/>
      <c r="M526"/>
      <c r="N526"/>
      <c r="O526"/>
    </row>
    <row r="527" spans="11:15" x14ac:dyDescent="0.25">
      <c r="K527"/>
      <c r="L527"/>
      <c r="M527"/>
      <c r="N527"/>
      <c r="O527"/>
    </row>
    <row r="528" spans="11:15" x14ac:dyDescent="0.25">
      <c r="K528"/>
      <c r="L528"/>
      <c r="M528"/>
      <c r="N528"/>
      <c r="O528"/>
    </row>
    <row r="529" spans="11:15" x14ac:dyDescent="0.25">
      <c r="K529"/>
      <c r="L529"/>
      <c r="M529"/>
      <c r="N529"/>
      <c r="O529"/>
    </row>
    <row r="530" spans="11:15" x14ac:dyDescent="0.25">
      <c r="K530"/>
      <c r="L530"/>
      <c r="M530"/>
      <c r="N530"/>
      <c r="O530"/>
    </row>
    <row r="531" spans="11:15" x14ac:dyDescent="0.25">
      <c r="K531"/>
      <c r="L531"/>
      <c r="M531"/>
      <c r="N531"/>
      <c r="O531"/>
    </row>
    <row r="532" spans="11:15" x14ac:dyDescent="0.25">
      <c r="K532"/>
      <c r="L532"/>
      <c r="M532"/>
      <c r="N532"/>
      <c r="O532"/>
    </row>
    <row r="533" spans="11:15" x14ac:dyDescent="0.25">
      <c r="K533"/>
      <c r="L533"/>
      <c r="M533"/>
      <c r="N533"/>
      <c r="O533"/>
    </row>
    <row r="534" spans="11:15" x14ac:dyDescent="0.25">
      <c r="K534"/>
      <c r="L534"/>
      <c r="M534"/>
      <c r="N534"/>
      <c r="O534"/>
    </row>
    <row r="535" spans="11:15" x14ac:dyDescent="0.25">
      <c r="K535"/>
      <c r="L535"/>
      <c r="M535"/>
      <c r="N535"/>
      <c r="O535"/>
    </row>
    <row r="536" spans="11:15" x14ac:dyDescent="0.25">
      <c r="K536"/>
      <c r="L536"/>
      <c r="M536"/>
      <c r="N536"/>
      <c r="O536"/>
    </row>
    <row r="537" spans="11:15" x14ac:dyDescent="0.25">
      <c r="K537"/>
      <c r="L537"/>
      <c r="M537"/>
      <c r="N537"/>
      <c r="O537"/>
    </row>
    <row r="538" spans="11:15" x14ac:dyDescent="0.25">
      <c r="K538"/>
      <c r="L538"/>
      <c r="M538"/>
      <c r="N538"/>
      <c r="O538"/>
    </row>
    <row r="539" spans="11:15" x14ac:dyDescent="0.25">
      <c r="K539"/>
      <c r="L539"/>
      <c r="M539"/>
      <c r="N539"/>
      <c r="O539"/>
    </row>
    <row r="540" spans="11:15" x14ac:dyDescent="0.25">
      <c r="K540"/>
      <c r="L540"/>
      <c r="M540"/>
      <c r="N540"/>
      <c r="O540"/>
    </row>
    <row r="541" spans="11:15" x14ac:dyDescent="0.25">
      <c r="K541"/>
      <c r="L541"/>
      <c r="M541"/>
      <c r="N541"/>
      <c r="O541"/>
    </row>
    <row r="542" spans="11:15" x14ac:dyDescent="0.25">
      <c r="K542"/>
      <c r="L542"/>
      <c r="M542"/>
      <c r="N542"/>
      <c r="O542"/>
    </row>
    <row r="543" spans="11:15" x14ac:dyDescent="0.25">
      <c r="K543"/>
      <c r="L543"/>
      <c r="M543"/>
      <c r="N543"/>
      <c r="O543"/>
    </row>
    <row r="544" spans="11:15" x14ac:dyDescent="0.25">
      <c r="K544"/>
      <c r="L544"/>
      <c r="M544"/>
      <c r="N544"/>
      <c r="O544"/>
    </row>
    <row r="545" spans="11:15" x14ac:dyDescent="0.25">
      <c r="K545"/>
      <c r="L545"/>
      <c r="M545"/>
      <c r="N545"/>
      <c r="O545"/>
    </row>
    <row r="546" spans="11:15" x14ac:dyDescent="0.25">
      <c r="K546"/>
      <c r="L546"/>
      <c r="M546"/>
      <c r="N546"/>
      <c r="O546"/>
    </row>
    <row r="547" spans="11:15" x14ac:dyDescent="0.25">
      <c r="K547"/>
      <c r="L547"/>
      <c r="M547"/>
      <c r="N547"/>
      <c r="O547"/>
    </row>
    <row r="548" spans="11:15" x14ac:dyDescent="0.25">
      <c r="K548"/>
      <c r="L548"/>
      <c r="M548"/>
      <c r="N548"/>
      <c r="O548"/>
    </row>
    <row r="549" spans="11:15" x14ac:dyDescent="0.25">
      <c r="K549"/>
      <c r="L549"/>
      <c r="M549"/>
      <c r="N549"/>
      <c r="O549"/>
    </row>
    <row r="550" spans="11:15" x14ac:dyDescent="0.25">
      <c r="K550"/>
      <c r="L550"/>
      <c r="M550"/>
      <c r="N550"/>
      <c r="O550"/>
    </row>
    <row r="551" spans="11:15" x14ac:dyDescent="0.25">
      <c r="K551"/>
      <c r="L551"/>
      <c r="M551"/>
      <c r="N551"/>
      <c r="O551"/>
    </row>
    <row r="552" spans="11:15" x14ac:dyDescent="0.25">
      <c r="K552"/>
      <c r="L552"/>
      <c r="M552"/>
      <c r="N552"/>
      <c r="O552"/>
    </row>
    <row r="553" spans="11:15" x14ac:dyDescent="0.25">
      <c r="K553"/>
      <c r="L553"/>
      <c r="M553"/>
      <c r="N553"/>
      <c r="O553"/>
    </row>
    <row r="554" spans="11:15" x14ac:dyDescent="0.25">
      <c r="K554"/>
      <c r="L554"/>
      <c r="M554"/>
      <c r="N554"/>
      <c r="O554"/>
    </row>
    <row r="555" spans="11:15" x14ac:dyDescent="0.25">
      <c r="K555"/>
      <c r="L555"/>
      <c r="M555"/>
      <c r="N555"/>
      <c r="O555"/>
    </row>
    <row r="556" spans="11:15" x14ac:dyDescent="0.25">
      <c r="K556"/>
      <c r="L556"/>
      <c r="M556"/>
      <c r="N556"/>
      <c r="O556"/>
    </row>
    <row r="557" spans="11:15" x14ac:dyDescent="0.25">
      <c r="K557"/>
      <c r="L557"/>
      <c r="M557"/>
      <c r="N557"/>
      <c r="O557"/>
    </row>
    <row r="558" spans="11:15" x14ac:dyDescent="0.25">
      <c r="K558"/>
      <c r="L558"/>
      <c r="M558"/>
      <c r="N558"/>
      <c r="O558"/>
    </row>
    <row r="559" spans="11:15" x14ac:dyDescent="0.25">
      <c r="K559"/>
      <c r="L559"/>
      <c r="M559"/>
      <c r="N559"/>
      <c r="O559"/>
    </row>
    <row r="560" spans="11:15" x14ac:dyDescent="0.25">
      <c r="K560"/>
      <c r="L560"/>
      <c r="M560"/>
      <c r="N560"/>
      <c r="O560"/>
    </row>
    <row r="561" spans="11:15" x14ac:dyDescent="0.25">
      <c r="K561"/>
      <c r="L561"/>
      <c r="M561"/>
      <c r="N561"/>
      <c r="O561"/>
    </row>
    <row r="562" spans="11:15" x14ac:dyDescent="0.25">
      <c r="K562"/>
      <c r="L562"/>
      <c r="M562"/>
      <c r="N562"/>
      <c r="O562"/>
    </row>
    <row r="563" spans="11:15" x14ac:dyDescent="0.25">
      <c r="K563"/>
      <c r="L563"/>
      <c r="M563"/>
      <c r="N563"/>
      <c r="O563"/>
    </row>
    <row r="564" spans="11:15" x14ac:dyDescent="0.25">
      <c r="K564"/>
      <c r="L564"/>
      <c r="M564"/>
      <c r="N564"/>
      <c r="O564"/>
    </row>
    <row r="565" spans="11:15" x14ac:dyDescent="0.25">
      <c r="K565"/>
      <c r="L565"/>
      <c r="M565"/>
      <c r="N565"/>
      <c r="O565"/>
    </row>
    <row r="566" spans="11:15" x14ac:dyDescent="0.25">
      <c r="K566"/>
      <c r="L566"/>
      <c r="M566"/>
      <c r="N566"/>
      <c r="O566"/>
    </row>
    <row r="567" spans="11:15" x14ac:dyDescent="0.25">
      <c r="K567"/>
      <c r="L567"/>
      <c r="M567"/>
      <c r="N567"/>
      <c r="O567"/>
    </row>
    <row r="568" spans="11:15" x14ac:dyDescent="0.25">
      <c r="K568"/>
      <c r="L568"/>
      <c r="M568"/>
      <c r="N568"/>
      <c r="O568"/>
    </row>
    <row r="569" spans="11:15" x14ac:dyDescent="0.25">
      <c r="K569"/>
      <c r="L569"/>
      <c r="M569"/>
      <c r="N569"/>
      <c r="O569"/>
    </row>
    <row r="570" spans="11:15" x14ac:dyDescent="0.25">
      <c r="K570"/>
      <c r="L570"/>
      <c r="M570"/>
      <c r="N570"/>
      <c r="O570"/>
    </row>
    <row r="571" spans="11:15" x14ac:dyDescent="0.25">
      <c r="K571"/>
      <c r="L571"/>
      <c r="M571"/>
      <c r="N571"/>
      <c r="O571"/>
    </row>
    <row r="572" spans="11:15" x14ac:dyDescent="0.25">
      <c r="K572"/>
      <c r="L572"/>
      <c r="M572"/>
      <c r="N572"/>
      <c r="O572"/>
    </row>
    <row r="573" spans="11:15" x14ac:dyDescent="0.25">
      <c r="K573"/>
      <c r="L573"/>
      <c r="M573"/>
      <c r="N573"/>
      <c r="O573"/>
    </row>
    <row r="574" spans="11:15" x14ac:dyDescent="0.25">
      <c r="K574"/>
      <c r="L574"/>
      <c r="M574"/>
      <c r="N574"/>
      <c r="O574"/>
    </row>
    <row r="575" spans="11:15" x14ac:dyDescent="0.25">
      <c r="K575"/>
      <c r="L575"/>
      <c r="M575"/>
      <c r="N575"/>
      <c r="O575"/>
    </row>
    <row r="576" spans="11:15" x14ac:dyDescent="0.25">
      <c r="K576"/>
      <c r="L576"/>
      <c r="M576"/>
      <c r="N576"/>
      <c r="O576"/>
    </row>
    <row r="577" spans="11:15" x14ac:dyDescent="0.25">
      <c r="K577"/>
      <c r="L577"/>
      <c r="M577"/>
      <c r="N577"/>
      <c r="O577"/>
    </row>
    <row r="578" spans="11:15" x14ac:dyDescent="0.25">
      <c r="K578"/>
      <c r="L578"/>
      <c r="M578"/>
      <c r="N578"/>
      <c r="O578"/>
    </row>
    <row r="579" spans="11:15" x14ac:dyDescent="0.25">
      <c r="K579"/>
      <c r="L579"/>
      <c r="M579"/>
      <c r="N579"/>
      <c r="O579"/>
    </row>
    <row r="580" spans="11:15" x14ac:dyDescent="0.25">
      <c r="K580"/>
      <c r="L580"/>
      <c r="M580"/>
      <c r="N580"/>
      <c r="O580"/>
    </row>
    <row r="581" spans="11:15" x14ac:dyDescent="0.25">
      <c r="K581"/>
      <c r="L581"/>
      <c r="M581"/>
      <c r="N581"/>
      <c r="O581"/>
    </row>
    <row r="582" spans="11:15" x14ac:dyDescent="0.25">
      <c r="K582"/>
      <c r="L582"/>
      <c r="M582"/>
      <c r="N582"/>
      <c r="O582"/>
    </row>
    <row r="583" spans="11:15" x14ac:dyDescent="0.25">
      <c r="K583"/>
      <c r="L583"/>
      <c r="M583"/>
      <c r="N583"/>
      <c r="O583"/>
    </row>
    <row r="584" spans="11:15" x14ac:dyDescent="0.25">
      <c r="K584"/>
      <c r="L584"/>
      <c r="M584"/>
      <c r="N584"/>
      <c r="O584"/>
    </row>
    <row r="585" spans="11:15" x14ac:dyDescent="0.25">
      <c r="K585"/>
      <c r="L585"/>
      <c r="M585"/>
      <c r="N585"/>
      <c r="O585"/>
    </row>
    <row r="586" spans="11:15" x14ac:dyDescent="0.25">
      <c r="K586"/>
      <c r="L586"/>
      <c r="M586"/>
      <c r="N586"/>
      <c r="O586"/>
    </row>
    <row r="587" spans="11:15" x14ac:dyDescent="0.25">
      <c r="K587"/>
      <c r="L587"/>
      <c r="M587"/>
      <c r="N587"/>
      <c r="O587"/>
    </row>
    <row r="588" spans="11:15" x14ac:dyDescent="0.25">
      <c r="K588"/>
      <c r="L588"/>
      <c r="M588"/>
      <c r="N588"/>
      <c r="O588"/>
    </row>
    <row r="589" spans="11:15" x14ac:dyDescent="0.25">
      <c r="K589"/>
      <c r="L589"/>
      <c r="M589"/>
      <c r="N589"/>
      <c r="O589"/>
    </row>
    <row r="590" spans="11:15" x14ac:dyDescent="0.25">
      <c r="K590"/>
      <c r="L590"/>
      <c r="M590"/>
      <c r="N590"/>
      <c r="O590"/>
    </row>
    <row r="591" spans="11:15" x14ac:dyDescent="0.25">
      <c r="K591"/>
      <c r="L591"/>
      <c r="M591"/>
      <c r="N591"/>
      <c r="O591"/>
    </row>
    <row r="592" spans="11:15" x14ac:dyDescent="0.25">
      <c r="K592"/>
      <c r="L592"/>
      <c r="M592"/>
      <c r="N592"/>
      <c r="O592"/>
    </row>
    <row r="593" spans="11:15" x14ac:dyDescent="0.25">
      <c r="K593"/>
      <c r="L593"/>
      <c r="M593"/>
      <c r="N593"/>
      <c r="O593"/>
    </row>
    <row r="594" spans="11:15" x14ac:dyDescent="0.25">
      <c r="K594"/>
      <c r="L594"/>
      <c r="M594"/>
      <c r="N594"/>
      <c r="O594"/>
    </row>
    <row r="595" spans="11:15" x14ac:dyDescent="0.25">
      <c r="K595"/>
      <c r="L595"/>
      <c r="M595"/>
      <c r="N595"/>
      <c r="O595"/>
    </row>
    <row r="596" spans="11:15" x14ac:dyDescent="0.25">
      <c r="K596"/>
      <c r="L596"/>
      <c r="M596"/>
      <c r="N596"/>
      <c r="O596"/>
    </row>
    <row r="597" spans="11:15" x14ac:dyDescent="0.25">
      <c r="K597"/>
      <c r="L597"/>
      <c r="M597"/>
      <c r="N597"/>
      <c r="O597"/>
    </row>
    <row r="598" spans="11:15" x14ac:dyDescent="0.25">
      <c r="K598"/>
      <c r="L598"/>
      <c r="M598"/>
      <c r="N598"/>
      <c r="O598"/>
    </row>
    <row r="599" spans="11:15" x14ac:dyDescent="0.25">
      <c r="K599"/>
      <c r="L599"/>
      <c r="M599"/>
      <c r="N599"/>
      <c r="O599"/>
    </row>
    <row r="600" spans="11:15" x14ac:dyDescent="0.25">
      <c r="K600"/>
      <c r="L600"/>
      <c r="M600"/>
      <c r="N600"/>
      <c r="O600"/>
    </row>
    <row r="601" spans="11:15" x14ac:dyDescent="0.25">
      <c r="K601"/>
      <c r="L601"/>
      <c r="M601"/>
      <c r="N601"/>
      <c r="O601"/>
    </row>
    <row r="602" spans="11:15" x14ac:dyDescent="0.25">
      <c r="K602"/>
      <c r="L602"/>
      <c r="M602"/>
      <c r="N602"/>
      <c r="O602"/>
    </row>
    <row r="603" spans="11:15" x14ac:dyDescent="0.25">
      <c r="K603"/>
      <c r="L603"/>
      <c r="M603"/>
      <c r="N603"/>
      <c r="O603"/>
    </row>
    <row r="604" spans="11:15" x14ac:dyDescent="0.25">
      <c r="K604"/>
      <c r="L604"/>
      <c r="M604"/>
      <c r="N604"/>
      <c r="O604"/>
    </row>
    <row r="605" spans="11:15" x14ac:dyDescent="0.25">
      <c r="K605"/>
      <c r="L605"/>
      <c r="M605"/>
      <c r="N605"/>
      <c r="O605"/>
    </row>
    <row r="606" spans="11:15" x14ac:dyDescent="0.25">
      <c r="K606"/>
      <c r="L606"/>
      <c r="M606"/>
      <c r="N606"/>
      <c r="O606"/>
    </row>
    <row r="607" spans="11:15" x14ac:dyDescent="0.25">
      <c r="K607"/>
      <c r="L607"/>
      <c r="M607"/>
      <c r="N607"/>
      <c r="O607"/>
    </row>
    <row r="608" spans="11:15" x14ac:dyDescent="0.25">
      <c r="K608"/>
      <c r="L608"/>
      <c r="M608"/>
      <c r="N608"/>
      <c r="O608"/>
    </row>
    <row r="609" spans="11:15" x14ac:dyDescent="0.25">
      <c r="K609"/>
      <c r="L609"/>
      <c r="M609"/>
      <c r="N609"/>
      <c r="O609"/>
    </row>
    <row r="610" spans="11:15" x14ac:dyDescent="0.25">
      <c r="K610"/>
      <c r="L610"/>
      <c r="M610"/>
      <c r="N610"/>
      <c r="O610"/>
    </row>
    <row r="611" spans="11:15" x14ac:dyDescent="0.25">
      <c r="K611"/>
      <c r="L611"/>
      <c r="M611"/>
      <c r="N611"/>
      <c r="O611"/>
    </row>
    <row r="612" spans="11:15" x14ac:dyDescent="0.25">
      <c r="K612"/>
      <c r="L612"/>
      <c r="M612"/>
      <c r="N612"/>
      <c r="O612"/>
    </row>
    <row r="613" spans="11:15" x14ac:dyDescent="0.25">
      <c r="K613"/>
      <c r="L613"/>
      <c r="M613"/>
      <c r="N613"/>
      <c r="O613"/>
    </row>
    <row r="614" spans="11:15" x14ac:dyDescent="0.25">
      <c r="K614"/>
      <c r="L614"/>
      <c r="M614"/>
      <c r="N614"/>
      <c r="O614"/>
    </row>
    <row r="615" spans="11:15" x14ac:dyDescent="0.25">
      <c r="K615"/>
      <c r="L615"/>
      <c r="M615"/>
      <c r="N615"/>
      <c r="O615"/>
    </row>
    <row r="616" spans="11:15" x14ac:dyDescent="0.25">
      <c r="K616"/>
      <c r="L616"/>
      <c r="M616"/>
      <c r="N616"/>
      <c r="O616"/>
    </row>
    <row r="617" spans="11:15" x14ac:dyDescent="0.25">
      <c r="K617"/>
      <c r="L617"/>
      <c r="M617"/>
      <c r="N617"/>
      <c r="O617"/>
    </row>
    <row r="618" spans="11:15" x14ac:dyDescent="0.25">
      <c r="K618"/>
      <c r="L618"/>
      <c r="M618"/>
      <c r="N618"/>
      <c r="O618"/>
    </row>
    <row r="619" spans="11:15" x14ac:dyDescent="0.25">
      <c r="K619"/>
      <c r="L619"/>
      <c r="M619"/>
      <c r="N619"/>
      <c r="O619"/>
    </row>
    <row r="620" spans="11:15" x14ac:dyDescent="0.25">
      <c r="K620"/>
      <c r="L620"/>
      <c r="M620"/>
      <c r="N620"/>
      <c r="O620"/>
    </row>
    <row r="621" spans="11:15" x14ac:dyDescent="0.25">
      <c r="K621"/>
      <c r="L621"/>
      <c r="M621"/>
      <c r="N621"/>
      <c r="O621"/>
    </row>
    <row r="622" spans="11:15" x14ac:dyDescent="0.25">
      <c r="K622"/>
      <c r="L622"/>
      <c r="M622"/>
      <c r="N622"/>
      <c r="O622"/>
    </row>
    <row r="623" spans="11:15" x14ac:dyDescent="0.25">
      <c r="K623"/>
      <c r="L623"/>
      <c r="M623"/>
      <c r="N623"/>
      <c r="O623"/>
    </row>
    <row r="624" spans="11:15" x14ac:dyDescent="0.25">
      <c r="K624"/>
      <c r="L624"/>
      <c r="M624"/>
      <c r="N624"/>
      <c r="O624"/>
    </row>
    <row r="625" spans="11:15" x14ac:dyDescent="0.25">
      <c r="K625"/>
      <c r="L625"/>
      <c r="M625"/>
      <c r="N625"/>
      <c r="O625"/>
    </row>
    <row r="626" spans="11:15" x14ac:dyDescent="0.25">
      <c r="K626"/>
      <c r="L626"/>
      <c r="M626"/>
      <c r="N626"/>
      <c r="O626"/>
    </row>
    <row r="627" spans="11:15" x14ac:dyDescent="0.25">
      <c r="K627"/>
      <c r="L627"/>
      <c r="M627"/>
      <c r="N627"/>
      <c r="O627"/>
    </row>
    <row r="628" spans="11:15" x14ac:dyDescent="0.25">
      <c r="K628"/>
      <c r="L628"/>
      <c r="M628"/>
      <c r="N628"/>
      <c r="O628"/>
    </row>
    <row r="629" spans="11:15" x14ac:dyDescent="0.25">
      <c r="K629"/>
      <c r="L629"/>
      <c r="M629"/>
      <c r="N629"/>
      <c r="O629"/>
    </row>
    <row r="630" spans="11:15" x14ac:dyDescent="0.25">
      <c r="K630"/>
      <c r="L630"/>
      <c r="M630"/>
      <c r="N630"/>
      <c r="O630"/>
    </row>
    <row r="631" spans="11:15" x14ac:dyDescent="0.25">
      <c r="K631"/>
      <c r="L631"/>
      <c r="M631"/>
      <c r="N631"/>
      <c r="O631"/>
    </row>
    <row r="632" spans="11:15" x14ac:dyDescent="0.25">
      <c r="K632"/>
      <c r="L632"/>
      <c r="M632"/>
      <c r="N632"/>
      <c r="O632"/>
    </row>
    <row r="633" spans="11:15" x14ac:dyDescent="0.25">
      <c r="K633"/>
      <c r="L633"/>
      <c r="M633"/>
      <c r="N633"/>
      <c r="O633"/>
    </row>
    <row r="634" spans="11:15" x14ac:dyDescent="0.25">
      <c r="K634"/>
      <c r="L634"/>
      <c r="M634"/>
      <c r="N634"/>
      <c r="O634"/>
    </row>
    <row r="635" spans="11:15" x14ac:dyDescent="0.25">
      <c r="K635"/>
      <c r="L635"/>
      <c r="M635"/>
      <c r="N635"/>
      <c r="O635"/>
    </row>
    <row r="636" spans="11:15" x14ac:dyDescent="0.25">
      <c r="K636"/>
      <c r="L636"/>
      <c r="M636"/>
      <c r="N636"/>
      <c r="O636"/>
    </row>
    <row r="637" spans="11:15" x14ac:dyDescent="0.25">
      <c r="K637"/>
      <c r="L637"/>
      <c r="M637"/>
      <c r="N637"/>
      <c r="O637"/>
    </row>
    <row r="638" spans="11:15" x14ac:dyDescent="0.25">
      <c r="K638"/>
      <c r="L638"/>
      <c r="M638"/>
      <c r="N638"/>
      <c r="O638"/>
    </row>
    <row r="639" spans="11:15" x14ac:dyDescent="0.25">
      <c r="K639"/>
      <c r="L639"/>
      <c r="M639"/>
      <c r="N639"/>
      <c r="O639"/>
    </row>
    <row r="640" spans="11:15" x14ac:dyDescent="0.25">
      <c r="K640"/>
      <c r="L640"/>
      <c r="M640"/>
      <c r="N640"/>
      <c r="O640"/>
    </row>
    <row r="641" spans="11:15" x14ac:dyDescent="0.25">
      <c r="K641"/>
      <c r="L641"/>
      <c r="M641"/>
      <c r="N641"/>
      <c r="O641"/>
    </row>
    <row r="642" spans="11:15" x14ac:dyDescent="0.25">
      <c r="K642"/>
      <c r="L642"/>
      <c r="M642"/>
      <c r="N642"/>
      <c r="O642"/>
    </row>
    <row r="643" spans="11:15" x14ac:dyDescent="0.25">
      <c r="K643"/>
      <c r="L643"/>
      <c r="M643"/>
      <c r="N643"/>
      <c r="O643"/>
    </row>
    <row r="644" spans="11:15" x14ac:dyDescent="0.25">
      <c r="K644"/>
      <c r="L644"/>
      <c r="M644"/>
      <c r="N644"/>
      <c r="O644"/>
    </row>
    <row r="645" spans="11:15" x14ac:dyDescent="0.25">
      <c r="K645"/>
      <c r="L645"/>
      <c r="M645"/>
      <c r="N645"/>
      <c r="O645"/>
    </row>
    <row r="646" spans="11:15" x14ac:dyDescent="0.25">
      <c r="K646"/>
      <c r="L646"/>
      <c r="M646"/>
      <c r="N646"/>
      <c r="O646"/>
    </row>
    <row r="647" spans="11:15" x14ac:dyDescent="0.25">
      <c r="K647"/>
      <c r="L647"/>
      <c r="M647"/>
      <c r="N647"/>
      <c r="O647"/>
    </row>
    <row r="648" spans="11:15" x14ac:dyDescent="0.25">
      <c r="K648"/>
      <c r="L648"/>
      <c r="M648"/>
      <c r="N648"/>
      <c r="O648"/>
    </row>
    <row r="649" spans="11:15" x14ac:dyDescent="0.25">
      <c r="K649"/>
      <c r="L649"/>
      <c r="M649"/>
      <c r="N649"/>
      <c r="O649"/>
    </row>
    <row r="650" spans="11:15" x14ac:dyDescent="0.25">
      <c r="K650"/>
      <c r="L650"/>
      <c r="M650"/>
      <c r="N650"/>
      <c r="O650"/>
    </row>
    <row r="651" spans="11:15" x14ac:dyDescent="0.25">
      <c r="K651"/>
      <c r="L651"/>
      <c r="M651"/>
      <c r="N651"/>
      <c r="O651"/>
    </row>
    <row r="652" spans="11:15" x14ac:dyDescent="0.25">
      <c r="K652"/>
      <c r="L652"/>
      <c r="M652"/>
      <c r="N652"/>
      <c r="O652"/>
    </row>
    <row r="653" spans="11:15" x14ac:dyDescent="0.25">
      <c r="K653"/>
      <c r="L653"/>
      <c r="M653"/>
      <c r="N653"/>
      <c r="O653"/>
    </row>
    <row r="654" spans="11:15" x14ac:dyDescent="0.25">
      <c r="K654"/>
      <c r="L654"/>
      <c r="M654"/>
      <c r="N654"/>
      <c r="O654"/>
    </row>
    <row r="655" spans="11:15" x14ac:dyDescent="0.25">
      <c r="K655"/>
      <c r="L655"/>
      <c r="M655"/>
      <c r="N655"/>
      <c r="O655"/>
    </row>
    <row r="656" spans="11:15" x14ac:dyDescent="0.25">
      <c r="K656"/>
      <c r="L656"/>
      <c r="M656"/>
      <c r="N656"/>
      <c r="O656"/>
    </row>
    <row r="657" spans="11:15" x14ac:dyDescent="0.25">
      <c r="K657"/>
      <c r="L657"/>
      <c r="M657"/>
      <c r="N657"/>
      <c r="O657"/>
    </row>
    <row r="658" spans="11:15" x14ac:dyDescent="0.25">
      <c r="K658"/>
      <c r="L658"/>
      <c r="M658"/>
      <c r="N658"/>
      <c r="O658"/>
    </row>
    <row r="659" spans="11:15" x14ac:dyDescent="0.25">
      <c r="K659"/>
      <c r="L659"/>
      <c r="M659"/>
      <c r="N659"/>
      <c r="O659"/>
    </row>
    <row r="660" spans="11:15" x14ac:dyDescent="0.25">
      <c r="K660"/>
      <c r="L660"/>
      <c r="M660"/>
      <c r="N660"/>
      <c r="O660"/>
    </row>
    <row r="661" spans="11:15" x14ac:dyDescent="0.25">
      <c r="K661"/>
      <c r="L661"/>
      <c r="M661"/>
      <c r="N661"/>
      <c r="O661"/>
    </row>
    <row r="662" spans="11:15" x14ac:dyDescent="0.25">
      <c r="K662"/>
      <c r="L662"/>
      <c r="M662"/>
      <c r="N662"/>
      <c r="O662"/>
    </row>
    <row r="663" spans="11:15" x14ac:dyDescent="0.25">
      <c r="K663"/>
      <c r="L663"/>
      <c r="M663"/>
      <c r="N663"/>
      <c r="O663"/>
    </row>
    <row r="664" spans="11:15" x14ac:dyDescent="0.25">
      <c r="K664"/>
      <c r="L664"/>
      <c r="M664"/>
      <c r="N664"/>
      <c r="O664"/>
    </row>
    <row r="665" spans="11:15" x14ac:dyDescent="0.25">
      <c r="K665"/>
      <c r="L665"/>
      <c r="M665"/>
      <c r="N665"/>
      <c r="O665"/>
    </row>
    <row r="666" spans="11:15" x14ac:dyDescent="0.25">
      <c r="K666"/>
      <c r="L666"/>
      <c r="M666"/>
      <c r="N666"/>
      <c r="O666"/>
    </row>
    <row r="667" spans="11:15" x14ac:dyDescent="0.25">
      <c r="K667"/>
      <c r="L667"/>
      <c r="M667"/>
      <c r="N667"/>
      <c r="O667"/>
    </row>
    <row r="668" spans="11:15" x14ac:dyDescent="0.25">
      <c r="K668"/>
      <c r="L668"/>
      <c r="M668"/>
      <c r="N668"/>
      <c r="O668"/>
    </row>
    <row r="669" spans="11:15" x14ac:dyDescent="0.25">
      <c r="K669"/>
      <c r="L669"/>
      <c r="M669"/>
      <c r="N669"/>
      <c r="O669"/>
    </row>
    <row r="670" spans="11:15" x14ac:dyDescent="0.25">
      <c r="K670"/>
      <c r="L670"/>
      <c r="M670"/>
      <c r="N670"/>
      <c r="O670"/>
    </row>
    <row r="671" spans="11:15" x14ac:dyDescent="0.25">
      <c r="K671"/>
      <c r="L671"/>
      <c r="M671"/>
      <c r="N671"/>
      <c r="O671"/>
    </row>
    <row r="672" spans="11:15" x14ac:dyDescent="0.25">
      <c r="K672"/>
      <c r="L672"/>
      <c r="M672"/>
      <c r="N672"/>
      <c r="O672"/>
    </row>
    <row r="673" spans="11:15" x14ac:dyDescent="0.25">
      <c r="K673"/>
      <c r="L673"/>
      <c r="M673"/>
      <c r="N673"/>
      <c r="O673"/>
    </row>
    <row r="674" spans="11:15" x14ac:dyDescent="0.25">
      <c r="K674"/>
      <c r="L674"/>
      <c r="M674"/>
      <c r="N674"/>
      <c r="O674"/>
    </row>
    <row r="675" spans="11:15" x14ac:dyDescent="0.25">
      <c r="K675"/>
      <c r="L675"/>
      <c r="M675"/>
      <c r="N675"/>
      <c r="O675"/>
    </row>
    <row r="676" spans="11:15" x14ac:dyDescent="0.25">
      <c r="K676"/>
      <c r="L676"/>
      <c r="M676"/>
      <c r="N676"/>
      <c r="O676"/>
    </row>
    <row r="677" spans="11:15" x14ac:dyDescent="0.25">
      <c r="K677"/>
      <c r="L677"/>
      <c r="M677"/>
      <c r="N677"/>
      <c r="O677"/>
    </row>
    <row r="678" spans="11:15" x14ac:dyDescent="0.25">
      <c r="K678"/>
      <c r="L678"/>
      <c r="M678"/>
      <c r="N678"/>
      <c r="O678"/>
    </row>
    <row r="679" spans="11:15" x14ac:dyDescent="0.25">
      <c r="K679"/>
      <c r="L679"/>
      <c r="M679"/>
      <c r="N679"/>
      <c r="O679"/>
    </row>
    <row r="680" spans="11:15" x14ac:dyDescent="0.25">
      <c r="K680"/>
      <c r="L680"/>
      <c r="M680"/>
      <c r="N680"/>
      <c r="O680"/>
    </row>
    <row r="681" spans="11:15" x14ac:dyDescent="0.25">
      <c r="K681"/>
      <c r="L681"/>
      <c r="M681"/>
      <c r="N681"/>
      <c r="O681"/>
    </row>
    <row r="682" spans="11:15" x14ac:dyDescent="0.25">
      <c r="K682"/>
      <c r="L682"/>
      <c r="M682"/>
      <c r="N682"/>
      <c r="O682"/>
    </row>
    <row r="683" spans="11:15" x14ac:dyDescent="0.25">
      <c r="K683"/>
      <c r="L683"/>
      <c r="M683"/>
      <c r="N683"/>
      <c r="O683"/>
    </row>
    <row r="684" spans="11:15" x14ac:dyDescent="0.25">
      <c r="K684"/>
      <c r="L684"/>
      <c r="M684"/>
      <c r="N684"/>
      <c r="O684"/>
    </row>
    <row r="685" spans="11:15" x14ac:dyDescent="0.25">
      <c r="K685"/>
      <c r="L685"/>
      <c r="M685"/>
      <c r="N685"/>
      <c r="O685"/>
    </row>
    <row r="686" spans="11:15" x14ac:dyDescent="0.25">
      <c r="K686"/>
      <c r="L686"/>
      <c r="M686"/>
      <c r="N686"/>
      <c r="O686"/>
    </row>
    <row r="687" spans="11:15" x14ac:dyDescent="0.25">
      <c r="K687"/>
      <c r="L687"/>
      <c r="M687"/>
      <c r="N687"/>
      <c r="O687"/>
    </row>
    <row r="688" spans="11:15" x14ac:dyDescent="0.25">
      <c r="K688"/>
      <c r="L688"/>
      <c r="M688"/>
      <c r="N688"/>
      <c r="O688"/>
    </row>
    <row r="689" spans="11:15" x14ac:dyDescent="0.25">
      <c r="K689"/>
      <c r="L689"/>
      <c r="M689"/>
      <c r="N689"/>
      <c r="O689"/>
    </row>
    <row r="690" spans="11:15" x14ac:dyDescent="0.25">
      <c r="K690"/>
      <c r="L690"/>
      <c r="M690"/>
      <c r="N690"/>
      <c r="O690"/>
    </row>
    <row r="691" spans="11:15" x14ac:dyDescent="0.25">
      <c r="K691"/>
      <c r="L691"/>
      <c r="M691"/>
      <c r="N691"/>
      <c r="O691"/>
    </row>
    <row r="692" spans="11:15" x14ac:dyDescent="0.25">
      <c r="K692"/>
      <c r="L692"/>
      <c r="M692"/>
      <c r="N692"/>
      <c r="O692"/>
    </row>
    <row r="693" spans="11:15" x14ac:dyDescent="0.25">
      <c r="K693"/>
      <c r="L693"/>
      <c r="M693"/>
      <c r="N693"/>
      <c r="O693"/>
    </row>
    <row r="694" spans="11:15" x14ac:dyDescent="0.25">
      <c r="K694"/>
      <c r="L694"/>
      <c r="M694"/>
      <c r="N694"/>
      <c r="O694"/>
    </row>
    <row r="695" spans="11:15" x14ac:dyDescent="0.25">
      <c r="K695"/>
      <c r="L695"/>
      <c r="M695"/>
      <c r="N695"/>
      <c r="O695"/>
    </row>
    <row r="696" spans="11:15" x14ac:dyDescent="0.25">
      <c r="K696"/>
      <c r="L696"/>
      <c r="M696"/>
      <c r="N696"/>
      <c r="O696"/>
    </row>
    <row r="697" spans="11:15" x14ac:dyDescent="0.25">
      <c r="K697"/>
      <c r="L697"/>
      <c r="M697"/>
      <c r="N697"/>
      <c r="O697"/>
    </row>
    <row r="698" spans="11:15" x14ac:dyDescent="0.25">
      <c r="K698"/>
      <c r="L698"/>
      <c r="M698"/>
      <c r="N698"/>
      <c r="O698"/>
    </row>
    <row r="699" spans="11:15" x14ac:dyDescent="0.25">
      <c r="K699"/>
      <c r="L699"/>
      <c r="M699"/>
      <c r="N699"/>
      <c r="O699"/>
    </row>
    <row r="700" spans="11:15" x14ac:dyDescent="0.25">
      <c r="K700"/>
      <c r="L700"/>
      <c r="M700"/>
      <c r="N700"/>
      <c r="O700"/>
    </row>
    <row r="701" spans="11:15" x14ac:dyDescent="0.25">
      <c r="K701"/>
      <c r="L701"/>
      <c r="M701"/>
      <c r="N701"/>
      <c r="O701"/>
    </row>
    <row r="702" spans="11:15" x14ac:dyDescent="0.25">
      <c r="K702"/>
      <c r="L702"/>
      <c r="M702"/>
      <c r="N702"/>
      <c r="O702"/>
    </row>
    <row r="703" spans="11:15" x14ac:dyDescent="0.25">
      <c r="K703"/>
      <c r="L703"/>
      <c r="M703"/>
      <c r="N703"/>
      <c r="O703"/>
    </row>
    <row r="704" spans="11:15" x14ac:dyDescent="0.25">
      <c r="K704"/>
      <c r="L704"/>
      <c r="M704"/>
      <c r="N704"/>
      <c r="O704"/>
    </row>
    <row r="705" spans="11:15" x14ac:dyDescent="0.25">
      <c r="K705"/>
      <c r="L705"/>
      <c r="M705"/>
      <c r="N705"/>
      <c r="O705"/>
    </row>
    <row r="706" spans="11:15" x14ac:dyDescent="0.25">
      <c r="K706"/>
      <c r="L706"/>
      <c r="M706"/>
      <c r="N706"/>
      <c r="O706"/>
    </row>
    <row r="707" spans="11:15" x14ac:dyDescent="0.25">
      <c r="K707"/>
      <c r="L707"/>
      <c r="M707"/>
      <c r="N707"/>
      <c r="O707"/>
    </row>
    <row r="708" spans="11:15" x14ac:dyDescent="0.25">
      <c r="K708"/>
      <c r="L708"/>
      <c r="M708"/>
      <c r="N708"/>
      <c r="O708"/>
    </row>
    <row r="709" spans="11:15" x14ac:dyDescent="0.25">
      <c r="K709"/>
      <c r="L709"/>
      <c r="M709"/>
      <c r="N709"/>
      <c r="O709"/>
    </row>
    <row r="710" spans="11:15" x14ac:dyDescent="0.25">
      <c r="K710"/>
      <c r="L710"/>
      <c r="M710"/>
      <c r="N710"/>
      <c r="O710"/>
    </row>
    <row r="711" spans="11:15" x14ac:dyDescent="0.25">
      <c r="K711"/>
      <c r="L711"/>
      <c r="M711"/>
      <c r="N711"/>
      <c r="O711"/>
    </row>
    <row r="712" spans="11:15" x14ac:dyDescent="0.25">
      <c r="K712"/>
      <c r="L712"/>
      <c r="M712"/>
      <c r="N712"/>
      <c r="O712"/>
    </row>
    <row r="713" spans="11:15" x14ac:dyDescent="0.25">
      <c r="K713"/>
      <c r="L713"/>
      <c r="M713"/>
      <c r="N713"/>
      <c r="O713"/>
    </row>
    <row r="714" spans="11:15" x14ac:dyDescent="0.25">
      <c r="K714"/>
      <c r="L714"/>
      <c r="M714"/>
      <c r="N714"/>
      <c r="O714"/>
    </row>
    <row r="715" spans="11:15" x14ac:dyDescent="0.25">
      <c r="K715"/>
      <c r="L715"/>
      <c r="M715"/>
      <c r="N715"/>
      <c r="O715"/>
    </row>
    <row r="716" spans="11:15" x14ac:dyDescent="0.25">
      <c r="K716"/>
      <c r="L716"/>
      <c r="M716"/>
      <c r="N716"/>
      <c r="O716"/>
    </row>
    <row r="717" spans="11:15" x14ac:dyDescent="0.25">
      <c r="K717"/>
      <c r="L717"/>
      <c r="M717"/>
      <c r="N717"/>
      <c r="O717"/>
    </row>
    <row r="718" spans="11:15" x14ac:dyDescent="0.25">
      <c r="K718"/>
      <c r="L718"/>
      <c r="M718"/>
      <c r="N718"/>
      <c r="O718"/>
    </row>
    <row r="719" spans="11:15" x14ac:dyDescent="0.25">
      <c r="K719"/>
      <c r="L719"/>
      <c r="M719"/>
      <c r="N719"/>
      <c r="O719"/>
    </row>
    <row r="720" spans="11:15" x14ac:dyDescent="0.25">
      <c r="K720"/>
      <c r="L720"/>
      <c r="M720"/>
      <c r="N720"/>
      <c r="O720"/>
    </row>
    <row r="721" spans="11:15" x14ac:dyDescent="0.25">
      <c r="K721"/>
      <c r="L721"/>
      <c r="M721"/>
      <c r="N721"/>
      <c r="O721"/>
    </row>
    <row r="722" spans="11:15" x14ac:dyDescent="0.25">
      <c r="K722"/>
      <c r="L722"/>
      <c r="M722"/>
      <c r="N722"/>
      <c r="O722"/>
    </row>
    <row r="723" spans="11:15" x14ac:dyDescent="0.25">
      <c r="K723"/>
      <c r="L723"/>
      <c r="M723"/>
      <c r="N723"/>
      <c r="O723"/>
    </row>
    <row r="724" spans="11:15" x14ac:dyDescent="0.25">
      <c r="K724"/>
      <c r="L724"/>
      <c r="M724"/>
      <c r="N724"/>
      <c r="O724"/>
    </row>
    <row r="725" spans="11:15" x14ac:dyDescent="0.25">
      <c r="K725"/>
      <c r="L725"/>
      <c r="M725"/>
      <c r="N725"/>
      <c r="O725"/>
    </row>
    <row r="726" spans="11:15" x14ac:dyDescent="0.25">
      <c r="K726"/>
      <c r="L726"/>
      <c r="M726"/>
      <c r="N726"/>
      <c r="O726"/>
    </row>
    <row r="727" spans="11:15" x14ac:dyDescent="0.25">
      <c r="K727"/>
      <c r="L727"/>
      <c r="M727"/>
      <c r="N727"/>
      <c r="O727"/>
    </row>
    <row r="728" spans="11:15" x14ac:dyDescent="0.25">
      <c r="K728"/>
      <c r="L728"/>
      <c r="M728"/>
      <c r="N728"/>
      <c r="O728"/>
    </row>
    <row r="729" spans="11:15" x14ac:dyDescent="0.25">
      <c r="K729"/>
      <c r="L729"/>
      <c r="M729"/>
      <c r="N729"/>
      <c r="O729"/>
    </row>
    <row r="730" spans="11:15" x14ac:dyDescent="0.25">
      <c r="K730"/>
      <c r="L730"/>
      <c r="M730"/>
      <c r="N730"/>
      <c r="O730"/>
    </row>
    <row r="731" spans="11:15" x14ac:dyDescent="0.25">
      <c r="K731"/>
      <c r="L731"/>
      <c r="M731"/>
      <c r="N731"/>
      <c r="O731"/>
    </row>
    <row r="732" spans="11:15" x14ac:dyDescent="0.25">
      <c r="K732"/>
      <c r="L732"/>
      <c r="M732"/>
      <c r="N732"/>
      <c r="O732"/>
    </row>
    <row r="733" spans="11:15" x14ac:dyDescent="0.25">
      <c r="K733"/>
      <c r="L733"/>
      <c r="M733"/>
      <c r="N733"/>
      <c r="O733"/>
    </row>
    <row r="734" spans="11:15" x14ac:dyDescent="0.25">
      <c r="K734"/>
      <c r="L734"/>
      <c r="M734"/>
      <c r="N734"/>
      <c r="O734"/>
    </row>
    <row r="735" spans="11:15" x14ac:dyDescent="0.25">
      <c r="K735"/>
      <c r="L735"/>
      <c r="M735"/>
      <c r="N735"/>
      <c r="O735"/>
    </row>
    <row r="736" spans="11:15" x14ac:dyDescent="0.25">
      <c r="K736"/>
      <c r="L736"/>
      <c r="M736"/>
      <c r="N736"/>
      <c r="O736"/>
    </row>
    <row r="737" spans="11:15" x14ac:dyDescent="0.25">
      <c r="K737"/>
      <c r="L737"/>
      <c r="M737"/>
      <c r="N737"/>
      <c r="O737"/>
    </row>
    <row r="738" spans="11:15" x14ac:dyDescent="0.25">
      <c r="K738"/>
      <c r="L738"/>
      <c r="M738"/>
      <c r="N738"/>
      <c r="O738"/>
    </row>
    <row r="739" spans="11:15" x14ac:dyDescent="0.25">
      <c r="K739"/>
      <c r="L739"/>
      <c r="M739"/>
      <c r="N739"/>
      <c r="O739"/>
    </row>
    <row r="740" spans="11:15" x14ac:dyDescent="0.25">
      <c r="K740"/>
      <c r="L740"/>
      <c r="M740"/>
      <c r="N740"/>
      <c r="O740"/>
    </row>
    <row r="741" spans="11:15" x14ac:dyDescent="0.25">
      <c r="K741"/>
      <c r="L741"/>
      <c r="M741"/>
      <c r="N741"/>
      <c r="O741"/>
    </row>
    <row r="742" spans="11:15" x14ac:dyDescent="0.25">
      <c r="K742"/>
      <c r="L742"/>
      <c r="M742"/>
      <c r="N742"/>
      <c r="O742"/>
    </row>
    <row r="743" spans="11:15" x14ac:dyDescent="0.25">
      <c r="K743"/>
      <c r="L743"/>
      <c r="M743"/>
      <c r="N743"/>
      <c r="O743"/>
    </row>
    <row r="744" spans="11:15" x14ac:dyDescent="0.25">
      <c r="K744"/>
      <c r="L744"/>
      <c r="M744"/>
      <c r="N744"/>
      <c r="O744"/>
    </row>
    <row r="745" spans="11:15" x14ac:dyDescent="0.25">
      <c r="K745"/>
      <c r="L745"/>
      <c r="M745"/>
      <c r="N745"/>
      <c r="O745"/>
    </row>
    <row r="746" spans="11:15" x14ac:dyDescent="0.25">
      <c r="K746"/>
      <c r="L746"/>
      <c r="M746"/>
      <c r="N746"/>
      <c r="O746"/>
    </row>
    <row r="747" spans="11:15" x14ac:dyDescent="0.25">
      <c r="K747"/>
      <c r="L747"/>
      <c r="M747"/>
      <c r="N747"/>
      <c r="O747"/>
    </row>
    <row r="748" spans="11:15" x14ac:dyDescent="0.25">
      <c r="K748"/>
      <c r="L748"/>
      <c r="M748"/>
      <c r="N748"/>
      <c r="O748"/>
    </row>
    <row r="749" spans="11:15" x14ac:dyDescent="0.25">
      <c r="K749"/>
      <c r="L749"/>
      <c r="M749"/>
      <c r="N749"/>
      <c r="O749"/>
    </row>
    <row r="750" spans="11:15" x14ac:dyDescent="0.25">
      <c r="K750"/>
      <c r="L750"/>
      <c r="M750"/>
      <c r="N750"/>
      <c r="O750"/>
    </row>
    <row r="751" spans="11:15" x14ac:dyDescent="0.25">
      <c r="K751"/>
      <c r="L751"/>
      <c r="M751"/>
      <c r="N751"/>
      <c r="O751"/>
    </row>
    <row r="752" spans="11:15" x14ac:dyDescent="0.25">
      <c r="K752"/>
      <c r="L752"/>
      <c r="M752"/>
      <c r="N752"/>
      <c r="O752"/>
    </row>
    <row r="753" spans="11:15" x14ac:dyDescent="0.25">
      <c r="K753"/>
      <c r="L753"/>
      <c r="M753"/>
      <c r="N753"/>
      <c r="O753"/>
    </row>
    <row r="754" spans="11:15" x14ac:dyDescent="0.25">
      <c r="K754"/>
      <c r="L754"/>
      <c r="M754"/>
      <c r="N754"/>
      <c r="O754"/>
    </row>
    <row r="755" spans="11:15" x14ac:dyDescent="0.25">
      <c r="K755"/>
      <c r="L755"/>
      <c r="M755"/>
      <c r="N755"/>
      <c r="O755"/>
    </row>
    <row r="756" spans="11:15" x14ac:dyDescent="0.25">
      <c r="K756"/>
      <c r="L756"/>
      <c r="M756"/>
      <c r="N756"/>
      <c r="O756"/>
    </row>
    <row r="757" spans="11:15" x14ac:dyDescent="0.25">
      <c r="K757"/>
      <c r="L757"/>
      <c r="M757"/>
      <c r="N757"/>
      <c r="O757"/>
    </row>
    <row r="758" spans="11:15" x14ac:dyDescent="0.25">
      <c r="K758"/>
      <c r="L758"/>
      <c r="M758"/>
      <c r="N758"/>
      <c r="O758"/>
    </row>
    <row r="759" spans="11:15" x14ac:dyDescent="0.25">
      <c r="K759"/>
      <c r="L759"/>
      <c r="M759"/>
      <c r="N759"/>
      <c r="O759"/>
    </row>
    <row r="760" spans="11:15" x14ac:dyDescent="0.25">
      <c r="K760"/>
      <c r="L760"/>
      <c r="M760"/>
      <c r="N760"/>
      <c r="O760"/>
    </row>
    <row r="761" spans="11:15" x14ac:dyDescent="0.25">
      <c r="K761"/>
      <c r="L761"/>
      <c r="M761"/>
      <c r="N761"/>
      <c r="O761"/>
    </row>
    <row r="762" spans="11:15" x14ac:dyDescent="0.25">
      <c r="K762"/>
      <c r="L762"/>
      <c r="M762"/>
      <c r="N762"/>
      <c r="O762"/>
    </row>
    <row r="763" spans="11:15" x14ac:dyDescent="0.25">
      <c r="K763"/>
      <c r="L763"/>
      <c r="M763"/>
      <c r="N763"/>
      <c r="O763"/>
    </row>
    <row r="764" spans="11:15" x14ac:dyDescent="0.25">
      <c r="K764"/>
      <c r="L764"/>
      <c r="M764"/>
      <c r="N764"/>
      <c r="O764"/>
    </row>
    <row r="765" spans="11:15" x14ac:dyDescent="0.25">
      <c r="K765"/>
      <c r="L765"/>
      <c r="M765"/>
      <c r="N765"/>
      <c r="O765"/>
    </row>
    <row r="766" spans="11:15" x14ac:dyDescent="0.25">
      <c r="K766"/>
      <c r="L766"/>
      <c r="M766"/>
      <c r="N766"/>
      <c r="O766"/>
    </row>
    <row r="767" spans="11:15" x14ac:dyDescent="0.25">
      <c r="K767"/>
      <c r="L767"/>
      <c r="M767"/>
      <c r="N767"/>
      <c r="O767"/>
    </row>
    <row r="768" spans="11:15" x14ac:dyDescent="0.25">
      <c r="K768"/>
      <c r="L768"/>
      <c r="M768"/>
      <c r="N768"/>
      <c r="O768"/>
    </row>
    <row r="769" spans="11:15" x14ac:dyDescent="0.25">
      <c r="K769"/>
      <c r="L769"/>
      <c r="M769"/>
      <c r="N769"/>
      <c r="O769"/>
    </row>
    <row r="770" spans="11:15" x14ac:dyDescent="0.25">
      <c r="K770"/>
      <c r="L770"/>
      <c r="M770"/>
      <c r="N770"/>
      <c r="O770"/>
    </row>
    <row r="771" spans="11:15" x14ac:dyDescent="0.25">
      <c r="K771"/>
      <c r="L771"/>
      <c r="M771"/>
      <c r="N771"/>
      <c r="O771"/>
    </row>
    <row r="772" spans="11:15" x14ac:dyDescent="0.25">
      <c r="K772"/>
      <c r="L772"/>
      <c r="M772"/>
      <c r="N772"/>
      <c r="O772"/>
    </row>
    <row r="773" spans="11:15" x14ac:dyDescent="0.25">
      <c r="K773"/>
      <c r="L773"/>
      <c r="M773"/>
      <c r="N773"/>
      <c r="O773"/>
    </row>
    <row r="774" spans="11:15" x14ac:dyDescent="0.25">
      <c r="K774"/>
      <c r="L774"/>
      <c r="M774"/>
      <c r="N774"/>
      <c r="O774"/>
    </row>
    <row r="775" spans="11:15" x14ac:dyDescent="0.25">
      <c r="K775"/>
      <c r="L775"/>
      <c r="M775"/>
      <c r="N775"/>
      <c r="O775"/>
    </row>
    <row r="776" spans="11:15" x14ac:dyDescent="0.25">
      <c r="K776"/>
      <c r="L776"/>
      <c r="M776"/>
      <c r="N776"/>
      <c r="O776"/>
    </row>
    <row r="777" spans="11:15" x14ac:dyDescent="0.25">
      <c r="K777"/>
      <c r="L777"/>
      <c r="M777"/>
      <c r="N777"/>
      <c r="O777"/>
    </row>
    <row r="778" spans="11:15" x14ac:dyDescent="0.25">
      <c r="K778"/>
      <c r="L778"/>
      <c r="M778"/>
      <c r="N778"/>
      <c r="O778"/>
    </row>
    <row r="779" spans="11:15" x14ac:dyDescent="0.25">
      <c r="K779"/>
      <c r="L779"/>
      <c r="M779"/>
      <c r="N779"/>
      <c r="O779"/>
    </row>
    <row r="780" spans="11:15" x14ac:dyDescent="0.25">
      <c r="K780"/>
      <c r="L780"/>
      <c r="M780"/>
      <c r="N780"/>
      <c r="O780"/>
    </row>
    <row r="781" spans="11:15" x14ac:dyDescent="0.25">
      <c r="K781"/>
      <c r="L781"/>
      <c r="M781"/>
      <c r="N781"/>
      <c r="O781"/>
    </row>
    <row r="782" spans="11:15" x14ac:dyDescent="0.25">
      <c r="K782"/>
      <c r="L782"/>
      <c r="M782"/>
      <c r="N782"/>
      <c r="O782"/>
    </row>
    <row r="783" spans="11:15" x14ac:dyDescent="0.25">
      <c r="K783"/>
      <c r="L783"/>
      <c r="M783"/>
      <c r="N783"/>
      <c r="O783"/>
    </row>
    <row r="784" spans="11:15" x14ac:dyDescent="0.25">
      <c r="K784"/>
      <c r="L784"/>
      <c r="M784"/>
      <c r="N784"/>
      <c r="O784"/>
    </row>
    <row r="785" spans="11:15" x14ac:dyDescent="0.25">
      <c r="K785"/>
      <c r="L785"/>
      <c r="M785"/>
      <c r="N785"/>
      <c r="O785"/>
    </row>
    <row r="786" spans="11:15" x14ac:dyDescent="0.25">
      <c r="K786"/>
      <c r="L786"/>
      <c r="M786"/>
      <c r="N786"/>
      <c r="O786"/>
    </row>
    <row r="787" spans="11:15" x14ac:dyDescent="0.25">
      <c r="K787"/>
      <c r="L787"/>
      <c r="M787"/>
      <c r="N787"/>
      <c r="O787"/>
    </row>
    <row r="788" spans="11:15" x14ac:dyDescent="0.25">
      <c r="K788"/>
      <c r="L788"/>
      <c r="M788"/>
      <c r="N788"/>
      <c r="O788"/>
    </row>
    <row r="789" spans="11:15" x14ac:dyDescent="0.25">
      <c r="K789"/>
      <c r="L789"/>
      <c r="M789"/>
      <c r="N789"/>
      <c r="O789"/>
    </row>
    <row r="790" spans="11:15" x14ac:dyDescent="0.25">
      <c r="K790"/>
      <c r="L790"/>
      <c r="M790"/>
      <c r="N790"/>
      <c r="O790"/>
    </row>
    <row r="791" spans="11:15" x14ac:dyDescent="0.25">
      <c r="K791"/>
      <c r="L791"/>
      <c r="M791"/>
      <c r="N791"/>
      <c r="O791"/>
    </row>
    <row r="792" spans="11:15" x14ac:dyDescent="0.25">
      <c r="K792"/>
      <c r="L792"/>
      <c r="M792"/>
      <c r="N792"/>
      <c r="O792"/>
    </row>
    <row r="793" spans="11:15" x14ac:dyDescent="0.25">
      <c r="K793"/>
      <c r="L793"/>
      <c r="M793"/>
      <c r="N793"/>
      <c r="O793"/>
    </row>
    <row r="794" spans="11:15" x14ac:dyDescent="0.25">
      <c r="K794"/>
      <c r="L794"/>
      <c r="M794"/>
      <c r="N794"/>
      <c r="O794"/>
    </row>
    <row r="795" spans="11:15" x14ac:dyDescent="0.25">
      <c r="K795"/>
      <c r="L795"/>
      <c r="M795"/>
      <c r="N795"/>
      <c r="O795"/>
    </row>
    <row r="796" spans="11:15" x14ac:dyDescent="0.25">
      <c r="K796"/>
      <c r="L796"/>
      <c r="M796"/>
      <c r="N796"/>
      <c r="O796"/>
    </row>
    <row r="797" spans="11:15" x14ac:dyDescent="0.25">
      <c r="K797"/>
      <c r="L797"/>
      <c r="M797"/>
      <c r="N797"/>
      <c r="O797"/>
    </row>
    <row r="798" spans="11:15" x14ac:dyDescent="0.25">
      <c r="K798"/>
      <c r="L798"/>
      <c r="M798"/>
      <c r="N798"/>
      <c r="O798"/>
    </row>
    <row r="799" spans="11:15" x14ac:dyDescent="0.25">
      <c r="K799"/>
      <c r="L799"/>
      <c r="M799"/>
      <c r="N799"/>
      <c r="O799"/>
    </row>
    <row r="800" spans="11:15" x14ac:dyDescent="0.25">
      <c r="K800"/>
      <c r="L800"/>
      <c r="M800"/>
      <c r="N800"/>
      <c r="O800"/>
    </row>
    <row r="801" spans="11:15" x14ac:dyDescent="0.25">
      <c r="K801"/>
      <c r="L801"/>
      <c r="M801"/>
      <c r="N801"/>
      <c r="O801"/>
    </row>
    <row r="802" spans="11:15" x14ac:dyDescent="0.25">
      <c r="K802"/>
      <c r="L802"/>
      <c r="M802"/>
      <c r="N802"/>
      <c r="O802"/>
    </row>
    <row r="803" spans="11:15" x14ac:dyDescent="0.25">
      <c r="K803"/>
      <c r="L803"/>
      <c r="M803"/>
      <c r="N803"/>
      <c r="O803"/>
    </row>
    <row r="804" spans="11:15" x14ac:dyDescent="0.25">
      <c r="K804"/>
      <c r="L804"/>
      <c r="M804"/>
      <c r="N804"/>
      <c r="O804"/>
    </row>
    <row r="805" spans="11:15" x14ac:dyDescent="0.25">
      <c r="K805"/>
      <c r="L805"/>
      <c r="M805"/>
      <c r="N805"/>
      <c r="O805"/>
    </row>
    <row r="806" spans="11:15" x14ac:dyDescent="0.25">
      <c r="K806"/>
      <c r="L806"/>
      <c r="M806"/>
      <c r="N806"/>
      <c r="O806"/>
    </row>
    <row r="807" spans="11:15" x14ac:dyDescent="0.25">
      <c r="K807"/>
      <c r="L807"/>
      <c r="M807"/>
      <c r="N807"/>
      <c r="O807"/>
    </row>
    <row r="808" spans="11:15" x14ac:dyDescent="0.25">
      <c r="K808"/>
      <c r="L808"/>
      <c r="M808"/>
      <c r="N808"/>
      <c r="O808"/>
    </row>
    <row r="809" spans="11:15" x14ac:dyDescent="0.25">
      <c r="K809"/>
      <c r="L809"/>
      <c r="M809"/>
      <c r="N809"/>
      <c r="O809"/>
    </row>
    <row r="810" spans="11:15" x14ac:dyDescent="0.25">
      <c r="K810"/>
      <c r="L810"/>
      <c r="M810"/>
      <c r="N810"/>
      <c r="O810"/>
    </row>
    <row r="811" spans="11:15" x14ac:dyDescent="0.25">
      <c r="K811"/>
      <c r="L811"/>
      <c r="M811"/>
      <c r="N811"/>
      <c r="O811"/>
    </row>
    <row r="812" spans="11:15" x14ac:dyDescent="0.25">
      <c r="K812"/>
      <c r="L812"/>
      <c r="M812"/>
      <c r="N812"/>
      <c r="O812"/>
    </row>
    <row r="813" spans="11:15" x14ac:dyDescent="0.25">
      <c r="K813"/>
      <c r="L813"/>
      <c r="M813"/>
      <c r="N813"/>
      <c r="O813"/>
    </row>
    <row r="814" spans="11:15" x14ac:dyDescent="0.25">
      <c r="K814"/>
      <c r="L814"/>
      <c r="M814"/>
      <c r="N814"/>
      <c r="O814"/>
    </row>
    <row r="815" spans="11:15" x14ac:dyDescent="0.25">
      <c r="K815"/>
      <c r="L815"/>
      <c r="M815"/>
      <c r="N815"/>
      <c r="O815"/>
    </row>
    <row r="816" spans="11:15" x14ac:dyDescent="0.25">
      <c r="K816"/>
      <c r="L816"/>
      <c r="M816"/>
      <c r="N816"/>
      <c r="O816"/>
    </row>
    <row r="817" spans="11:15" x14ac:dyDescent="0.25">
      <c r="K817"/>
      <c r="L817"/>
      <c r="M817"/>
      <c r="N817"/>
      <c r="O817"/>
    </row>
    <row r="818" spans="11:15" x14ac:dyDescent="0.25">
      <c r="K818"/>
      <c r="L818"/>
      <c r="M818"/>
      <c r="N818"/>
      <c r="O818"/>
    </row>
    <row r="819" spans="11:15" x14ac:dyDescent="0.25">
      <c r="K819"/>
      <c r="L819"/>
      <c r="M819"/>
      <c r="N819"/>
      <c r="O819"/>
    </row>
    <row r="820" spans="11:15" x14ac:dyDescent="0.25">
      <c r="K820"/>
      <c r="L820"/>
      <c r="M820"/>
      <c r="N820"/>
      <c r="O820"/>
    </row>
    <row r="821" spans="11:15" x14ac:dyDescent="0.25">
      <c r="K821"/>
      <c r="L821"/>
      <c r="M821"/>
      <c r="N821"/>
      <c r="O821"/>
    </row>
    <row r="822" spans="11:15" x14ac:dyDescent="0.25">
      <c r="K822"/>
      <c r="L822"/>
      <c r="M822"/>
      <c r="N822"/>
      <c r="O822"/>
    </row>
    <row r="823" spans="11:15" x14ac:dyDescent="0.25">
      <c r="K823"/>
      <c r="L823"/>
      <c r="M823"/>
      <c r="N823"/>
      <c r="O823"/>
    </row>
    <row r="824" spans="11:15" x14ac:dyDescent="0.25">
      <c r="K824"/>
      <c r="L824"/>
      <c r="M824"/>
      <c r="N824"/>
      <c r="O824"/>
    </row>
    <row r="825" spans="11:15" x14ac:dyDescent="0.25">
      <c r="K825"/>
      <c r="L825"/>
      <c r="M825"/>
      <c r="N825"/>
      <c r="O825"/>
    </row>
    <row r="826" spans="11:15" x14ac:dyDescent="0.25">
      <c r="K826"/>
      <c r="L826"/>
      <c r="M826"/>
      <c r="N826"/>
      <c r="O826"/>
    </row>
    <row r="827" spans="11:15" x14ac:dyDescent="0.25">
      <c r="K827"/>
      <c r="L827"/>
      <c r="M827"/>
      <c r="N827"/>
      <c r="O827"/>
    </row>
    <row r="828" spans="11:15" x14ac:dyDescent="0.25">
      <c r="K828"/>
      <c r="L828"/>
      <c r="M828"/>
      <c r="N828"/>
      <c r="O828"/>
    </row>
    <row r="829" spans="11:15" x14ac:dyDescent="0.25">
      <c r="K829"/>
      <c r="L829"/>
      <c r="M829"/>
      <c r="N829"/>
      <c r="O829"/>
    </row>
    <row r="830" spans="11:15" x14ac:dyDescent="0.25">
      <c r="K830"/>
      <c r="L830"/>
      <c r="M830"/>
      <c r="N830"/>
      <c r="O830"/>
    </row>
    <row r="831" spans="11:15" x14ac:dyDescent="0.25">
      <c r="K831"/>
      <c r="L831"/>
      <c r="M831"/>
      <c r="N831"/>
      <c r="O831"/>
    </row>
    <row r="832" spans="11:15" x14ac:dyDescent="0.25">
      <c r="K832"/>
      <c r="L832"/>
      <c r="M832"/>
      <c r="N832"/>
      <c r="O832"/>
    </row>
    <row r="833" spans="11:15" x14ac:dyDescent="0.25">
      <c r="K833"/>
      <c r="L833"/>
      <c r="M833"/>
      <c r="N833"/>
      <c r="O833"/>
    </row>
    <row r="834" spans="11:15" x14ac:dyDescent="0.25">
      <c r="K834"/>
      <c r="L834"/>
      <c r="M834"/>
      <c r="N834"/>
      <c r="O834"/>
    </row>
    <row r="835" spans="11:15" x14ac:dyDescent="0.25">
      <c r="K835"/>
      <c r="L835"/>
      <c r="M835"/>
      <c r="N835"/>
      <c r="O835"/>
    </row>
    <row r="836" spans="11:15" x14ac:dyDescent="0.25">
      <c r="K836"/>
      <c r="L836"/>
      <c r="M836"/>
      <c r="N836"/>
      <c r="O836"/>
    </row>
    <row r="837" spans="11:15" x14ac:dyDescent="0.25">
      <c r="K837"/>
      <c r="L837"/>
      <c r="M837"/>
      <c r="N837"/>
      <c r="O837"/>
    </row>
    <row r="838" spans="11:15" x14ac:dyDescent="0.25">
      <c r="K838"/>
      <c r="L838"/>
      <c r="M838"/>
      <c r="N838"/>
      <c r="O838"/>
    </row>
    <row r="839" spans="11:15" x14ac:dyDescent="0.25">
      <c r="K839"/>
      <c r="L839"/>
      <c r="M839"/>
      <c r="N839"/>
      <c r="O839"/>
    </row>
    <row r="840" spans="11:15" x14ac:dyDescent="0.25">
      <c r="K840"/>
      <c r="L840"/>
      <c r="M840"/>
      <c r="N840"/>
      <c r="O840"/>
    </row>
    <row r="841" spans="11:15" x14ac:dyDescent="0.25">
      <c r="K841"/>
      <c r="L841"/>
      <c r="M841"/>
      <c r="N841"/>
      <c r="O841"/>
    </row>
    <row r="842" spans="11:15" x14ac:dyDescent="0.25">
      <c r="K842"/>
      <c r="L842"/>
      <c r="M842"/>
      <c r="N842"/>
      <c r="O842"/>
    </row>
    <row r="843" spans="11:15" x14ac:dyDescent="0.25">
      <c r="K843"/>
      <c r="L843"/>
      <c r="M843"/>
      <c r="N843"/>
      <c r="O843"/>
    </row>
    <row r="844" spans="11:15" x14ac:dyDescent="0.25">
      <c r="K844"/>
      <c r="L844"/>
      <c r="M844"/>
      <c r="N844"/>
      <c r="O844"/>
    </row>
    <row r="845" spans="11:15" x14ac:dyDescent="0.25">
      <c r="K845"/>
      <c r="L845"/>
      <c r="M845"/>
      <c r="N845"/>
      <c r="O845"/>
    </row>
    <row r="846" spans="11:15" x14ac:dyDescent="0.25">
      <c r="K846"/>
      <c r="L846"/>
      <c r="M846"/>
      <c r="N846"/>
      <c r="O846"/>
    </row>
    <row r="847" spans="11:15" x14ac:dyDescent="0.25">
      <c r="K847"/>
      <c r="L847"/>
      <c r="M847"/>
      <c r="N847"/>
      <c r="O847"/>
    </row>
    <row r="848" spans="11:15" x14ac:dyDescent="0.25">
      <c r="K848"/>
      <c r="L848"/>
      <c r="M848"/>
      <c r="N848"/>
      <c r="O848"/>
    </row>
    <row r="849" spans="11:15" x14ac:dyDescent="0.25">
      <c r="K849"/>
      <c r="L849"/>
      <c r="M849"/>
      <c r="N849"/>
      <c r="O849"/>
    </row>
    <row r="850" spans="11:15" x14ac:dyDescent="0.25">
      <c r="K850"/>
      <c r="L850"/>
      <c r="M850"/>
      <c r="N850"/>
      <c r="O850"/>
    </row>
    <row r="851" spans="11:15" x14ac:dyDescent="0.25">
      <c r="K851"/>
      <c r="L851"/>
      <c r="M851"/>
      <c r="N851"/>
      <c r="O851"/>
    </row>
    <row r="852" spans="11:15" x14ac:dyDescent="0.25">
      <c r="K852"/>
      <c r="L852"/>
      <c r="M852"/>
      <c r="N852"/>
      <c r="O852"/>
    </row>
    <row r="853" spans="11:15" x14ac:dyDescent="0.25">
      <c r="K853"/>
      <c r="L853"/>
      <c r="M853"/>
      <c r="N853"/>
      <c r="O853"/>
    </row>
    <row r="854" spans="11:15" x14ac:dyDescent="0.25">
      <c r="K854"/>
      <c r="L854"/>
      <c r="M854"/>
      <c r="N854"/>
      <c r="O854"/>
    </row>
    <row r="855" spans="11:15" x14ac:dyDescent="0.25">
      <c r="K855"/>
      <c r="L855"/>
      <c r="M855"/>
      <c r="N855"/>
      <c r="O855"/>
    </row>
    <row r="856" spans="11:15" x14ac:dyDescent="0.25">
      <c r="K856"/>
      <c r="L856"/>
      <c r="M856"/>
      <c r="N856"/>
      <c r="O856"/>
    </row>
    <row r="857" spans="11:15" x14ac:dyDescent="0.25">
      <c r="K857"/>
      <c r="L857"/>
      <c r="M857"/>
      <c r="N857"/>
      <c r="O857"/>
    </row>
    <row r="858" spans="11:15" x14ac:dyDescent="0.25">
      <c r="K858"/>
      <c r="L858"/>
      <c r="M858"/>
      <c r="N858"/>
      <c r="O858"/>
    </row>
    <row r="859" spans="11:15" x14ac:dyDescent="0.25">
      <c r="K859"/>
      <c r="L859"/>
      <c r="M859"/>
      <c r="N859"/>
      <c r="O859"/>
    </row>
    <row r="860" spans="11:15" x14ac:dyDescent="0.25">
      <c r="K860"/>
      <c r="L860"/>
      <c r="M860"/>
      <c r="N860"/>
      <c r="O860"/>
    </row>
    <row r="861" spans="11:15" x14ac:dyDescent="0.25">
      <c r="K861"/>
      <c r="L861"/>
      <c r="M861"/>
      <c r="N861"/>
      <c r="O861"/>
    </row>
    <row r="862" spans="11:15" x14ac:dyDescent="0.25">
      <c r="K862"/>
      <c r="L862"/>
      <c r="M862"/>
      <c r="N862"/>
      <c r="O862"/>
    </row>
    <row r="863" spans="11:15" x14ac:dyDescent="0.25">
      <c r="K863"/>
      <c r="L863"/>
      <c r="M863"/>
      <c r="N863"/>
      <c r="O863"/>
    </row>
    <row r="864" spans="11:15" x14ac:dyDescent="0.25">
      <c r="K864"/>
      <c r="L864"/>
      <c r="M864"/>
      <c r="N864"/>
      <c r="O864"/>
    </row>
    <row r="865" spans="11:15" x14ac:dyDescent="0.25">
      <c r="K865"/>
      <c r="L865"/>
      <c r="M865"/>
      <c r="N865"/>
      <c r="O865"/>
    </row>
    <row r="866" spans="11:15" x14ac:dyDescent="0.25">
      <c r="K866"/>
      <c r="L866"/>
      <c r="M866"/>
      <c r="N866"/>
      <c r="O866"/>
    </row>
    <row r="867" spans="11:15" x14ac:dyDescent="0.25">
      <c r="K867"/>
      <c r="L867"/>
      <c r="M867"/>
      <c r="N867"/>
      <c r="O867"/>
    </row>
    <row r="868" spans="11:15" x14ac:dyDescent="0.25">
      <c r="K868"/>
      <c r="L868"/>
      <c r="M868"/>
      <c r="N868"/>
      <c r="O868"/>
    </row>
    <row r="869" spans="11:15" x14ac:dyDescent="0.25">
      <c r="K869"/>
      <c r="L869"/>
      <c r="M869"/>
      <c r="N869"/>
      <c r="O869"/>
    </row>
    <row r="870" spans="11:15" x14ac:dyDescent="0.25">
      <c r="K870"/>
      <c r="L870"/>
      <c r="M870"/>
      <c r="N870"/>
      <c r="O870"/>
    </row>
    <row r="871" spans="11:15" x14ac:dyDescent="0.25">
      <c r="K871"/>
      <c r="L871"/>
      <c r="M871"/>
      <c r="N871"/>
      <c r="O871"/>
    </row>
    <row r="872" spans="11:15" x14ac:dyDescent="0.25">
      <c r="K872"/>
      <c r="L872"/>
      <c r="M872"/>
      <c r="N872"/>
      <c r="O872"/>
    </row>
    <row r="873" spans="11:15" x14ac:dyDescent="0.25">
      <c r="K873"/>
      <c r="L873"/>
      <c r="M873"/>
      <c r="N873"/>
      <c r="O873"/>
    </row>
    <row r="874" spans="11:15" x14ac:dyDescent="0.25">
      <c r="K874"/>
      <c r="L874"/>
      <c r="M874"/>
      <c r="N874"/>
      <c r="O874"/>
    </row>
    <row r="875" spans="11:15" x14ac:dyDescent="0.25">
      <c r="K875"/>
      <c r="L875"/>
      <c r="M875"/>
      <c r="N875"/>
      <c r="O875"/>
    </row>
    <row r="876" spans="11:15" x14ac:dyDescent="0.25">
      <c r="K876"/>
      <c r="L876"/>
      <c r="M876"/>
      <c r="N876"/>
      <c r="O876"/>
    </row>
    <row r="877" spans="11:15" x14ac:dyDescent="0.25">
      <c r="K877"/>
      <c r="L877"/>
      <c r="M877"/>
      <c r="N877"/>
      <c r="O877"/>
    </row>
    <row r="878" spans="11:15" x14ac:dyDescent="0.25">
      <c r="K878"/>
      <c r="L878"/>
      <c r="M878"/>
      <c r="N878"/>
      <c r="O878"/>
    </row>
    <row r="879" spans="11:15" x14ac:dyDescent="0.25">
      <c r="K879"/>
      <c r="L879"/>
      <c r="M879"/>
      <c r="N879"/>
      <c r="O879"/>
    </row>
    <row r="880" spans="11:15" x14ac:dyDescent="0.25">
      <c r="K880"/>
      <c r="L880"/>
      <c r="M880"/>
      <c r="N880"/>
      <c r="O880"/>
    </row>
    <row r="881" spans="11:15" x14ac:dyDescent="0.25">
      <c r="K881"/>
      <c r="L881"/>
      <c r="M881"/>
      <c r="N881"/>
      <c r="O881"/>
    </row>
    <row r="882" spans="11:15" x14ac:dyDescent="0.25">
      <c r="K882"/>
      <c r="L882"/>
      <c r="M882"/>
      <c r="N882"/>
      <c r="O882"/>
    </row>
    <row r="883" spans="11:15" x14ac:dyDescent="0.25">
      <c r="K883"/>
      <c r="L883"/>
      <c r="M883"/>
      <c r="N883"/>
      <c r="O883"/>
    </row>
    <row r="884" spans="11:15" x14ac:dyDescent="0.25">
      <c r="K884"/>
      <c r="L884"/>
      <c r="M884"/>
      <c r="N884"/>
      <c r="O884"/>
    </row>
    <row r="885" spans="11:15" x14ac:dyDescent="0.25">
      <c r="K885"/>
      <c r="L885"/>
      <c r="M885"/>
      <c r="N885"/>
      <c r="O885"/>
    </row>
    <row r="886" spans="11:15" x14ac:dyDescent="0.25">
      <c r="K886"/>
      <c r="L886"/>
      <c r="M886"/>
      <c r="N886"/>
      <c r="O886"/>
    </row>
    <row r="887" spans="11:15" x14ac:dyDescent="0.25">
      <c r="K887"/>
      <c r="L887"/>
      <c r="M887"/>
      <c r="N887"/>
      <c r="O887"/>
    </row>
    <row r="888" spans="11:15" x14ac:dyDescent="0.25">
      <c r="K888"/>
      <c r="L888"/>
      <c r="M888"/>
      <c r="N888"/>
      <c r="O888"/>
    </row>
    <row r="889" spans="11:15" x14ac:dyDescent="0.25">
      <c r="K889"/>
      <c r="L889"/>
      <c r="M889"/>
      <c r="N889"/>
      <c r="O889"/>
    </row>
    <row r="890" spans="11:15" x14ac:dyDescent="0.25">
      <c r="K890"/>
      <c r="L890"/>
      <c r="M890"/>
      <c r="N890"/>
      <c r="O890"/>
    </row>
    <row r="891" spans="11:15" x14ac:dyDescent="0.25">
      <c r="K891"/>
      <c r="L891"/>
      <c r="M891"/>
      <c r="N891"/>
      <c r="O891"/>
    </row>
    <row r="892" spans="11:15" x14ac:dyDescent="0.25">
      <c r="K892"/>
      <c r="L892"/>
      <c r="M892"/>
      <c r="N892"/>
      <c r="O892"/>
    </row>
    <row r="893" spans="11:15" x14ac:dyDescent="0.25">
      <c r="K893"/>
      <c r="L893"/>
      <c r="M893"/>
      <c r="N893"/>
      <c r="O893"/>
    </row>
    <row r="894" spans="11:15" x14ac:dyDescent="0.25">
      <c r="K894"/>
      <c r="L894"/>
      <c r="M894"/>
      <c r="N894"/>
      <c r="O894"/>
    </row>
    <row r="895" spans="11:15" x14ac:dyDescent="0.25">
      <c r="K895"/>
      <c r="L895"/>
      <c r="M895"/>
      <c r="N895"/>
      <c r="O895"/>
    </row>
    <row r="896" spans="11:15" x14ac:dyDescent="0.25">
      <c r="K896"/>
      <c r="L896"/>
      <c r="M896"/>
      <c r="N896"/>
      <c r="O896"/>
    </row>
    <row r="897" spans="11:15" x14ac:dyDescent="0.25">
      <c r="K897"/>
      <c r="L897"/>
      <c r="M897"/>
      <c r="N897"/>
      <c r="O897"/>
    </row>
    <row r="898" spans="11:15" x14ac:dyDescent="0.25">
      <c r="K898"/>
      <c r="L898"/>
      <c r="M898"/>
      <c r="N898"/>
      <c r="O898"/>
    </row>
    <row r="899" spans="11:15" x14ac:dyDescent="0.25">
      <c r="K899"/>
      <c r="L899"/>
      <c r="M899"/>
      <c r="N899"/>
      <c r="O899"/>
    </row>
    <row r="900" spans="11:15" x14ac:dyDescent="0.25">
      <c r="K900"/>
      <c r="L900"/>
      <c r="M900"/>
      <c r="N900"/>
      <c r="O900"/>
    </row>
    <row r="901" spans="11:15" x14ac:dyDescent="0.25">
      <c r="K901"/>
      <c r="L901"/>
      <c r="M901"/>
      <c r="N901"/>
      <c r="O901"/>
    </row>
    <row r="902" spans="11:15" x14ac:dyDescent="0.25">
      <c r="K902"/>
      <c r="L902"/>
      <c r="M902"/>
      <c r="N902"/>
      <c r="O902"/>
    </row>
    <row r="903" spans="11:15" x14ac:dyDescent="0.25">
      <c r="K903"/>
      <c r="L903"/>
      <c r="M903"/>
      <c r="N903"/>
      <c r="O903"/>
    </row>
    <row r="904" spans="11:15" x14ac:dyDescent="0.25">
      <c r="K904"/>
      <c r="L904"/>
      <c r="M904"/>
      <c r="N904"/>
      <c r="O904"/>
    </row>
    <row r="905" spans="11:15" x14ac:dyDescent="0.25">
      <c r="K905"/>
      <c r="L905"/>
      <c r="M905"/>
      <c r="N905"/>
      <c r="O905"/>
    </row>
    <row r="906" spans="11:15" x14ac:dyDescent="0.25">
      <c r="K906"/>
      <c r="L906"/>
      <c r="M906"/>
      <c r="N906"/>
      <c r="O906"/>
    </row>
    <row r="907" spans="11:15" x14ac:dyDescent="0.25">
      <c r="K907"/>
      <c r="L907"/>
      <c r="M907"/>
      <c r="N907"/>
      <c r="O907"/>
    </row>
    <row r="908" spans="11:15" x14ac:dyDescent="0.25">
      <c r="K908"/>
      <c r="L908"/>
      <c r="M908"/>
      <c r="N908"/>
      <c r="O908"/>
    </row>
    <row r="909" spans="11:15" x14ac:dyDescent="0.25">
      <c r="K909"/>
      <c r="L909"/>
      <c r="M909"/>
      <c r="N909"/>
      <c r="O909"/>
    </row>
    <row r="910" spans="11:15" x14ac:dyDescent="0.25">
      <c r="K910"/>
      <c r="L910"/>
      <c r="M910"/>
      <c r="N910"/>
      <c r="O910"/>
    </row>
    <row r="911" spans="11:15" x14ac:dyDescent="0.25">
      <c r="K911"/>
      <c r="L911"/>
      <c r="M911"/>
      <c r="N911"/>
      <c r="O911"/>
    </row>
    <row r="912" spans="11:15" x14ac:dyDescent="0.25">
      <c r="K912"/>
      <c r="L912"/>
      <c r="M912"/>
      <c r="N912"/>
      <c r="O912"/>
    </row>
    <row r="913" spans="11:15" x14ac:dyDescent="0.25">
      <c r="K913"/>
      <c r="L913"/>
      <c r="M913"/>
      <c r="N913"/>
      <c r="O913"/>
    </row>
    <row r="914" spans="11:15" x14ac:dyDescent="0.25">
      <c r="K914"/>
      <c r="L914"/>
      <c r="M914"/>
      <c r="N914"/>
      <c r="O914"/>
    </row>
    <row r="915" spans="11:15" x14ac:dyDescent="0.25">
      <c r="K915"/>
      <c r="L915"/>
      <c r="M915"/>
      <c r="N915"/>
      <c r="O915"/>
    </row>
    <row r="916" spans="11:15" x14ac:dyDescent="0.25">
      <c r="K916"/>
      <c r="L916"/>
      <c r="M916"/>
      <c r="N916"/>
      <c r="O916"/>
    </row>
    <row r="917" spans="11:15" x14ac:dyDescent="0.25">
      <c r="K917"/>
      <c r="L917"/>
      <c r="M917"/>
      <c r="N917"/>
      <c r="O917"/>
    </row>
    <row r="918" spans="11:15" x14ac:dyDescent="0.25">
      <c r="K918"/>
      <c r="L918"/>
      <c r="M918"/>
      <c r="N918"/>
      <c r="O918"/>
    </row>
    <row r="919" spans="11:15" x14ac:dyDescent="0.25">
      <c r="K919"/>
      <c r="L919"/>
      <c r="M919"/>
      <c r="N919"/>
      <c r="O919"/>
    </row>
    <row r="920" spans="11:15" x14ac:dyDescent="0.25">
      <c r="K920"/>
      <c r="L920"/>
      <c r="M920"/>
      <c r="N920"/>
      <c r="O920"/>
    </row>
    <row r="921" spans="11:15" x14ac:dyDescent="0.25">
      <c r="K921"/>
      <c r="L921"/>
      <c r="M921"/>
      <c r="N921"/>
      <c r="O921"/>
    </row>
    <row r="922" spans="11:15" x14ac:dyDescent="0.25">
      <c r="K922"/>
      <c r="L922"/>
      <c r="M922"/>
      <c r="N922"/>
      <c r="O922"/>
    </row>
    <row r="923" spans="11:15" x14ac:dyDescent="0.25">
      <c r="K923"/>
      <c r="L923"/>
      <c r="M923"/>
      <c r="N923"/>
      <c r="O923"/>
    </row>
    <row r="924" spans="11:15" x14ac:dyDescent="0.25">
      <c r="K924"/>
      <c r="L924"/>
      <c r="M924"/>
      <c r="N924"/>
      <c r="O924"/>
    </row>
    <row r="925" spans="11:15" x14ac:dyDescent="0.25">
      <c r="K925"/>
      <c r="L925"/>
      <c r="M925"/>
      <c r="N925"/>
      <c r="O925"/>
    </row>
    <row r="926" spans="11:15" x14ac:dyDescent="0.25">
      <c r="K926"/>
      <c r="L926"/>
      <c r="M926"/>
      <c r="N926"/>
      <c r="O926"/>
    </row>
    <row r="927" spans="11:15" x14ac:dyDescent="0.25">
      <c r="K927"/>
      <c r="L927"/>
      <c r="M927"/>
      <c r="N927"/>
      <c r="O927"/>
    </row>
    <row r="928" spans="11:15" x14ac:dyDescent="0.25">
      <c r="K928"/>
      <c r="L928"/>
      <c r="M928"/>
      <c r="N928"/>
      <c r="O928"/>
    </row>
    <row r="929" spans="11:15" x14ac:dyDescent="0.25">
      <c r="K929"/>
      <c r="L929"/>
      <c r="M929"/>
      <c r="N929"/>
      <c r="O929"/>
    </row>
    <row r="930" spans="11:15" x14ac:dyDescent="0.25">
      <c r="K930"/>
      <c r="L930"/>
      <c r="M930"/>
      <c r="N930"/>
      <c r="O930"/>
    </row>
    <row r="931" spans="11:15" x14ac:dyDescent="0.25">
      <c r="K931"/>
      <c r="L931"/>
      <c r="M931"/>
      <c r="N931"/>
      <c r="O931"/>
    </row>
    <row r="932" spans="11:15" x14ac:dyDescent="0.25">
      <c r="K932"/>
      <c r="L932"/>
      <c r="M932"/>
      <c r="N932"/>
      <c r="O932"/>
    </row>
    <row r="933" spans="11:15" x14ac:dyDescent="0.25">
      <c r="K933"/>
      <c r="L933"/>
      <c r="M933"/>
      <c r="N933"/>
      <c r="O933"/>
    </row>
    <row r="934" spans="11:15" x14ac:dyDescent="0.25">
      <c r="K934"/>
      <c r="L934"/>
      <c r="M934"/>
      <c r="N934"/>
      <c r="O934"/>
    </row>
    <row r="935" spans="11:15" x14ac:dyDescent="0.25">
      <c r="K935"/>
      <c r="L935"/>
      <c r="M935"/>
      <c r="N935"/>
      <c r="O935"/>
    </row>
    <row r="936" spans="11:15" x14ac:dyDescent="0.25">
      <c r="K936"/>
      <c r="L936"/>
      <c r="M936"/>
      <c r="N936"/>
      <c r="O936"/>
    </row>
    <row r="937" spans="11:15" x14ac:dyDescent="0.25">
      <c r="K937"/>
      <c r="L937"/>
      <c r="M937"/>
      <c r="N937"/>
      <c r="O937"/>
    </row>
    <row r="938" spans="11:15" x14ac:dyDescent="0.25">
      <c r="K938"/>
      <c r="L938"/>
      <c r="M938"/>
      <c r="N938"/>
      <c r="O938"/>
    </row>
    <row r="939" spans="11:15" x14ac:dyDescent="0.25">
      <c r="K939"/>
      <c r="L939"/>
      <c r="M939"/>
      <c r="N939"/>
      <c r="O939"/>
    </row>
    <row r="940" spans="11:15" x14ac:dyDescent="0.25">
      <c r="K940"/>
      <c r="L940"/>
      <c r="M940"/>
      <c r="N940"/>
      <c r="O940"/>
    </row>
    <row r="941" spans="11:15" x14ac:dyDescent="0.25">
      <c r="K941"/>
      <c r="L941"/>
      <c r="M941"/>
      <c r="N941"/>
      <c r="O941"/>
    </row>
    <row r="942" spans="11:15" x14ac:dyDescent="0.25">
      <c r="K942"/>
      <c r="L942"/>
      <c r="M942"/>
      <c r="N942"/>
      <c r="O942"/>
    </row>
    <row r="943" spans="11:15" x14ac:dyDescent="0.25">
      <c r="K943"/>
      <c r="L943"/>
      <c r="M943"/>
      <c r="N943"/>
      <c r="O943"/>
    </row>
    <row r="944" spans="11:15" x14ac:dyDescent="0.25">
      <c r="K944"/>
      <c r="L944"/>
      <c r="M944"/>
      <c r="N944"/>
      <c r="O944"/>
    </row>
    <row r="945" spans="11:15" x14ac:dyDescent="0.25">
      <c r="K945"/>
      <c r="L945"/>
      <c r="M945"/>
      <c r="N945"/>
      <c r="O945"/>
    </row>
    <row r="946" spans="11:15" x14ac:dyDescent="0.25">
      <c r="K946"/>
      <c r="L946"/>
      <c r="M946"/>
      <c r="N946"/>
      <c r="O946"/>
    </row>
    <row r="947" spans="11:15" x14ac:dyDescent="0.25">
      <c r="K947"/>
      <c r="L947"/>
      <c r="M947"/>
      <c r="N947"/>
      <c r="O947"/>
    </row>
    <row r="948" spans="11:15" x14ac:dyDescent="0.25">
      <c r="K948"/>
      <c r="L948"/>
      <c r="M948"/>
      <c r="N948"/>
      <c r="O948"/>
    </row>
    <row r="949" spans="11:15" x14ac:dyDescent="0.25">
      <c r="K949"/>
      <c r="L949"/>
      <c r="M949"/>
      <c r="N949"/>
      <c r="O949"/>
    </row>
    <row r="950" spans="11:15" x14ac:dyDescent="0.25">
      <c r="K950"/>
      <c r="L950"/>
      <c r="M950"/>
      <c r="N950"/>
      <c r="O950"/>
    </row>
    <row r="951" spans="11:15" x14ac:dyDescent="0.25">
      <c r="K951"/>
      <c r="L951"/>
      <c r="M951"/>
      <c r="N951"/>
      <c r="O951"/>
    </row>
    <row r="952" spans="11:15" x14ac:dyDescent="0.25">
      <c r="K952"/>
      <c r="L952"/>
      <c r="M952"/>
      <c r="N952"/>
      <c r="O952"/>
    </row>
    <row r="953" spans="11:15" x14ac:dyDescent="0.25">
      <c r="K953"/>
      <c r="L953"/>
      <c r="M953"/>
      <c r="N953"/>
      <c r="O953"/>
    </row>
    <row r="954" spans="11:15" x14ac:dyDescent="0.25">
      <c r="K954"/>
      <c r="L954"/>
      <c r="M954"/>
      <c r="N954"/>
      <c r="O954"/>
    </row>
    <row r="955" spans="11:15" x14ac:dyDescent="0.25">
      <c r="K955"/>
      <c r="L955"/>
      <c r="M955"/>
      <c r="N955"/>
      <c r="O955"/>
    </row>
    <row r="956" spans="11:15" x14ac:dyDescent="0.25">
      <c r="K956"/>
      <c r="L956"/>
      <c r="M956"/>
      <c r="N956"/>
      <c r="O956"/>
    </row>
    <row r="957" spans="11:15" x14ac:dyDescent="0.25">
      <c r="K957"/>
      <c r="L957"/>
      <c r="M957"/>
      <c r="N957"/>
      <c r="O957"/>
    </row>
    <row r="958" spans="11:15" x14ac:dyDescent="0.25">
      <c r="K958"/>
      <c r="L958"/>
      <c r="M958"/>
      <c r="N958"/>
      <c r="O958"/>
    </row>
    <row r="959" spans="11:15" x14ac:dyDescent="0.25">
      <c r="K959"/>
      <c r="L959"/>
      <c r="M959"/>
      <c r="N959"/>
      <c r="O959"/>
    </row>
    <row r="960" spans="11:15" x14ac:dyDescent="0.25">
      <c r="K960"/>
      <c r="L960"/>
      <c r="M960"/>
      <c r="N960"/>
      <c r="O960"/>
    </row>
    <row r="961" spans="11:15" x14ac:dyDescent="0.25">
      <c r="K961"/>
      <c r="L961"/>
      <c r="M961"/>
      <c r="N961"/>
      <c r="O961"/>
    </row>
    <row r="962" spans="11:15" x14ac:dyDescent="0.25">
      <c r="K962"/>
      <c r="L962"/>
      <c r="M962"/>
      <c r="N962"/>
      <c r="O962"/>
    </row>
    <row r="963" spans="11:15" x14ac:dyDescent="0.25">
      <c r="K963"/>
      <c r="L963"/>
      <c r="M963"/>
      <c r="N963"/>
      <c r="O963"/>
    </row>
    <row r="964" spans="11:15" x14ac:dyDescent="0.25">
      <c r="K964"/>
      <c r="L964"/>
      <c r="M964"/>
      <c r="N964"/>
      <c r="O964"/>
    </row>
    <row r="965" spans="11:15" x14ac:dyDescent="0.25">
      <c r="K965"/>
      <c r="L965"/>
      <c r="M965"/>
      <c r="N965"/>
      <c r="O965"/>
    </row>
    <row r="966" spans="11:15" x14ac:dyDescent="0.25">
      <c r="K966"/>
      <c r="L966"/>
      <c r="M966"/>
      <c r="N966"/>
      <c r="O966"/>
    </row>
    <row r="967" spans="11:15" x14ac:dyDescent="0.25">
      <c r="K967"/>
      <c r="L967"/>
      <c r="M967"/>
      <c r="N967"/>
      <c r="O967"/>
    </row>
    <row r="968" spans="11:15" x14ac:dyDescent="0.25">
      <c r="K968"/>
      <c r="L968"/>
      <c r="M968"/>
      <c r="N968"/>
      <c r="O968"/>
    </row>
    <row r="969" spans="11:15" x14ac:dyDescent="0.25">
      <c r="K969"/>
      <c r="L969"/>
      <c r="M969"/>
      <c r="N969"/>
      <c r="O969"/>
    </row>
    <row r="970" spans="11:15" x14ac:dyDescent="0.25">
      <c r="K970"/>
      <c r="L970"/>
      <c r="M970"/>
      <c r="N970"/>
      <c r="O970"/>
    </row>
    <row r="971" spans="11:15" x14ac:dyDescent="0.25">
      <c r="K971"/>
      <c r="L971"/>
      <c r="M971"/>
      <c r="N971"/>
      <c r="O971"/>
    </row>
    <row r="972" spans="11:15" x14ac:dyDescent="0.25">
      <c r="K972"/>
      <c r="L972"/>
      <c r="M972"/>
      <c r="N972"/>
      <c r="O972"/>
    </row>
    <row r="973" spans="11:15" x14ac:dyDescent="0.25">
      <c r="K973"/>
      <c r="L973"/>
      <c r="M973"/>
      <c r="N973"/>
      <c r="O973"/>
    </row>
    <row r="974" spans="11:15" x14ac:dyDescent="0.25">
      <c r="K974"/>
      <c r="L974"/>
      <c r="M974"/>
      <c r="N974"/>
      <c r="O974"/>
    </row>
    <row r="975" spans="11:15" x14ac:dyDescent="0.25">
      <c r="K975"/>
      <c r="L975"/>
      <c r="M975"/>
      <c r="N975"/>
      <c r="O975"/>
    </row>
    <row r="976" spans="11:15" x14ac:dyDescent="0.25">
      <c r="K976"/>
      <c r="L976"/>
      <c r="M976"/>
      <c r="N976"/>
      <c r="O976"/>
    </row>
    <row r="977" spans="11:15" x14ac:dyDescent="0.25">
      <c r="K977"/>
      <c r="L977"/>
      <c r="M977"/>
      <c r="N977"/>
      <c r="O977"/>
    </row>
    <row r="978" spans="11:15" x14ac:dyDescent="0.25">
      <c r="K978"/>
      <c r="L978"/>
      <c r="M978"/>
      <c r="N978"/>
      <c r="O978"/>
    </row>
    <row r="979" spans="11:15" x14ac:dyDescent="0.25">
      <c r="K979"/>
      <c r="L979"/>
      <c r="M979"/>
      <c r="N979"/>
      <c r="O979"/>
    </row>
    <row r="980" spans="11:15" x14ac:dyDescent="0.25">
      <c r="K980"/>
      <c r="L980"/>
      <c r="M980"/>
      <c r="N980"/>
      <c r="O980"/>
    </row>
    <row r="981" spans="11:15" x14ac:dyDescent="0.25">
      <c r="K981"/>
      <c r="L981"/>
      <c r="M981"/>
      <c r="N981"/>
      <c r="O981"/>
    </row>
    <row r="982" spans="11:15" x14ac:dyDescent="0.25">
      <c r="K982"/>
      <c r="L982"/>
      <c r="M982"/>
      <c r="N982"/>
      <c r="O982"/>
    </row>
    <row r="983" spans="11:15" x14ac:dyDescent="0.25">
      <c r="K983"/>
      <c r="L983"/>
      <c r="M983"/>
      <c r="N983"/>
      <c r="O983"/>
    </row>
    <row r="984" spans="11:15" x14ac:dyDescent="0.25">
      <c r="K984"/>
      <c r="L984"/>
      <c r="M984"/>
      <c r="N984"/>
      <c r="O984"/>
    </row>
    <row r="985" spans="11:15" x14ac:dyDescent="0.25">
      <c r="K985"/>
      <c r="L985"/>
      <c r="M985"/>
      <c r="N985"/>
      <c r="O985"/>
    </row>
    <row r="986" spans="11:15" x14ac:dyDescent="0.25">
      <c r="K986"/>
      <c r="L986"/>
      <c r="M986"/>
      <c r="N986"/>
      <c r="O986"/>
    </row>
    <row r="987" spans="11:15" x14ac:dyDescent="0.25">
      <c r="K987"/>
      <c r="L987"/>
      <c r="M987"/>
      <c r="N987"/>
      <c r="O987"/>
    </row>
    <row r="988" spans="11:15" x14ac:dyDescent="0.25">
      <c r="K988"/>
      <c r="L988"/>
      <c r="M988"/>
      <c r="N988"/>
      <c r="O988"/>
    </row>
    <row r="989" spans="11:15" x14ac:dyDescent="0.25">
      <c r="K989"/>
      <c r="L989"/>
      <c r="M989"/>
      <c r="N989"/>
      <c r="O989"/>
    </row>
    <row r="990" spans="11:15" x14ac:dyDescent="0.25">
      <c r="K990"/>
      <c r="L990"/>
      <c r="M990"/>
      <c r="N990"/>
      <c r="O990"/>
    </row>
    <row r="991" spans="11:15" x14ac:dyDescent="0.25">
      <c r="K991"/>
      <c r="L991"/>
      <c r="M991"/>
      <c r="N991"/>
      <c r="O991"/>
    </row>
    <row r="992" spans="11:15" x14ac:dyDescent="0.25">
      <c r="K992"/>
      <c r="L992"/>
      <c r="M992"/>
      <c r="N992"/>
      <c r="O992"/>
    </row>
    <row r="993" spans="11:15" x14ac:dyDescent="0.25">
      <c r="K993"/>
      <c r="L993"/>
      <c r="M993"/>
      <c r="N993"/>
      <c r="O993"/>
    </row>
    <row r="994" spans="11:15" x14ac:dyDescent="0.25">
      <c r="K994"/>
      <c r="L994"/>
      <c r="M994"/>
      <c r="N994"/>
      <c r="O994"/>
    </row>
    <row r="995" spans="11:15" x14ac:dyDescent="0.25">
      <c r="K995"/>
      <c r="L995"/>
      <c r="M995"/>
      <c r="N995"/>
      <c r="O995"/>
    </row>
    <row r="996" spans="11:15" x14ac:dyDescent="0.25">
      <c r="K996"/>
      <c r="L996"/>
      <c r="M996"/>
      <c r="N996"/>
      <c r="O996"/>
    </row>
    <row r="997" spans="11:15" x14ac:dyDescent="0.25">
      <c r="K997"/>
      <c r="L997"/>
      <c r="M997"/>
      <c r="N997"/>
      <c r="O997"/>
    </row>
    <row r="998" spans="11:15" x14ac:dyDescent="0.25">
      <c r="K998"/>
      <c r="L998"/>
      <c r="M998"/>
      <c r="N998"/>
      <c r="O998"/>
    </row>
    <row r="999" spans="11:15" x14ac:dyDescent="0.25">
      <c r="K999"/>
      <c r="L999"/>
      <c r="M999"/>
      <c r="N999"/>
      <c r="O999"/>
    </row>
    <row r="1000" spans="11:15" x14ac:dyDescent="0.25">
      <c r="K1000"/>
      <c r="L1000"/>
      <c r="M1000"/>
      <c r="N1000"/>
      <c r="O1000"/>
    </row>
    <row r="1001" spans="11:15" x14ac:dyDescent="0.25">
      <c r="K1001"/>
      <c r="L1001"/>
      <c r="M1001"/>
      <c r="N1001"/>
      <c r="O1001"/>
    </row>
    <row r="1002" spans="11:15" x14ac:dyDescent="0.25">
      <c r="K1002"/>
      <c r="L1002"/>
      <c r="M1002"/>
      <c r="N1002"/>
      <c r="O1002"/>
    </row>
    <row r="1003" spans="11:15" x14ac:dyDescent="0.25">
      <c r="K1003"/>
      <c r="L1003"/>
      <c r="M1003"/>
      <c r="N1003"/>
      <c r="O1003"/>
    </row>
    <row r="1004" spans="11:15" x14ac:dyDescent="0.25">
      <c r="K1004"/>
      <c r="L1004"/>
      <c r="M1004"/>
      <c r="N1004"/>
      <c r="O1004"/>
    </row>
    <row r="1005" spans="11:15" x14ac:dyDescent="0.25">
      <c r="K1005"/>
      <c r="L1005"/>
      <c r="M1005"/>
      <c r="N1005"/>
      <c r="O1005"/>
    </row>
    <row r="1006" spans="11:15" x14ac:dyDescent="0.25">
      <c r="K1006"/>
      <c r="L1006"/>
      <c r="M1006"/>
      <c r="N1006"/>
      <c r="O1006"/>
    </row>
    <row r="1007" spans="11:15" x14ac:dyDescent="0.25">
      <c r="K1007"/>
      <c r="L1007"/>
      <c r="M1007"/>
      <c r="N1007"/>
      <c r="O1007"/>
    </row>
    <row r="1008" spans="11:15" x14ac:dyDescent="0.25">
      <c r="K1008"/>
      <c r="L1008"/>
      <c r="M1008"/>
      <c r="N1008"/>
      <c r="O1008"/>
    </row>
    <row r="1009" spans="11:15" x14ac:dyDescent="0.25">
      <c r="K1009"/>
      <c r="L1009"/>
      <c r="M1009"/>
      <c r="N1009"/>
      <c r="O1009"/>
    </row>
    <row r="1010" spans="11:15" x14ac:dyDescent="0.25">
      <c r="K1010"/>
      <c r="L1010"/>
      <c r="M1010"/>
      <c r="N1010"/>
      <c r="O1010"/>
    </row>
    <row r="1011" spans="11:15" x14ac:dyDescent="0.25">
      <c r="K1011"/>
      <c r="L1011"/>
      <c r="M1011"/>
      <c r="N1011"/>
      <c r="O1011"/>
    </row>
    <row r="1012" spans="11:15" x14ac:dyDescent="0.25">
      <c r="K1012"/>
      <c r="L1012"/>
      <c r="M1012"/>
      <c r="N1012"/>
      <c r="O1012"/>
    </row>
    <row r="1013" spans="11:15" x14ac:dyDescent="0.25">
      <c r="K1013"/>
      <c r="L1013"/>
      <c r="M1013"/>
      <c r="N1013"/>
      <c r="O1013"/>
    </row>
    <row r="1014" spans="11:15" x14ac:dyDescent="0.25">
      <c r="K1014"/>
      <c r="L1014"/>
      <c r="M1014"/>
      <c r="N1014"/>
      <c r="O1014"/>
    </row>
    <row r="1015" spans="11:15" x14ac:dyDescent="0.25">
      <c r="K1015"/>
      <c r="L1015"/>
      <c r="M1015"/>
      <c r="N1015"/>
      <c r="O1015"/>
    </row>
    <row r="1016" spans="11:15" x14ac:dyDescent="0.25">
      <c r="K1016"/>
      <c r="L1016"/>
      <c r="M1016"/>
      <c r="N1016"/>
      <c r="O1016"/>
    </row>
    <row r="1017" spans="11:15" x14ac:dyDescent="0.25">
      <c r="K1017"/>
      <c r="L1017"/>
      <c r="M1017"/>
      <c r="N1017"/>
      <c r="O1017"/>
    </row>
    <row r="1018" spans="11:15" x14ac:dyDescent="0.25">
      <c r="K1018"/>
      <c r="L1018"/>
      <c r="M1018"/>
      <c r="N1018"/>
      <c r="O1018"/>
    </row>
    <row r="1019" spans="11:15" x14ac:dyDescent="0.25">
      <c r="K1019"/>
      <c r="L1019"/>
      <c r="M1019"/>
      <c r="N1019"/>
      <c r="O1019"/>
    </row>
    <row r="1020" spans="11:15" x14ac:dyDescent="0.25">
      <c r="K1020"/>
      <c r="L1020"/>
      <c r="M1020"/>
      <c r="N1020"/>
      <c r="O1020"/>
    </row>
    <row r="1021" spans="11:15" x14ac:dyDescent="0.25">
      <c r="K1021"/>
      <c r="L1021"/>
      <c r="M1021"/>
      <c r="N1021"/>
      <c r="O1021"/>
    </row>
    <row r="1022" spans="11:15" x14ac:dyDescent="0.25">
      <c r="K1022"/>
      <c r="L1022"/>
      <c r="M1022"/>
      <c r="N1022"/>
      <c r="O1022"/>
    </row>
    <row r="1023" spans="11:15" x14ac:dyDescent="0.25">
      <c r="K1023"/>
      <c r="L1023"/>
      <c r="M1023"/>
      <c r="N1023"/>
      <c r="O1023"/>
    </row>
    <row r="1024" spans="11:15" x14ac:dyDescent="0.25">
      <c r="K1024"/>
      <c r="L1024"/>
      <c r="M1024"/>
      <c r="N1024"/>
      <c r="O1024"/>
    </row>
    <row r="1025" spans="11:15" x14ac:dyDescent="0.25">
      <c r="K1025"/>
      <c r="L1025"/>
      <c r="M1025"/>
      <c r="N1025"/>
      <c r="O1025"/>
    </row>
    <row r="1026" spans="11:15" x14ac:dyDescent="0.25">
      <c r="K1026"/>
      <c r="L1026"/>
      <c r="M1026"/>
      <c r="N1026"/>
      <c r="O1026"/>
    </row>
    <row r="1027" spans="11:15" x14ac:dyDescent="0.25">
      <c r="K1027"/>
      <c r="L1027"/>
      <c r="M1027"/>
      <c r="N1027"/>
      <c r="O1027"/>
    </row>
    <row r="1028" spans="11:15" x14ac:dyDescent="0.25">
      <c r="K1028"/>
      <c r="L1028"/>
      <c r="M1028"/>
      <c r="N1028"/>
      <c r="O1028"/>
    </row>
    <row r="1029" spans="11:15" x14ac:dyDescent="0.25">
      <c r="K1029"/>
      <c r="L1029"/>
      <c r="M1029"/>
      <c r="N1029"/>
      <c r="O1029"/>
    </row>
    <row r="1030" spans="11:15" x14ac:dyDescent="0.25">
      <c r="K1030"/>
      <c r="L1030"/>
      <c r="M1030"/>
      <c r="N1030"/>
      <c r="O1030"/>
    </row>
    <row r="1031" spans="11:15" x14ac:dyDescent="0.25">
      <c r="K1031"/>
      <c r="L1031"/>
      <c r="M1031"/>
      <c r="N1031"/>
      <c r="O1031"/>
    </row>
    <row r="1032" spans="11:15" x14ac:dyDescent="0.25">
      <c r="K1032"/>
      <c r="L1032"/>
      <c r="M1032"/>
      <c r="N1032"/>
      <c r="O1032"/>
    </row>
    <row r="1033" spans="11:15" x14ac:dyDescent="0.25">
      <c r="K1033"/>
      <c r="L1033"/>
      <c r="M1033"/>
      <c r="N1033"/>
      <c r="O1033"/>
    </row>
    <row r="1034" spans="11:15" x14ac:dyDescent="0.25">
      <c r="K1034"/>
      <c r="L1034"/>
      <c r="M1034"/>
      <c r="N1034"/>
      <c r="O1034"/>
    </row>
    <row r="1035" spans="11:15" x14ac:dyDescent="0.25">
      <c r="K1035"/>
      <c r="L1035"/>
      <c r="M1035"/>
      <c r="N1035"/>
      <c r="O1035"/>
    </row>
    <row r="1036" spans="11:15" x14ac:dyDescent="0.25">
      <c r="K1036"/>
      <c r="L1036"/>
      <c r="M1036"/>
      <c r="N1036"/>
      <c r="O1036"/>
    </row>
    <row r="1037" spans="11:15" x14ac:dyDescent="0.25">
      <c r="K1037"/>
      <c r="L1037"/>
      <c r="M1037"/>
      <c r="N1037"/>
      <c r="O1037"/>
    </row>
    <row r="1038" spans="11:15" x14ac:dyDescent="0.25">
      <c r="K1038"/>
      <c r="L1038"/>
      <c r="M1038"/>
      <c r="N1038"/>
      <c r="O1038"/>
    </row>
    <row r="1039" spans="11:15" x14ac:dyDescent="0.25">
      <c r="K1039"/>
      <c r="L1039"/>
      <c r="M1039"/>
      <c r="N1039"/>
      <c r="O1039"/>
    </row>
    <row r="1040" spans="11:15" x14ac:dyDescent="0.25">
      <c r="K1040"/>
      <c r="L1040"/>
      <c r="M1040"/>
      <c r="N1040"/>
      <c r="O1040"/>
    </row>
    <row r="1041" spans="11:15" x14ac:dyDescent="0.25">
      <c r="K1041"/>
      <c r="L1041"/>
      <c r="M1041"/>
      <c r="N1041"/>
      <c r="O1041"/>
    </row>
    <row r="1042" spans="11:15" x14ac:dyDescent="0.25">
      <c r="K1042"/>
      <c r="L1042"/>
      <c r="M1042"/>
      <c r="N1042"/>
      <c r="O1042"/>
    </row>
    <row r="1043" spans="11:15" x14ac:dyDescent="0.25">
      <c r="K1043"/>
      <c r="L1043"/>
      <c r="M1043"/>
      <c r="N1043"/>
      <c r="O1043"/>
    </row>
    <row r="1044" spans="11:15" x14ac:dyDescent="0.25">
      <c r="K1044"/>
      <c r="L1044"/>
      <c r="M1044"/>
      <c r="N1044"/>
      <c r="O1044"/>
    </row>
    <row r="1045" spans="11:15" x14ac:dyDescent="0.25">
      <c r="K1045"/>
      <c r="L1045"/>
      <c r="M1045"/>
      <c r="N1045"/>
      <c r="O1045"/>
    </row>
    <row r="1046" spans="11:15" x14ac:dyDescent="0.25">
      <c r="K1046"/>
      <c r="L1046"/>
      <c r="M1046"/>
      <c r="N1046"/>
      <c r="O1046"/>
    </row>
    <row r="1047" spans="11:15" x14ac:dyDescent="0.25">
      <c r="K1047"/>
      <c r="L1047"/>
      <c r="M1047"/>
      <c r="N1047"/>
      <c r="O1047"/>
    </row>
    <row r="1048" spans="11:15" x14ac:dyDescent="0.25">
      <c r="K1048"/>
      <c r="L1048"/>
      <c r="M1048"/>
      <c r="N1048"/>
      <c r="O1048"/>
    </row>
    <row r="1049" spans="11:15" x14ac:dyDescent="0.25">
      <c r="K1049"/>
      <c r="L1049"/>
      <c r="M1049"/>
      <c r="N1049"/>
      <c r="O1049"/>
    </row>
    <row r="1050" spans="11:15" x14ac:dyDescent="0.25">
      <c r="K1050"/>
      <c r="L1050"/>
      <c r="M1050"/>
      <c r="N1050"/>
      <c r="O1050"/>
    </row>
    <row r="1051" spans="11:15" x14ac:dyDescent="0.25">
      <c r="K1051"/>
      <c r="L1051"/>
      <c r="M1051"/>
      <c r="N1051"/>
      <c r="O1051"/>
    </row>
    <row r="1052" spans="11:15" x14ac:dyDescent="0.25">
      <c r="K1052"/>
      <c r="L1052"/>
      <c r="M1052"/>
      <c r="N1052"/>
      <c r="O1052"/>
    </row>
    <row r="1053" spans="11:15" x14ac:dyDescent="0.25">
      <c r="K1053"/>
      <c r="L1053"/>
      <c r="M1053"/>
      <c r="N1053"/>
      <c r="O1053"/>
    </row>
    <row r="1054" spans="11:15" x14ac:dyDescent="0.25">
      <c r="K1054"/>
      <c r="L1054"/>
      <c r="M1054"/>
      <c r="N1054"/>
      <c r="O1054"/>
    </row>
    <row r="1055" spans="11:15" x14ac:dyDescent="0.25">
      <c r="K1055"/>
      <c r="L1055"/>
      <c r="M1055"/>
      <c r="N1055"/>
      <c r="O1055"/>
    </row>
    <row r="1056" spans="11:15" x14ac:dyDescent="0.25">
      <c r="K1056"/>
      <c r="L1056"/>
      <c r="M1056"/>
      <c r="N1056"/>
      <c r="O1056"/>
    </row>
    <row r="1057" spans="11:15" x14ac:dyDescent="0.25">
      <c r="K1057"/>
      <c r="L1057"/>
      <c r="M1057"/>
      <c r="N1057"/>
      <c r="O1057"/>
    </row>
    <row r="1058" spans="11:15" x14ac:dyDescent="0.25">
      <c r="K1058"/>
      <c r="L1058"/>
      <c r="M1058"/>
      <c r="N1058"/>
      <c r="O1058"/>
    </row>
    <row r="1059" spans="11:15" x14ac:dyDescent="0.25">
      <c r="K1059"/>
      <c r="L1059"/>
      <c r="M1059"/>
      <c r="N1059"/>
      <c r="O1059"/>
    </row>
    <row r="1060" spans="11:15" x14ac:dyDescent="0.25">
      <c r="K1060"/>
      <c r="L1060"/>
      <c r="M1060"/>
      <c r="N1060"/>
      <c r="O1060"/>
    </row>
    <row r="1061" spans="11:15" x14ac:dyDescent="0.25">
      <c r="K1061"/>
      <c r="L1061"/>
      <c r="M1061"/>
      <c r="N1061"/>
      <c r="O1061"/>
    </row>
    <row r="1062" spans="11:15" x14ac:dyDescent="0.25">
      <c r="K1062"/>
      <c r="L1062"/>
      <c r="M1062"/>
      <c r="N1062"/>
      <c r="O1062"/>
    </row>
    <row r="1063" spans="11:15" x14ac:dyDescent="0.25">
      <c r="K1063"/>
      <c r="L1063"/>
      <c r="M1063"/>
      <c r="N1063"/>
      <c r="O1063"/>
    </row>
  </sheetData>
  <sheetProtection sheet="1" objects="1" scenarios="1"/>
  <autoFilter ref="G25:G115" xr:uid="{00000000-0009-0000-0000-000008000000}"/>
  <pageMargins left="0.70866141732283472" right="0.51181102362204722" top="0.55118110236220474" bottom="0.55118110236220474" header="0.31496062992125984" footer="0.31496062992125984"/>
  <pageSetup paperSize="9" orientation="portrait" r:id="rId1"/>
  <colBreaks count="2" manualBreakCount="2">
    <brk id="9" max="1048575" man="1"/>
    <brk id="15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Drop Down 1">
              <controlPr defaultSize="0" print="0" autoLine="0" autoPict="0">
                <anchor moveWithCells="1">
                  <from>
                    <xdr:col>6</xdr:col>
                    <xdr:colOff>171450</xdr:colOff>
                    <xdr:row>13</xdr:row>
                    <xdr:rowOff>180975</xdr:rowOff>
                  </from>
                  <to>
                    <xdr:col>9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Check Box 2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13</xdr:row>
                    <xdr:rowOff>161925</xdr:rowOff>
                  </from>
                  <to>
                    <xdr:col>5</xdr:col>
                    <xdr:colOff>981075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9" r:id="rId6" name="Check Box 3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14</xdr:row>
                    <xdr:rowOff>161925</xdr:rowOff>
                  </from>
                  <to>
                    <xdr:col>5</xdr:col>
                    <xdr:colOff>981075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0" r:id="rId7" name="Drop Down 4">
              <controlPr defaultSize="0" print="0" autoLine="0" autoPict="0">
                <anchor moveWithCells="1">
                  <from>
                    <xdr:col>6</xdr:col>
                    <xdr:colOff>171450</xdr:colOff>
                    <xdr:row>15</xdr:row>
                    <xdr:rowOff>0</xdr:rowOff>
                  </from>
                  <to>
                    <xdr:col>9</xdr:col>
                    <xdr:colOff>9525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1" r:id="rId8" name="Check Box 5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15</xdr:row>
                    <xdr:rowOff>161925</xdr:rowOff>
                  </from>
                  <to>
                    <xdr:col>5</xdr:col>
                    <xdr:colOff>981075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2" r:id="rId9" name="Check Box 6">
              <controlPr defaultSize="0" print="0" autoFill="0" autoLine="0" autoPict="0">
                <anchor moveWithCells="1">
                  <from>
                    <xdr:col>6</xdr:col>
                    <xdr:colOff>161925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51"/>
  <dimension ref="A1:P1063"/>
  <sheetViews>
    <sheetView showGridLines="0" zoomScale="85" zoomScaleNormal="85" workbookViewId="0">
      <selection activeCell="C4" sqref="C4"/>
    </sheetView>
  </sheetViews>
  <sheetFormatPr defaultRowHeight="15" x14ac:dyDescent="0.25"/>
  <cols>
    <col min="1" max="1" width="2.7109375" style="1" customWidth="1"/>
    <col min="2" max="2" width="5.28515625" style="1" customWidth="1"/>
    <col min="3" max="3" width="9" style="1" customWidth="1"/>
    <col min="4" max="5" width="14.28515625" style="1" customWidth="1"/>
    <col min="6" max="6" width="14.85546875" style="1" customWidth="1"/>
    <col min="7" max="7" width="2.7109375" style="1" customWidth="1"/>
    <col min="8" max="8" width="9" style="1" customWidth="1"/>
    <col min="9" max="9" width="12.5703125" style="1" customWidth="1"/>
    <col min="10" max="10" width="2.7109375" style="1" customWidth="1"/>
    <col min="11" max="11" width="9.42578125" style="1" bestFit="1" customWidth="1"/>
    <col min="12" max="12" width="9" style="1" customWidth="1"/>
    <col min="13" max="13" width="14.28515625" style="1" customWidth="1"/>
    <col min="14" max="14" width="43.85546875" style="1" bestFit="1" customWidth="1"/>
    <col min="15" max="15" width="8.28515625" style="1" bestFit="1" customWidth="1"/>
    <col min="16" max="16" width="2.7109375" style="1" customWidth="1"/>
    <col min="17" max="17" width="87.140625" style="1" customWidth="1"/>
    <col min="18" max="16384" width="9.140625" style="1"/>
  </cols>
  <sheetData>
    <row r="1" spans="2:16" x14ac:dyDescent="0.25">
      <c r="B1" s="2" t="s">
        <v>3</v>
      </c>
      <c r="H1" s="38" t="s">
        <v>19</v>
      </c>
      <c r="I1" s="15"/>
      <c r="K1" s="12" t="s">
        <v>4</v>
      </c>
      <c r="L1" s="13"/>
      <c r="M1" s="12"/>
      <c r="N1" s="13"/>
      <c r="O1" s="14">
        <f>O3/(L3+O3)</f>
        <v>1.1829450187728231E-3</v>
      </c>
    </row>
    <row r="2" spans="2:16" ht="33" customHeight="1" x14ac:dyDescent="0.25">
      <c r="B2" s="3" t="str">
        <f>B24</f>
        <v>№</v>
      </c>
      <c r="C2" s="3" t="s">
        <v>1</v>
      </c>
      <c r="D2" s="3" t="s">
        <v>0</v>
      </c>
      <c r="E2" s="3" t="s">
        <v>10</v>
      </c>
      <c r="F2" s="4" t="s">
        <v>12</v>
      </c>
      <c r="H2" s="3" t="s">
        <v>1</v>
      </c>
      <c r="I2" s="3" t="s">
        <v>0</v>
      </c>
      <c r="K2" s="5" t="s">
        <v>1</v>
      </c>
      <c r="L2" s="5" t="s">
        <v>6</v>
      </c>
      <c r="M2" s="6" t="s">
        <v>11</v>
      </c>
      <c r="N2" s="5" t="s">
        <v>7</v>
      </c>
      <c r="O2" s="6" t="str">
        <f>"Отходы
"&amp;IF((L3+O3)&gt;0,TEXT(O3/(L3+O3),"0,00%"),"")</f>
        <v>Отходы
000%</v>
      </c>
    </row>
    <row r="3" spans="2:16" x14ac:dyDescent="0.25">
      <c r="B3" s="27"/>
      <c r="C3" s="27">
        <f>IF(COUNT(C4:C13)=COUNT(D4:D13),SUMPRODUCT(C4:C13,D4:D13),)</f>
        <v>0</v>
      </c>
      <c r="D3" s="23" t="str">
        <f>IF(COUNT(C4:C13)=COUNT(D4:D13),SUM(D4:D13),"много")</f>
        <v>много</v>
      </c>
      <c r="E3" s="23">
        <f>SUM(E4:E13)</f>
        <v>58</v>
      </c>
      <c r="F3" s="23" t="str">
        <f>IF(D3="много","много",D3-E3)</f>
        <v>много</v>
      </c>
      <c r="H3" s="27">
        <f>SUMPRODUCT(H4:H13,I4:I13)</f>
        <v>5540</v>
      </c>
      <c r="I3" s="23" t="str">
        <f>IF(COUNT(H4:H13)=COUNT(I4:I13),SUM(I4:I13),"много")</f>
        <v>много</v>
      </c>
      <c r="K3" s="31">
        <f>SUMPRODUCT(K4:K1060,$M4:$M1060)</f>
        <v>394400</v>
      </c>
      <c r="L3" s="31">
        <f>SUMPRODUCT(L4:L1060,$M4:$M1060)</f>
        <v>388400</v>
      </c>
      <c r="M3" s="32">
        <f>SUM(M4:M1060)</f>
        <v>58</v>
      </c>
      <c r="N3" s="33"/>
      <c r="O3" s="31">
        <f t="array" ref="O3">SUM(IF((O4:O1060&lt;D17)+(D17=0),$M4:$M1060*O4:O1060))</f>
        <v>460</v>
      </c>
    </row>
    <row r="4" spans="2:16" x14ac:dyDescent="0.25">
      <c r="B4" s="36">
        <f>IF(N(C4)=0,"",1)</f>
        <v>1</v>
      </c>
      <c r="C4" s="48">
        <v>6800</v>
      </c>
      <c r="D4" s="9"/>
      <c r="E4" s="28">
        <f t="shared" ref="E4:E13" si="0">MIN(SUMIF(K$4:K$1060,C4,M$4:M$1060),D4)</f>
        <v>58</v>
      </c>
      <c r="F4" s="28">
        <f>IF(D4,D4-E4,)</f>
        <v>0</v>
      </c>
      <c r="H4" s="51">
        <v>6800</v>
      </c>
      <c r="I4" s="41"/>
      <c r="K4" s="66">
        <v>6800</v>
      </c>
      <c r="L4" s="65">
        <v>6800</v>
      </c>
      <c r="M4" s="72">
        <v>2</v>
      </c>
      <c r="N4" s="69" t="s">
        <v>246</v>
      </c>
      <c r="O4" s="65">
        <f t="shared" ref="O4:O17" si="1">K4-L4</f>
        <v>0</v>
      </c>
    </row>
    <row r="5" spans="2:16" x14ac:dyDescent="0.25">
      <c r="B5" s="34" t="str">
        <f>IF(N(C5)=0,"",IF(ISNUMBER(MATCH(C5,C$4:C4,)),INDEX(B$4:B4,MATCH(C5,C$4:C4,)),MAX(B$4:B4)+1))</f>
        <v/>
      </c>
      <c r="C5" s="49"/>
      <c r="D5" s="10"/>
      <c r="E5" s="29">
        <f t="shared" si="0"/>
        <v>0</v>
      </c>
      <c r="F5" s="29">
        <f>IF(D5,D5-E5,)</f>
        <v>0</v>
      </c>
      <c r="H5" s="52">
        <v>5540</v>
      </c>
      <c r="I5" s="42">
        <v>1</v>
      </c>
      <c r="K5" s="67">
        <v>6800</v>
      </c>
      <c r="L5" s="45">
        <v>6800</v>
      </c>
      <c r="M5" s="73">
        <v>8</v>
      </c>
      <c r="N5" s="70" t="s">
        <v>247</v>
      </c>
      <c r="O5" s="45">
        <f t="shared" si="1"/>
        <v>0</v>
      </c>
    </row>
    <row r="6" spans="2:16" x14ac:dyDescent="0.25">
      <c r="B6" s="34" t="str">
        <f>IF(N(C6)=0,"",IF(ISNUMBER(MATCH(C6,C$4:C5,)),INDEX(B$4:B5,MATCH(C6,C$4:C5,)),MAX(B$4:B5)+1))</f>
        <v/>
      </c>
      <c r="C6" s="49"/>
      <c r="D6" s="10"/>
      <c r="E6" s="29">
        <f t="shared" si="0"/>
        <v>0</v>
      </c>
      <c r="F6" s="29">
        <f t="shared" ref="F6:F11" si="2">IF(D6,D6-E6,)</f>
        <v>0</v>
      </c>
      <c r="H6" s="52"/>
      <c r="I6" s="42"/>
      <c r="K6" s="67">
        <v>6800</v>
      </c>
      <c r="L6" s="45">
        <v>6800</v>
      </c>
      <c r="M6" s="73">
        <v>1</v>
      </c>
      <c r="N6" s="70" t="s">
        <v>248</v>
      </c>
      <c r="O6" s="45">
        <f t="shared" si="1"/>
        <v>0</v>
      </c>
    </row>
    <row r="7" spans="2:16" x14ac:dyDescent="0.25">
      <c r="B7" s="34" t="str">
        <f>IF(N(C7)=0,"",IF(ISNUMBER(MATCH(C7,C$4:C6,)),INDEX(B$4:B6,MATCH(C7,C$4:C6,)),MAX(B$4:B6)+1))</f>
        <v/>
      </c>
      <c r="C7" s="49"/>
      <c r="D7" s="10"/>
      <c r="E7" s="29">
        <f t="shared" si="0"/>
        <v>0</v>
      </c>
      <c r="F7" s="29">
        <f t="shared" si="2"/>
        <v>0</v>
      </c>
      <c r="H7" s="52"/>
      <c r="I7" s="42"/>
      <c r="K7" s="67">
        <v>6800</v>
      </c>
      <c r="L7" s="45">
        <v>6800</v>
      </c>
      <c r="M7" s="73">
        <v>15</v>
      </c>
      <c r="N7" s="70" t="s">
        <v>249</v>
      </c>
      <c r="O7" s="45">
        <f t="shared" si="1"/>
        <v>0</v>
      </c>
    </row>
    <row r="8" spans="2:16" x14ac:dyDescent="0.25">
      <c r="B8" s="34" t="str">
        <f>IF(N(C8)=0,"",IF(ISNUMBER(MATCH(C8,C$4:C7,)),INDEX(B$4:B7,MATCH(C8,C$4:C7,)),MAX(B$4:B7)+1))</f>
        <v/>
      </c>
      <c r="C8" s="49"/>
      <c r="D8" s="10"/>
      <c r="E8" s="29">
        <f t="shared" si="0"/>
        <v>0</v>
      </c>
      <c r="F8" s="29">
        <f t="shared" si="2"/>
        <v>0</v>
      </c>
      <c r="H8" s="52"/>
      <c r="I8" s="42"/>
      <c r="K8" s="67">
        <v>6800</v>
      </c>
      <c r="L8" s="45">
        <v>6795</v>
      </c>
      <c r="M8" s="73">
        <v>1</v>
      </c>
      <c r="N8" s="70" t="s">
        <v>257</v>
      </c>
      <c r="O8" s="45">
        <f t="shared" si="1"/>
        <v>5</v>
      </c>
    </row>
    <row r="9" spans="2:16" x14ac:dyDescent="0.25">
      <c r="B9" s="34" t="str">
        <f>IF(N(C9)=0,"",IF(ISNUMBER(MATCH(C9,C$4:C8,)),INDEX(B$4:B8,MATCH(C9,C$4:C8,)),MAX(B$4:B8)+1))</f>
        <v/>
      </c>
      <c r="C9" s="49"/>
      <c r="D9" s="10"/>
      <c r="E9" s="29">
        <f t="shared" si="0"/>
        <v>0</v>
      </c>
      <c r="F9" s="29">
        <f t="shared" si="2"/>
        <v>0</v>
      </c>
      <c r="H9" s="52"/>
      <c r="I9" s="42"/>
      <c r="K9" s="67">
        <v>6800</v>
      </c>
      <c r="L9" s="45">
        <v>6795</v>
      </c>
      <c r="M9" s="73">
        <v>4</v>
      </c>
      <c r="N9" s="70" t="s">
        <v>250</v>
      </c>
      <c r="O9" s="45">
        <f t="shared" si="1"/>
        <v>5</v>
      </c>
    </row>
    <row r="10" spans="2:16" x14ac:dyDescent="0.25">
      <c r="B10" s="34" t="str">
        <f>IF(N(C10)=0,"",IF(ISNUMBER(MATCH(C10,C$4:C9,)),INDEX(B$4:B9,MATCH(C10,C$4:C9,)),MAX(B$4:B9)+1))</f>
        <v/>
      </c>
      <c r="C10" s="49"/>
      <c r="D10" s="10"/>
      <c r="E10" s="29">
        <f t="shared" si="0"/>
        <v>0</v>
      </c>
      <c r="F10" s="29">
        <f t="shared" si="2"/>
        <v>0</v>
      </c>
      <c r="H10" s="52"/>
      <c r="I10" s="42"/>
      <c r="K10" s="67">
        <v>6800</v>
      </c>
      <c r="L10" s="45">
        <v>6795</v>
      </c>
      <c r="M10" s="73">
        <v>1</v>
      </c>
      <c r="N10" s="70" t="s">
        <v>256</v>
      </c>
      <c r="O10" s="45">
        <f t="shared" si="1"/>
        <v>5</v>
      </c>
    </row>
    <row r="11" spans="2:16" x14ac:dyDescent="0.25">
      <c r="B11" s="34" t="str">
        <f>IF(N(C11)=0,"",IF(ISNUMBER(MATCH(C11,C$4:C10,)),INDEX(B$4:B10,MATCH(C11,C$4:C10,)),MAX(B$4:B10)+1))</f>
        <v/>
      </c>
      <c r="C11" s="49"/>
      <c r="D11" s="10"/>
      <c r="E11" s="29">
        <f t="shared" si="0"/>
        <v>0</v>
      </c>
      <c r="F11" s="29">
        <f t="shared" si="2"/>
        <v>0</v>
      </c>
      <c r="H11" s="52"/>
      <c r="I11" s="42"/>
      <c r="K11" s="67">
        <v>6800</v>
      </c>
      <c r="L11" s="45">
        <v>6790</v>
      </c>
      <c r="M11" s="73">
        <v>3</v>
      </c>
      <c r="N11" s="70" t="s">
        <v>254</v>
      </c>
      <c r="O11" s="45">
        <f t="shared" si="1"/>
        <v>10</v>
      </c>
    </row>
    <row r="12" spans="2:16" x14ac:dyDescent="0.25">
      <c r="B12" s="34" t="str">
        <f>IF(N(C12)=0,"",IF(ISNUMBER(MATCH(C12,C$4:C11,)),INDEX(B$4:B11,MATCH(C12,C$4:C11,)),MAX(B$4:B11)+1))</f>
        <v/>
      </c>
      <c r="C12" s="49"/>
      <c r="D12" s="10"/>
      <c r="E12" s="29">
        <f t="shared" si="0"/>
        <v>0</v>
      </c>
      <c r="F12" s="29">
        <f>IF(D12,D12-E12,)</f>
        <v>0</v>
      </c>
      <c r="H12" s="52"/>
      <c r="I12" s="42"/>
      <c r="K12" s="67">
        <v>6800</v>
      </c>
      <c r="L12" s="45">
        <v>6790</v>
      </c>
      <c r="M12" s="73">
        <v>1</v>
      </c>
      <c r="N12" s="70" t="s">
        <v>258</v>
      </c>
      <c r="O12" s="45">
        <f t="shared" si="1"/>
        <v>10</v>
      </c>
    </row>
    <row r="13" spans="2:16" x14ac:dyDescent="0.25">
      <c r="B13" s="35" t="str">
        <f>IF(N(C13)=0,"",IF(ISNUMBER(MATCH(C13,C$4:C12,)),INDEX(B$4:B12,MATCH(C13,C$4:C12,)),MAX(B$4:B12)+1))</f>
        <v/>
      </c>
      <c r="C13" s="50"/>
      <c r="D13" s="11"/>
      <c r="E13" s="30">
        <f t="shared" si="0"/>
        <v>0</v>
      </c>
      <c r="F13" s="30">
        <f>IF(D13,D13-E13,)</f>
        <v>0</v>
      </c>
      <c r="H13" s="53"/>
      <c r="I13" s="43"/>
      <c r="K13" s="67">
        <v>6800</v>
      </c>
      <c r="L13" s="45">
        <v>6790</v>
      </c>
      <c r="M13" s="73">
        <v>1</v>
      </c>
      <c r="N13" s="70" t="s">
        <v>259</v>
      </c>
      <c r="O13" s="45">
        <f t="shared" si="1"/>
        <v>10</v>
      </c>
    </row>
    <row r="14" spans="2:16" x14ac:dyDescent="0.25">
      <c r="J14" s="15"/>
      <c r="K14" s="67">
        <v>6800</v>
      </c>
      <c r="L14" s="45">
        <v>6785</v>
      </c>
      <c r="M14" s="73">
        <v>4</v>
      </c>
      <c r="N14" s="70" t="s">
        <v>255</v>
      </c>
      <c r="O14" s="45">
        <f t="shared" si="1"/>
        <v>15</v>
      </c>
      <c r="P14" s="15"/>
    </row>
    <row r="15" spans="2:16" x14ac:dyDescent="0.25">
      <c r="B15" s="2" t="s">
        <v>13</v>
      </c>
      <c r="D15" s="37">
        <v>0</v>
      </c>
      <c r="E15" s="21" t="b">
        <v>1</v>
      </c>
      <c r="G15" s="17" t="s">
        <v>40</v>
      </c>
      <c r="H15" s="21">
        <v>3</v>
      </c>
      <c r="I15" s="17"/>
      <c r="J15" s="15"/>
      <c r="K15" s="67">
        <v>6800</v>
      </c>
      <c r="L15" s="45">
        <v>6780</v>
      </c>
      <c r="M15" s="73">
        <v>11</v>
      </c>
      <c r="N15" s="70" t="s">
        <v>251</v>
      </c>
      <c r="O15" s="45">
        <f t="shared" si="1"/>
        <v>20</v>
      </c>
      <c r="P15" s="15"/>
    </row>
    <row r="16" spans="2:16" x14ac:dyDescent="0.25">
      <c r="B16" s="38" t="s">
        <v>17</v>
      </c>
      <c r="C16" s="15"/>
      <c r="D16" s="39">
        <v>0</v>
      </c>
      <c r="E16" s="22" t="b">
        <v>1</v>
      </c>
      <c r="G16" s="17" t="s">
        <v>41</v>
      </c>
      <c r="H16" s="21">
        <v>1</v>
      </c>
      <c r="I16" s="17"/>
      <c r="J16" s="15"/>
      <c r="K16" s="67">
        <v>6800</v>
      </c>
      <c r="L16" s="45">
        <v>6780</v>
      </c>
      <c r="M16" s="73">
        <v>5</v>
      </c>
      <c r="N16" s="70" t="s">
        <v>252</v>
      </c>
      <c r="O16" s="45">
        <f t="shared" si="1"/>
        <v>20</v>
      </c>
      <c r="P16" s="15"/>
    </row>
    <row r="17" spans="1:16" x14ac:dyDescent="0.25">
      <c r="B17" s="38" t="s">
        <v>18</v>
      </c>
      <c r="C17" s="15"/>
      <c r="D17" s="39">
        <v>1000</v>
      </c>
      <c r="E17" s="22" t="b">
        <v>0</v>
      </c>
      <c r="F17" s="22" t="b">
        <v>0</v>
      </c>
      <c r="G17" s="17" t="s">
        <v>42</v>
      </c>
      <c r="I17" s="17"/>
      <c r="J17" s="15"/>
      <c r="K17" s="68">
        <v>6800</v>
      </c>
      <c r="L17" s="46">
        <v>1260</v>
      </c>
      <c r="M17" s="74">
        <v>1</v>
      </c>
      <c r="N17" s="71" t="s">
        <v>253</v>
      </c>
      <c r="O17" s="46">
        <f t="shared" si="1"/>
        <v>5540</v>
      </c>
      <c r="P17" s="15"/>
    </row>
    <row r="18" spans="1:16" x14ac:dyDescent="0.25">
      <c r="B18" s="38"/>
      <c r="C18" s="15"/>
      <c r="D18" s="40"/>
      <c r="E18" s="22"/>
      <c r="G18" s="17" t="s">
        <v>43</v>
      </c>
      <c r="H18" s="15"/>
      <c r="I18" s="17"/>
      <c r="J18" s="15"/>
      <c r="K18"/>
      <c r="L18"/>
      <c r="M18"/>
      <c r="N18"/>
      <c r="O18"/>
      <c r="P18" s="15"/>
    </row>
    <row r="19" spans="1:16" x14ac:dyDescent="0.25">
      <c r="B19" s="38"/>
      <c r="C19" s="15"/>
      <c r="D19" s="40"/>
      <c r="E19" s="22"/>
      <c r="G19" s="17" t="s">
        <v>44</v>
      </c>
      <c r="H19" s="15"/>
      <c r="I19" s="16"/>
      <c r="J19" s="15"/>
      <c r="K19"/>
      <c r="L19"/>
      <c r="M19"/>
      <c r="N19"/>
      <c r="O19"/>
      <c r="P19" s="15"/>
    </row>
    <row r="20" spans="1:16" x14ac:dyDescent="0.25">
      <c r="B20" s="38"/>
      <c r="C20" s="15"/>
      <c r="D20" s="40"/>
      <c r="E20" s="22"/>
      <c r="H20" s="15"/>
      <c r="I20" s="16"/>
      <c r="J20" s="15"/>
      <c r="K20"/>
      <c r="L20"/>
      <c r="M20"/>
      <c r="N20"/>
      <c r="O20"/>
      <c r="P20" s="15"/>
    </row>
    <row r="21" spans="1:16" x14ac:dyDescent="0.25">
      <c r="B21" s="38"/>
      <c r="C21" s="15"/>
      <c r="D21" s="40"/>
      <c r="E21" s="22"/>
      <c r="H21" s="15"/>
      <c r="I21" s="16"/>
      <c r="J21" s="15"/>
      <c r="K21"/>
      <c r="L21"/>
      <c r="M21"/>
      <c r="N21"/>
      <c r="O21"/>
      <c r="P21" s="15"/>
    </row>
    <row r="22" spans="1:16" x14ac:dyDescent="0.25">
      <c r="B22" s="38"/>
      <c r="C22" s="15"/>
      <c r="D22" s="40"/>
      <c r="E22" s="22"/>
      <c r="H22" s="15"/>
      <c r="I22" s="16"/>
      <c r="J22" s="15"/>
      <c r="K22"/>
      <c r="L22"/>
      <c r="M22"/>
      <c r="N22"/>
      <c r="O22"/>
      <c r="P22" s="15"/>
    </row>
    <row r="23" spans="1:16" x14ac:dyDescent="0.25">
      <c r="B23" s="2" t="s">
        <v>2</v>
      </c>
      <c r="H23" s="2" t="s">
        <v>5</v>
      </c>
      <c r="I23" s="2"/>
      <c r="J23" s="15"/>
      <c r="K23"/>
      <c r="L23"/>
      <c r="M23"/>
      <c r="N23"/>
      <c r="O23"/>
      <c r="P23" s="15"/>
    </row>
    <row r="24" spans="1:16" x14ac:dyDescent="0.25">
      <c r="B24" s="3" t="s">
        <v>14</v>
      </c>
      <c r="C24" s="3" t="s">
        <v>1</v>
      </c>
      <c r="D24" s="3" t="s">
        <v>0</v>
      </c>
      <c r="E24" s="3" t="s">
        <v>8</v>
      </c>
      <c r="F24" s="4" t="s">
        <v>9</v>
      </c>
      <c r="H24" s="3" t="s">
        <v>1</v>
      </c>
      <c r="I24" s="3" t="s">
        <v>0</v>
      </c>
      <c r="J24" s="15"/>
      <c r="K24"/>
      <c r="L24"/>
      <c r="M24"/>
      <c r="N24"/>
      <c r="O24"/>
      <c r="P24" s="15"/>
    </row>
    <row r="25" spans="1:16" x14ac:dyDescent="0.25">
      <c r="B25" s="27"/>
      <c r="C25" s="27">
        <f>IF(D25="много","много",SUMPRODUCT(C26:C115,D26:D115))</f>
        <v>388400</v>
      </c>
      <c r="D25" s="23">
        <f t="array" ref="D25">IF(OR((D26:D115="")+(C26:C115="")=1),"много",SUM(D26:D115))</f>
        <v>330</v>
      </c>
      <c r="E25" s="23">
        <f>SUM(E26:E115)</f>
        <v>330</v>
      </c>
      <c r="F25" s="23">
        <f>IF(D25="много","много",SUM(F26:F115))</f>
        <v>0</v>
      </c>
      <c r="H25" s="27">
        <f>SUMPRODUCT(H26:H115,I26:I115)</f>
        <v>0</v>
      </c>
      <c r="I25" s="23">
        <f>SUM(I26:I115)</f>
        <v>0</v>
      </c>
      <c r="J25" s="15"/>
      <c r="K25"/>
      <c r="L25"/>
      <c r="M25"/>
      <c r="N25"/>
      <c r="O25"/>
      <c r="P25" s="15"/>
    </row>
    <row r="26" spans="1:16" x14ac:dyDescent="0.25">
      <c r="A26" s="17">
        <v>2</v>
      </c>
      <c r="B26" s="36">
        <f>IF(N(C26)=0,"",1)</f>
        <v>1</v>
      </c>
      <c r="C26" s="54">
        <v>630</v>
      </c>
      <c r="D26" s="44">
        <v>24</v>
      </c>
      <c r="E26" s="24">
        <f t="shared" ref="E26:E89" si="3">IF($K$3=0,0,IF(ISNA(VLOOKUP(C26,H$26:I$115,2,))*C26,D26,IF(C26="","",IF(D26="",TRUNC($C$3/C26)-VLOOKUP(C26,H$26:I$115,2,),D26-VLOOKUP(C26,H$26:I$115,2,)))))</f>
        <v>24</v>
      </c>
      <c r="F26" s="24">
        <f t="shared" ref="F26:F89" si="4">IF($K$3=0,"",IF(AND(C26&lt;&gt;"",D26&lt;&gt;""),D26-E26,IF(D26="","",TRUNC($C$3/C26)-VLOOKUP(C26,H$26:I$115,2,))))</f>
        <v>0</v>
      </c>
      <c r="G26" s="47">
        <f>--(C26+H26+K26&gt;0)</f>
        <v>1</v>
      </c>
      <c r="H26" s="51"/>
      <c r="I26" s="18"/>
      <c r="J26" s="15"/>
      <c r="K26"/>
      <c r="L26"/>
      <c r="M26"/>
      <c r="N26"/>
      <c r="O26"/>
      <c r="P26" s="15"/>
    </row>
    <row r="27" spans="1:16" x14ac:dyDescent="0.25">
      <c r="A27" s="17">
        <v>3</v>
      </c>
      <c r="B27" s="34">
        <f>IF(N(C27)=0,"",IF(ISNUMBER(MATCH(C27,C$26:C26,)),INDEX(B$26:B26,MATCH(C27,C$26:C26,)),MAX(B$26:B26)+1))</f>
        <v>2</v>
      </c>
      <c r="C27" s="55">
        <v>680</v>
      </c>
      <c r="D27" s="7">
        <v>14</v>
      </c>
      <c r="E27" s="25">
        <f t="shared" si="3"/>
        <v>14</v>
      </c>
      <c r="F27" s="25">
        <f t="shared" si="4"/>
        <v>0</v>
      </c>
      <c r="G27" s="47">
        <f t="shared" ref="G27:G90" si="5">--(C27+H27+K27&gt;0)</f>
        <v>1</v>
      </c>
      <c r="H27" s="52"/>
      <c r="I27" s="19"/>
      <c r="J27" s="15"/>
      <c r="K27"/>
      <c r="L27"/>
      <c r="M27"/>
      <c r="N27"/>
      <c r="O27"/>
      <c r="P27" s="15"/>
    </row>
    <row r="28" spans="1:16" x14ac:dyDescent="0.25">
      <c r="A28" s="17">
        <v>4</v>
      </c>
      <c r="B28" s="34">
        <f>IF(N(C28)=0,"",IF(ISNUMBER(MATCH(C28,C$26:C27,)),INDEX(B$26:B27,MATCH(C28,C$26:C27,)),MAX(B$26:B27)+1))</f>
        <v>3</v>
      </c>
      <c r="C28" s="55">
        <v>930</v>
      </c>
      <c r="D28" s="7">
        <v>24</v>
      </c>
      <c r="E28" s="25">
        <f t="shared" si="3"/>
        <v>24</v>
      </c>
      <c r="F28" s="25">
        <f t="shared" si="4"/>
        <v>0</v>
      </c>
      <c r="G28" s="47">
        <f t="shared" si="5"/>
        <v>1</v>
      </c>
      <c r="H28" s="52"/>
      <c r="I28" s="19"/>
      <c r="J28" s="15"/>
      <c r="K28"/>
      <c r="L28"/>
      <c r="M28"/>
      <c r="N28"/>
      <c r="O28"/>
      <c r="P28" s="15"/>
    </row>
    <row r="29" spans="1:16" x14ac:dyDescent="0.25">
      <c r="A29" s="17">
        <v>5</v>
      </c>
      <c r="B29" s="34">
        <f>IF(N(C29)=0,"",IF(ISNUMBER(MATCH(C29,C$26:C28,)),INDEX(B$26:B28,MATCH(C29,C$26:C28,)),MAX(B$26:B28)+1))</f>
        <v>4</v>
      </c>
      <c r="C29" s="55">
        <v>980</v>
      </c>
      <c r="D29" s="7">
        <v>6</v>
      </c>
      <c r="E29" s="25">
        <f t="shared" si="3"/>
        <v>6</v>
      </c>
      <c r="F29" s="25">
        <f t="shared" si="4"/>
        <v>0</v>
      </c>
      <c r="G29" s="47">
        <f t="shared" si="5"/>
        <v>1</v>
      </c>
      <c r="H29" s="52"/>
      <c r="I29" s="19"/>
      <c r="J29" s="15"/>
      <c r="K29"/>
      <c r="L29"/>
      <c r="M29"/>
      <c r="N29"/>
      <c r="O29"/>
      <c r="P29" s="15"/>
    </row>
    <row r="30" spans="1:16" x14ac:dyDescent="0.25">
      <c r="A30" s="17">
        <v>6</v>
      </c>
      <c r="B30" s="34">
        <f>IF(N(C30)=0,"",IF(ISNUMBER(MATCH(C30,C$26:C29,)),INDEX(B$26:B29,MATCH(C30,C$26:C29,)),MAX(B$26:B29)+1))</f>
        <v>5</v>
      </c>
      <c r="C30" s="55">
        <v>1040</v>
      </c>
      <c r="D30" s="7">
        <v>40</v>
      </c>
      <c r="E30" s="25">
        <f t="shared" si="3"/>
        <v>40</v>
      </c>
      <c r="F30" s="25">
        <f t="shared" si="4"/>
        <v>0</v>
      </c>
      <c r="G30" s="47">
        <f t="shared" si="5"/>
        <v>1</v>
      </c>
      <c r="H30" s="52"/>
      <c r="I30" s="19"/>
      <c r="J30" s="15"/>
      <c r="K30"/>
      <c r="L30"/>
      <c r="M30"/>
      <c r="N30"/>
      <c r="O30"/>
      <c r="P30" s="15"/>
    </row>
    <row r="31" spans="1:16" x14ac:dyDescent="0.25">
      <c r="A31" s="17">
        <v>7</v>
      </c>
      <c r="B31" s="34">
        <f>IF(N(C31)=0,"",IF(ISNUMBER(MATCH(C31,C$26:C30,)),INDEX(B$26:B30,MATCH(C31,C$26:C30,)),MAX(B$26:B30)+1))</f>
        <v>6</v>
      </c>
      <c r="C31" s="55">
        <v>1130</v>
      </c>
      <c r="D31" s="7">
        <v>34</v>
      </c>
      <c r="E31" s="25">
        <f t="shared" si="3"/>
        <v>34</v>
      </c>
      <c r="F31" s="25">
        <f t="shared" si="4"/>
        <v>0</v>
      </c>
      <c r="G31" s="47">
        <f t="shared" si="5"/>
        <v>1</v>
      </c>
      <c r="H31" s="52"/>
      <c r="I31" s="19"/>
      <c r="J31" s="15"/>
      <c r="K31"/>
      <c r="L31"/>
      <c r="M31"/>
      <c r="N31"/>
      <c r="O31"/>
      <c r="P31" s="15"/>
    </row>
    <row r="32" spans="1:16" x14ac:dyDescent="0.25">
      <c r="A32" s="17">
        <v>8</v>
      </c>
      <c r="B32" s="34">
        <f>IF(N(C32)=0,"",IF(ISNUMBER(MATCH(C32,C$26:C31,)),INDEX(B$26:B31,MATCH(C32,C$26:C31,)),MAX(B$26:B31)+1))</f>
        <v>7</v>
      </c>
      <c r="C32" s="55">
        <v>1280</v>
      </c>
      <c r="D32" s="7">
        <v>48</v>
      </c>
      <c r="E32" s="25">
        <f t="shared" si="3"/>
        <v>48</v>
      </c>
      <c r="F32" s="25">
        <f t="shared" si="4"/>
        <v>0</v>
      </c>
      <c r="G32" s="47">
        <f t="shared" si="5"/>
        <v>1</v>
      </c>
      <c r="H32" s="52"/>
      <c r="I32" s="19"/>
      <c r="J32" s="15"/>
      <c r="K32"/>
      <c r="L32"/>
      <c r="M32"/>
      <c r="N32"/>
      <c r="O32"/>
      <c r="P32" s="15"/>
    </row>
    <row r="33" spans="1:16" x14ac:dyDescent="0.25">
      <c r="A33" s="17">
        <v>16</v>
      </c>
      <c r="B33" s="34">
        <f>IF(N(C33)=0,"",IF(ISNUMBER(MATCH(C33,C$26:C32,)),INDEX(B$26:B32,MATCH(C33,C$26:C32,)),MAX(B$26:B32)+1))</f>
        <v>8</v>
      </c>
      <c r="C33" s="55">
        <v>1305</v>
      </c>
      <c r="D33" s="7">
        <v>80</v>
      </c>
      <c r="E33" s="25">
        <f t="shared" si="3"/>
        <v>80</v>
      </c>
      <c r="F33" s="25">
        <f t="shared" si="4"/>
        <v>0</v>
      </c>
      <c r="G33" s="47">
        <f t="shared" si="5"/>
        <v>1</v>
      </c>
      <c r="H33" s="52"/>
      <c r="I33" s="19"/>
      <c r="J33" s="15"/>
      <c r="K33"/>
      <c r="L33"/>
      <c r="M33"/>
      <c r="N33"/>
      <c r="O33"/>
      <c r="P33" s="15"/>
    </row>
    <row r="34" spans="1:16" x14ac:dyDescent="0.25">
      <c r="A34" s="17">
        <v>17</v>
      </c>
      <c r="B34" s="34">
        <f>IF(N(C34)=0,"",IF(ISNUMBER(MATCH(C34,C$26:C33,)),INDEX(B$26:B33,MATCH(C34,C$26:C33,)),MAX(B$26:B33)+1))</f>
        <v>9</v>
      </c>
      <c r="C34" s="55">
        <v>1480</v>
      </c>
      <c r="D34" s="7">
        <v>56</v>
      </c>
      <c r="E34" s="25">
        <f t="shared" si="3"/>
        <v>56</v>
      </c>
      <c r="F34" s="25">
        <f t="shared" si="4"/>
        <v>0</v>
      </c>
      <c r="G34" s="47">
        <f t="shared" si="5"/>
        <v>1</v>
      </c>
      <c r="H34" s="52"/>
      <c r="I34" s="19"/>
      <c r="J34" s="15"/>
      <c r="K34"/>
      <c r="L34"/>
      <c r="M34"/>
      <c r="N34"/>
      <c r="O34"/>
      <c r="P34" s="15"/>
    </row>
    <row r="35" spans="1:16" x14ac:dyDescent="0.25">
      <c r="A35" s="17">
        <v>18</v>
      </c>
      <c r="B35" s="34">
        <f>IF(N(C35)=0,"",IF(ISNUMBER(MATCH(C35,C$26:C34,)),INDEX(B$26:B34,MATCH(C35,C$26:C34,)),MAX(B$26:B34)+1))</f>
        <v>10</v>
      </c>
      <c r="C35" s="55">
        <v>1705</v>
      </c>
      <c r="D35" s="7">
        <v>4</v>
      </c>
      <c r="E35" s="25">
        <f t="shared" si="3"/>
        <v>4</v>
      </c>
      <c r="F35" s="25">
        <f t="shared" si="4"/>
        <v>0</v>
      </c>
      <c r="G35" s="47">
        <f t="shared" si="5"/>
        <v>1</v>
      </c>
      <c r="H35" s="52"/>
      <c r="I35" s="19"/>
      <c r="J35" s="15"/>
      <c r="K35"/>
      <c r="L35"/>
      <c r="M35"/>
      <c r="N35"/>
      <c r="O35"/>
      <c r="P35" s="15"/>
    </row>
    <row r="36" spans="1:16" x14ac:dyDescent="0.25">
      <c r="A36" s="17">
        <v>19</v>
      </c>
      <c r="B36" s="34" t="str">
        <f>IF(N(C36)=0,"",IF(ISNUMBER(MATCH(C36,C$26:C35,)),INDEX(B$26:B35,MATCH(C36,C$26:C35,)),MAX(B$26:B35)+1))</f>
        <v/>
      </c>
      <c r="C36" s="55"/>
      <c r="D36" s="7"/>
      <c r="E36" s="25" t="str">
        <f t="shared" si="3"/>
        <v/>
      </c>
      <c r="F36" s="25" t="str">
        <f t="shared" si="4"/>
        <v/>
      </c>
      <c r="G36" s="47">
        <f t="shared" si="5"/>
        <v>0</v>
      </c>
      <c r="H36" s="52"/>
      <c r="I36" s="19"/>
      <c r="J36" s="15"/>
      <c r="K36"/>
      <c r="L36"/>
      <c r="M36"/>
      <c r="N36"/>
      <c r="O36"/>
      <c r="P36" s="15"/>
    </row>
    <row r="37" spans="1:16" x14ac:dyDescent="0.25">
      <c r="A37" s="17">
        <v>20</v>
      </c>
      <c r="B37" s="34" t="str">
        <f>IF(N(C37)=0,"",IF(ISNUMBER(MATCH(C37,C$26:C36,)),INDEX(B$26:B36,MATCH(C37,C$26:C36,)),MAX(B$26:B36)+1))</f>
        <v/>
      </c>
      <c r="C37" s="55"/>
      <c r="D37" s="7"/>
      <c r="E37" s="25" t="str">
        <f t="shared" si="3"/>
        <v/>
      </c>
      <c r="F37" s="25" t="str">
        <f t="shared" si="4"/>
        <v/>
      </c>
      <c r="G37" s="47">
        <f t="shared" si="5"/>
        <v>0</v>
      </c>
      <c r="H37" s="52"/>
      <c r="I37" s="19"/>
      <c r="J37" s="15"/>
      <c r="K37"/>
      <c r="L37"/>
      <c r="M37"/>
      <c r="N37"/>
      <c r="O37"/>
      <c r="P37" s="15"/>
    </row>
    <row r="38" spans="1:16" x14ac:dyDescent="0.25">
      <c r="A38" s="17">
        <v>21</v>
      </c>
      <c r="B38" s="34" t="str">
        <f>IF(N(C38)=0,"",IF(ISNUMBER(MATCH(C38,C$26:C37,)),INDEX(B$26:B37,MATCH(C38,C$26:C37,)),MAX(B$26:B37)+1))</f>
        <v/>
      </c>
      <c r="C38" s="55"/>
      <c r="D38" s="7"/>
      <c r="E38" s="25" t="str">
        <f t="shared" si="3"/>
        <v/>
      </c>
      <c r="F38" s="25" t="str">
        <f t="shared" si="4"/>
        <v/>
      </c>
      <c r="G38" s="47">
        <f t="shared" si="5"/>
        <v>0</v>
      </c>
      <c r="H38" s="52"/>
      <c r="I38" s="19"/>
      <c r="J38" s="15"/>
      <c r="K38"/>
      <c r="L38"/>
      <c r="M38"/>
      <c r="N38"/>
      <c r="O38"/>
      <c r="P38" s="15"/>
    </row>
    <row r="39" spans="1:16" x14ac:dyDescent="0.25">
      <c r="A39" s="17">
        <v>22</v>
      </c>
      <c r="B39" s="34" t="str">
        <f>IF(N(C39)=0,"",IF(ISNUMBER(MATCH(C39,C$26:C38,)),INDEX(B$26:B38,MATCH(C39,C$26:C38,)),MAX(B$26:B38)+1))</f>
        <v/>
      </c>
      <c r="C39" s="55"/>
      <c r="D39" s="7"/>
      <c r="E39" s="25" t="str">
        <f t="shared" si="3"/>
        <v/>
      </c>
      <c r="F39" s="25" t="str">
        <f t="shared" si="4"/>
        <v/>
      </c>
      <c r="G39" s="47">
        <f t="shared" si="5"/>
        <v>0</v>
      </c>
      <c r="H39" s="52"/>
      <c r="I39" s="19"/>
      <c r="J39" s="15"/>
      <c r="K39"/>
      <c r="L39"/>
      <c r="M39"/>
      <c r="N39"/>
      <c r="O39"/>
      <c r="P39" s="15"/>
    </row>
    <row r="40" spans="1:16" x14ac:dyDescent="0.25">
      <c r="A40" s="17">
        <v>23</v>
      </c>
      <c r="B40" s="34" t="str">
        <f>IF(N(C40)=0,"",IF(ISNUMBER(MATCH(C40,C$26:C39,)),INDEX(B$26:B39,MATCH(C40,C$26:C39,)),MAX(B$26:B39)+1))</f>
        <v/>
      </c>
      <c r="C40" s="55"/>
      <c r="D40" s="7"/>
      <c r="E40" s="25" t="str">
        <f t="shared" si="3"/>
        <v/>
      </c>
      <c r="F40" s="25" t="str">
        <f t="shared" si="4"/>
        <v/>
      </c>
      <c r="G40" s="47">
        <f t="shared" si="5"/>
        <v>0</v>
      </c>
      <c r="H40" s="52"/>
      <c r="I40" s="19"/>
      <c r="J40" s="15"/>
      <c r="K40"/>
      <c r="L40"/>
      <c r="M40"/>
      <c r="N40"/>
      <c r="O40"/>
      <c r="P40" s="15"/>
    </row>
    <row r="41" spans="1:16" x14ac:dyDescent="0.25">
      <c r="A41" s="17">
        <v>24</v>
      </c>
      <c r="B41" s="34" t="str">
        <f>IF(N(C41)=0,"",IF(ISNUMBER(MATCH(C41,C$26:C40,)),INDEX(B$26:B40,MATCH(C41,C$26:C40,)),MAX(B$26:B40)+1))</f>
        <v/>
      </c>
      <c r="C41" s="55"/>
      <c r="D41" s="7"/>
      <c r="E41" s="25" t="str">
        <f t="shared" si="3"/>
        <v/>
      </c>
      <c r="F41" s="25" t="str">
        <f t="shared" si="4"/>
        <v/>
      </c>
      <c r="G41" s="47">
        <f t="shared" si="5"/>
        <v>0</v>
      </c>
      <c r="H41" s="52"/>
      <c r="I41" s="19"/>
      <c r="J41" s="15"/>
      <c r="K41"/>
      <c r="L41"/>
      <c r="M41"/>
      <c r="N41"/>
      <c r="O41"/>
      <c r="P41" s="15"/>
    </row>
    <row r="42" spans="1:16" x14ac:dyDescent="0.25">
      <c r="A42" s="17">
        <v>25</v>
      </c>
      <c r="B42" s="34" t="str">
        <f>IF(N(C42)=0,"",IF(ISNUMBER(MATCH(C42,C$26:C41,)),INDEX(B$26:B41,MATCH(C42,C$26:C41,)),MAX(B$26:B41)+1))</f>
        <v/>
      </c>
      <c r="C42" s="55"/>
      <c r="D42" s="7"/>
      <c r="E42" s="25" t="str">
        <f t="shared" si="3"/>
        <v/>
      </c>
      <c r="F42" s="25" t="str">
        <f t="shared" si="4"/>
        <v/>
      </c>
      <c r="G42" s="47">
        <f t="shared" si="5"/>
        <v>0</v>
      </c>
      <c r="H42" s="52"/>
      <c r="I42" s="19"/>
      <c r="J42" s="15"/>
      <c r="K42"/>
      <c r="L42"/>
      <c r="M42"/>
      <c r="N42"/>
      <c r="O42"/>
      <c r="P42" s="15"/>
    </row>
    <row r="43" spans="1:16" x14ac:dyDescent="0.25">
      <c r="A43" s="17">
        <v>26</v>
      </c>
      <c r="B43" s="34" t="str">
        <f>IF(N(C43)=0,"",IF(ISNUMBER(MATCH(C43,C$26:C42,)),INDEX(B$26:B42,MATCH(C43,C$26:C42,)),MAX(B$26:B42)+1))</f>
        <v/>
      </c>
      <c r="C43" s="55"/>
      <c r="D43" s="7"/>
      <c r="E43" s="25" t="str">
        <f t="shared" si="3"/>
        <v/>
      </c>
      <c r="F43" s="25" t="str">
        <f t="shared" si="4"/>
        <v/>
      </c>
      <c r="G43" s="47">
        <f t="shared" si="5"/>
        <v>0</v>
      </c>
      <c r="H43" s="52"/>
      <c r="I43" s="19"/>
      <c r="J43" s="15"/>
      <c r="K43"/>
      <c r="L43"/>
      <c r="M43"/>
      <c r="N43"/>
      <c r="O43"/>
      <c r="P43" s="15"/>
    </row>
    <row r="44" spans="1:16" x14ac:dyDescent="0.25">
      <c r="A44" s="17">
        <v>27</v>
      </c>
      <c r="B44" s="34" t="str">
        <f>IF(N(C44)=0,"",IF(ISNUMBER(MATCH(C44,C$26:C43,)),INDEX(B$26:B43,MATCH(C44,C$26:C43,)),MAX(B$26:B43)+1))</f>
        <v/>
      </c>
      <c r="C44" s="55"/>
      <c r="D44" s="7"/>
      <c r="E44" s="25" t="str">
        <f t="shared" si="3"/>
        <v/>
      </c>
      <c r="F44" s="25" t="str">
        <f t="shared" si="4"/>
        <v/>
      </c>
      <c r="G44" s="47">
        <f t="shared" si="5"/>
        <v>0</v>
      </c>
      <c r="H44" s="52"/>
      <c r="I44" s="19"/>
      <c r="J44" s="15"/>
      <c r="K44"/>
      <c r="L44"/>
      <c r="M44"/>
      <c r="N44"/>
      <c r="O44"/>
      <c r="P44" s="15"/>
    </row>
    <row r="45" spans="1:16" x14ac:dyDescent="0.25">
      <c r="A45" s="17">
        <v>28</v>
      </c>
      <c r="B45" s="34" t="str">
        <f>IF(N(C45)=0,"",IF(ISNUMBER(MATCH(C45,C$26:C44,)),INDEX(B$26:B44,MATCH(C45,C$26:C44,)),MAX(B$26:B44)+1))</f>
        <v/>
      </c>
      <c r="C45" s="55"/>
      <c r="D45" s="7"/>
      <c r="E45" s="25" t="str">
        <f t="shared" si="3"/>
        <v/>
      </c>
      <c r="F45" s="25" t="str">
        <f t="shared" si="4"/>
        <v/>
      </c>
      <c r="G45" s="47">
        <f t="shared" si="5"/>
        <v>0</v>
      </c>
      <c r="H45" s="52"/>
      <c r="I45" s="19"/>
      <c r="J45" s="15"/>
      <c r="K45"/>
      <c r="L45"/>
      <c r="M45"/>
      <c r="N45"/>
      <c r="O45"/>
      <c r="P45" s="15"/>
    </row>
    <row r="46" spans="1:16" x14ac:dyDescent="0.25">
      <c r="A46" s="17">
        <v>29</v>
      </c>
      <c r="B46" s="34" t="str">
        <f>IF(N(C46)=0,"",IF(ISNUMBER(MATCH(C46,C$26:C45,)),INDEX(B$26:B45,MATCH(C46,C$26:C45,)),MAX(B$26:B45)+1))</f>
        <v/>
      </c>
      <c r="C46" s="55"/>
      <c r="D46" s="7"/>
      <c r="E46" s="25" t="str">
        <f t="shared" si="3"/>
        <v/>
      </c>
      <c r="F46" s="25" t="str">
        <f t="shared" si="4"/>
        <v/>
      </c>
      <c r="G46" s="47">
        <f t="shared" si="5"/>
        <v>0</v>
      </c>
      <c r="H46" s="52"/>
      <c r="I46" s="19"/>
      <c r="J46" s="15"/>
      <c r="K46"/>
      <c r="L46"/>
      <c r="M46"/>
      <c r="N46"/>
      <c r="O46"/>
      <c r="P46" s="15"/>
    </row>
    <row r="47" spans="1:16" x14ac:dyDescent="0.25">
      <c r="A47" s="17">
        <v>30</v>
      </c>
      <c r="B47" s="34" t="str">
        <f>IF(N(C47)=0,"",IF(ISNUMBER(MATCH(C47,C$26:C46,)),INDEX(B$26:B46,MATCH(C47,C$26:C46,)),MAX(B$26:B46)+1))</f>
        <v/>
      </c>
      <c r="C47" s="55"/>
      <c r="D47" s="7"/>
      <c r="E47" s="25" t="str">
        <f t="shared" si="3"/>
        <v/>
      </c>
      <c r="F47" s="25" t="str">
        <f t="shared" si="4"/>
        <v/>
      </c>
      <c r="G47" s="47">
        <f t="shared" si="5"/>
        <v>0</v>
      </c>
      <c r="H47" s="52"/>
      <c r="I47" s="19"/>
      <c r="J47" s="15"/>
      <c r="K47"/>
      <c r="L47"/>
      <c r="M47"/>
      <c r="N47"/>
      <c r="O47"/>
      <c r="P47" s="15"/>
    </row>
    <row r="48" spans="1:16" x14ac:dyDescent="0.25">
      <c r="A48" s="17">
        <v>31</v>
      </c>
      <c r="B48" s="34" t="str">
        <f>IF(N(C48)=0,"",IF(ISNUMBER(MATCH(C48,C$26:C47,)),INDEX(B$26:B47,MATCH(C48,C$26:C47,)),MAX(B$26:B47)+1))</f>
        <v/>
      </c>
      <c r="C48" s="55"/>
      <c r="D48" s="7"/>
      <c r="E48" s="25" t="str">
        <f t="shared" si="3"/>
        <v/>
      </c>
      <c r="F48" s="25" t="str">
        <f t="shared" si="4"/>
        <v/>
      </c>
      <c r="G48" s="47">
        <f t="shared" si="5"/>
        <v>0</v>
      </c>
      <c r="H48" s="52"/>
      <c r="I48" s="19"/>
      <c r="J48" s="15"/>
      <c r="K48"/>
      <c r="L48"/>
      <c r="M48"/>
      <c r="N48"/>
      <c r="O48"/>
      <c r="P48" s="15"/>
    </row>
    <row r="49" spans="1:16" x14ac:dyDescent="0.25">
      <c r="A49" s="17">
        <v>32</v>
      </c>
      <c r="B49" s="34" t="str">
        <f>IF(N(C49)=0,"",IF(ISNUMBER(MATCH(C49,C$26:C48,)),INDEX(B$26:B48,MATCH(C49,C$26:C48,)),MAX(B$26:B48)+1))</f>
        <v/>
      </c>
      <c r="C49" s="55"/>
      <c r="D49" s="7"/>
      <c r="E49" s="25" t="str">
        <f t="shared" si="3"/>
        <v/>
      </c>
      <c r="F49" s="25" t="str">
        <f t="shared" si="4"/>
        <v/>
      </c>
      <c r="G49" s="47">
        <f t="shared" si="5"/>
        <v>0</v>
      </c>
      <c r="H49" s="52"/>
      <c r="I49" s="19"/>
      <c r="J49" s="15"/>
      <c r="K49"/>
      <c r="L49"/>
      <c r="M49"/>
      <c r="N49"/>
      <c r="O49"/>
      <c r="P49" s="15"/>
    </row>
    <row r="50" spans="1:16" x14ac:dyDescent="0.25">
      <c r="A50" s="17">
        <v>33</v>
      </c>
      <c r="B50" s="34" t="str">
        <f>IF(N(C50)=0,"",IF(ISNUMBER(MATCH(C50,C$26:C49,)),INDEX(B$26:B49,MATCH(C50,C$26:C49,)),MAX(B$26:B49)+1))</f>
        <v/>
      </c>
      <c r="C50" s="55"/>
      <c r="D50" s="7"/>
      <c r="E50" s="25" t="str">
        <f t="shared" si="3"/>
        <v/>
      </c>
      <c r="F50" s="25" t="str">
        <f t="shared" si="4"/>
        <v/>
      </c>
      <c r="G50" s="47">
        <f t="shared" si="5"/>
        <v>0</v>
      </c>
      <c r="H50" s="52"/>
      <c r="I50" s="19"/>
      <c r="J50" s="15"/>
      <c r="K50"/>
      <c r="L50"/>
      <c r="M50"/>
      <c r="N50"/>
      <c r="O50"/>
      <c r="P50" s="15"/>
    </row>
    <row r="51" spans="1:16" x14ac:dyDescent="0.25">
      <c r="A51" s="17">
        <v>34</v>
      </c>
      <c r="B51" s="34" t="str">
        <f>IF(N(C51)=0,"",IF(ISNUMBER(MATCH(C51,C$26:C50,)),INDEX(B$26:B50,MATCH(C51,C$26:C50,)),MAX(B$26:B50)+1))</f>
        <v/>
      </c>
      <c r="C51" s="55"/>
      <c r="D51" s="7"/>
      <c r="E51" s="25" t="str">
        <f t="shared" si="3"/>
        <v/>
      </c>
      <c r="F51" s="25" t="str">
        <f t="shared" si="4"/>
        <v/>
      </c>
      <c r="G51" s="47">
        <f t="shared" si="5"/>
        <v>0</v>
      </c>
      <c r="H51" s="52"/>
      <c r="I51" s="19"/>
      <c r="J51" s="15"/>
      <c r="K51"/>
      <c r="L51"/>
      <c r="M51"/>
      <c r="N51"/>
      <c r="O51"/>
      <c r="P51" s="15"/>
    </row>
    <row r="52" spans="1:16" x14ac:dyDescent="0.25">
      <c r="A52" s="17">
        <v>35</v>
      </c>
      <c r="B52" s="34" t="str">
        <f>IF(N(C52)=0,"",IF(ISNUMBER(MATCH(C52,C$26:C51,)),INDEX(B$26:B51,MATCH(C52,C$26:C51,)),MAX(B$26:B51)+1))</f>
        <v/>
      </c>
      <c r="C52" s="55"/>
      <c r="D52" s="7"/>
      <c r="E52" s="25" t="str">
        <f t="shared" si="3"/>
        <v/>
      </c>
      <c r="F52" s="25" t="str">
        <f t="shared" si="4"/>
        <v/>
      </c>
      <c r="G52" s="47">
        <f t="shared" si="5"/>
        <v>0</v>
      </c>
      <c r="H52" s="52"/>
      <c r="I52" s="19"/>
      <c r="J52" s="15"/>
      <c r="K52"/>
      <c r="L52"/>
      <c r="M52"/>
      <c r="N52"/>
      <c r="O52"/>
      <c r="P52" s="15"/>
    </row>
    <row r="53" spans="1:16" x14ac:dyDescent="0.25">
      <c r="A53" s="17">
        <v>36</v>
      </c>
      <c r="B53" s="34" t="str">
        <f>IF(N(C53)=0,"",IF(ISNUMBER(MATCH(C53,C$26:C52,)),INDEX(B$26:B52,MATCH(C53,C$26:C52,)),MAX(B$26:B52)+1))</f>
        <v/>
      </c>
      <c r="C53" s="55"/>
      <c r="D53" s="7"/>
      <c r="E53" s="25" t="str">
        <f t="shared" si="3"/>
        <v/>
      </c>
      <c r="F53" s="25" t="str">
        <f t="shared" si="4"/>
        <v/>
      </c>
      <c r="G53" s="47">
        <f t="shared" si="5"/>
        <v>0</v>
      </c>
      <c r="H53" s="52"/>
      <c r="I53" s="19"/>
      <c r="J53" s="15"/>
      <c r="K53"/>
      <c r="L53"/>
      <c r="M53"/>
      <c r="N53"/>
      <c r="O53"/>
      <c r="P53" s="15"/>
    </row>
    <row r="54" spans="1:16" x14ac:dyDescent="0.25">
      <c r="A54" s="17">
        <v>37</v>
      </c>
      <c r="B54" s="34" t="str">
        <f>IF(N(C54)=0,"",IF(ISNUMBER(MATCH(C54,C$26:C53,)),INDEX(B$26:B53,MATCH(C54,C$26:C53,)),MAX(B$26:B53)+1))</f>
        <v/>
      </c>
      <c r="C54" s="55"/>
      <c r="D54" s="7"/>
      <c r="E54" s="25" t="str">
        <f t="shared" si="3"/>
        <v/>
      </c>
      <c r="F54" s="25" t="str">
        <f t="shared" si="4"/>
        <v/>
      </c>
      <c r="G54" s="47">
        <f t="shared" si="5"/>
        <v>0</v>
      </c>
      <c r="H54" s="52"/>
      <c r="I54" s="19"/>
      <c r="J54" s="15"/>
      <c r="K54"/>
      <c r="L54"/>
      <c r="M54"/>
      <c r="N54"/>
      <c r="O54"/>
      <c r="P54" s="15"/>
    </row>
    <row r="55" spans="1:16" x14ac:dyDescent="0.25">
      <c r="A55" s="17">
        <v>38</v>
      </c>
      <c r="B55" s="34" t="str">
        <f>IF(N(C55)=0,"",IF(ISNUMBER(MATCH(C55,C$26:C54,)),INDEX(B$26:B54,MATCH(C55,C$26:C54,)),MAX(B$26:B54)+1))</f>
        <v/>
      </c>
      <c r="C55" s="55"/>
      <c r="D55" s="7"/>
      <c r="E55" s="25" t="str">
        <f t="shared" si="3"/>
        <v/>
      </c>
      <c r="F55" s="25" t="str">
        <f t="shared" si="4"/>
        <v/>
      </c>
      <c r="G55" s="47">
        <f t="shared" si="5"/>
        <v>0</v>
      </c>
      <c r="H55" s="52"/>
      <c r="I55" s="19"/>
      <c r="J55" s="15"/>
      <c r="K55"/>
      <c r="L55"/>
      <c r="M55"/>
      <c r="N55"/>
      <c r="O55"/>
      <c r="P55" s="15"/>
    </row>
    <row r="56" spans="1:16" x14ac:dyDescent="0.25">
      <c r="A56" s="17">
        <v>39</v>
      </c>
      <c r="B56" s="34" t="str">
        <f>IF(N(C56)=0,"",IF(ISNUMBER(MATCH(C56,C$26:C55,)),INDEX(B$26:B55,MATCH(C56,C$26:C55,)),MAX(B$26:B55)+1))</f>
        <v/>
      </c>
      <c r="C56" s="55"/>
      <c r="D56" s="7"/>
      <c r="E56" s="25" t="str">
        <f t="shared" si="3"/>
        <v/>
      </c>
      <c r="F56" s="25" t="str">
        <f t="shared" si="4"/>
        <v/>
      </c>
      <c r="G56" s="47">
        <f t="shared" si="5"/>
        <v>0</v>
      </c>
      <c r="H56" s="52"/>
      <c r="I56" s="19"/>
      <c r="J56" s="15"/>
      <c r="K56"/>
      <c r="L56"/>
      <c r="M56"/>
      <c r="N56"/>
      <c r="O56"/>
      <c r="P56" s="15"/>
    </row>
    <row r="57" spans="1:16" x14ac:dyDescent="0.25">
      <c r="A57" s="17">
        <v>40</v>
      </c>
      <c r="B57" s="34" t="str">
        <f>IF(N(C57)=0,"",IF(ISNUMBER(MATCH(C57,C$26:C56,)),INDEX(B$26:B56,MATCH(C57,C$26:C56,)),MAX(B$26:B56)+1))</f>
        <v/>
      </c>
      <c r="C57" s="55"/>
      <c r="D57" s="7"/>
      <c r="E57" s="25" t="str">
        <f t="shared" si="3"/>
        <v/>
      </c>
      <c r="F57" s="25" t="str">
        <f t="shared" si="4"/>
        <v/>
      </c>
      <c r="G57" s="47">
        <f t="shared" si="5"/>
        <v>0</v>
      </c>
      <c r="H57" s="52"/>
      <c r="I57" s="19"/>
      <c r="J57" s="15"/>
      <c r="K57"/>
      <c r="L57"/>
      <c r="M57"/>
      <c r="N57"/>
      <c r="O57"/>
      <c r="P57" s="15"/>
    </row>
    <row r="58" spans="1:16" x14ac:dyDescent="0.25">
      <c r="A58" s="17">
        <v>41</v>
      </c>
      <c r="B58" s="34" t="str">
        <f>IF(N(C58)=0,"",IF(ISNUMBER(MATCH(C58,C$26:C57,)),INDEX(B$26:B57,MATCH(C58,C$26:C57,)),MAX(B$26:B57)+1))</f>
        <v/>
      </c>
      <c r="C58" s="55"/>
      <c r="D58" s="7"/>
      <c r="E58" s="25" t="str">
        <f t="shared" si="3"/>
        <v/>
      </c>
      <c r="F58" s="25" t="str">
        <f t="shared" si="4"/>
        <v/>
      </c>
      <c r="G58" s="47">
        <f t="shared" si="5"/>
        <v>0</v>
      </c>
      <c r="H58" s="52"/>
      <c r="I58" s="19"/>
      <c r="J58" s="15"/>
      <c r="K58"/>
      <c r="L58"/>
      <c r="M58"/>
      <c r="N58"/>
      <c r="O58"/>
      <c r="P58" s="15"/>
    </row>
    <row r="59" spans="1:16" x14ac:dyDescent="0.25">
      <c r="A59" s="17">
        <v>42</v>
      </c>
      <c r="B59" s="34" t="str">
        <f>IF(N(C59)=0,"",IF(ISNUMBER(MATCH(C59,C$26:C58,)),INDEX(B$26:B58,MATCH(C59,C$26:C58,)),MAX(B$26:B58)+1))</f>
        <v/>
      </c>
      <c r="C59" s="55"/>
      <c r="D59" s="7"/>
      <c r="E59" s="25" t="str">
        <f t="shared" si="3"/>
        <v/>
      </c>
      <c r="F59" s="25" t="str">
        <f t="shared" si="4"/>
        <v/>
      </c>
      <c r="G59" s="47">
        <f t="shared" si="5"/>
        <v>0</v>
      </c>
      <c r="H59" s="52"/>
      <c r="I59" s="19"/>
      <c r="J59" s="15"/>
      <c r="K59"/>
      <c r="L59"/>
      <c r="M59"/>
      <c r="N59"/>
      <c r="O59"/>
      <c r="P59" s="15"/>
    </row>
    <row r="60" spans="1:16" x14ac:dyDescent="0.25">
      <c r="A60" s="17">
        <v>43</v>
      </c>
      <c r="B60" s="34" t="str">
        <f>IF(N(C60)=0,"",IF(ISNUMBER(MATCH(C60,C$26:C59,)),INDEX(B$26:B59,MATCH(C60,C$26:C59,)),MAX(B$26:B59)+1))</f>
        <v/>
      </c>
      <c r="C60" s="55"/>
      <c r="D60" s="7"/>
      <c r="E60" s="25" t="str">
        <f t="shared" si="3"/>
        <v/>
      </c>
      <c r="F60" s="25" t="str">
        <f t="shared" si="4"/>
        <v/>
      </c>
      <c r="G60" s="47">
        <f t="shared" si="5"/>
        <v>0</v>
      </c>
      <c r="H60" s="52"/>
      <c r="I60" s="19"/>
      <c r="J60" s="15"/>
      <c r="K60"/>
      <c r="L60"/>
      <c r="M60"/>
      <c r="N60"/>
      <c r="O60"/>
      <c r="P60" s="15"/>
    </row>
    <row r="61" spans="1:16" x14ac:dyDescent="0.25">
      <c r="A61" s="17">
        <v>44</v>
      </c>
      <c r="B61" s="34" t="str">
        <f>IF(N(C61)=0,"",IF(ISNUMBER(MATCH(C61,C$26:C60,)),INDEX(B$26:B60,MATCH(C61,C$26:C60,)),MAX(B$26:B60)+1))</f>
        <v/>
      </c>
      <c r="C61" s="55"/>
      <c r="D61" s="7"/>
      <c r="E61" s="25" t="str">
        <f t="shared" si="3"/>
        <v/>
      </c>
      <c r="F61" s="25" t="str">
        <f t="shared" si="4"/>
        <v/>
      </c>
      <c r="G61" s="47">
        <f t="shared" si="5"/>
        <v>0</v>
      </c>
      <c r="H61" s="52"/>
      <c r="I61" s="19"/>
      <c r="J61" s="15"/>
      <c r="K61"/>
      <c r="L61"/>
      <c r="M61"/>
      <c r="N61"/>
      <c r="O61"/>
      <c r="P61" s="15"/>
    </row>
    <row r="62" spans="1:16" x14ac:dyDescent="0.25">
      <c r="A62" s="17">
        <v>45</v>
      </c>
      <c r="B62" s="34" t="str">
        <f>IF(N(C62)=0,"",IF(ISNUMBER(MATCH(C62,C$26:C61,)),INDEX(B$26:B61,MATCH(C62,C$26:C61,)),MAX(B$26:B61)+1))</f>
        <v/>
      </c>
      <c r="C62" s="55"/>
      <c r="D62" s="7"/>
      <c r="E62" s="25" t="str">
        <f t="shared" si="3"/>
        <v/>
      </c>
      <c r="F62" s="25" t="str">
        <f t="shared" si="4"/>
        <v/>
      </c>
      <c r="G62" s="47">
        <f t="shared" si="5"/>
        <v>0</v>
      </c>
      <c r="H62" s="52"/>
      <c r="I62" s="19"/>
      <c r="J62" s="15"/>
      <c r="K62"/>
      <c r="L62"/>
      <c r="M62"/>
      <c r="N62"/>
      <c r="O62"/>
      <c r="P62" s="15"/>
    </row>
    <row r="63" spans="1:16" x14ac:dyDescent="0.25">
      <c r="A63" s="17">
        <v>46</v>
      </c>
      <c r="B63" s="34" t="str">
        <f>IF(N(C63)=0,"",IF(ISNUMBER(MATCH(C63,C$26:C62,)),INDEX(B$26:B62,MATCH(C63,C$26:C62,)),MAX(B$26:B62)+1))</f>
        <v/>
      </c>
      <c r="C63" s="55"/>
      <c r="D63" s="7"/>
      <c r="E63" s="25" t="str">
        <f t="shared" si="3"/>
        <v/>
      </c>
      <c r="F63" s="25" t="str">
        <f t="shared" si="4"/>
        <v/>
      </c>
      <c r="G63" s="47">
        <f t="shared" si="5"/>
        <v>0</v>
      </c>
      <c r="H63" s="52"/>
      <c r="I63" s="19"/>
      <c r="J63" s="15"/>
      <c r="K63"/>
      <c r="L63"/>
      <c r="M63"/>
      <c r="N63"/>
      <c r="O63"/>
      <c r="P63" s="15"/>
    </row>
    <row r="64" spans="1:16" x14ac:dyDescent="0.25">
      <c r="A64" s="17">
        <v>47</v>
      </c>
      <c r="B64" s="34" t="str">
        <f>IF(N(C64)=0,"",IF(ISNUMBER(MATCH(C64,C$26:C63,)),INDEX(B$26:B63,MATCH(C64,C$26:C63,)),MAX(B$26:B63)+1))</f>
        <v/>
      </c>
      <c r="C64" s="55"/>
      <c r="D64" s="7"/>
      <c r="E64" s="25" t="str">
        <f t="shared" si="3"/>
        <v/>
      </c>
      <c r="F64" s="25" t="str">
        <f t="shared" si="4"/>
        <v/>
      </c>
      <c r="G64" s="47">
        <f t="shared" si="5"/>
        <v>0</v>
      </c>
      <c r="H64" s="52"/>
      <c r="I64" s="19"/>
      <c r="J64" s="15"/>
      <c r="K64"/>
      <c r="L64"/>
      <c r="M64"/>
      <c r="N64"/>
      <c r="O64"/>
      <c r="P64" s="15"/>
    </row>
    <row r="65" spans="1:16" x14ac:dyDescent="0.25">
      <c r="A65" s="17">
        <v>48</v>
      </c>
      <c r="B65" s="34" t="str">
        <f>IF(N(C65)=0,"",IF(ISNUMBER(MATCH(C65,C$26:C64,)),INDEX(B$26:B64,MATCH(C65,C$26:C64,)),MAX(B$26:B64)+1))</f>
        <v/>
      </c>
      <c r="C65" s="55"/>
      <c r="D65" s="7"/>
      <c r="E65" s="25" t="str">
        <f t="shared" si="3"/>
        <v/>
      </c>
      <c r="F65" s="25" t="str">
        <f t="shared" si="4"/>
        <v/>
      </c>
      <c r="G65" s="47">
        <f t="shared" si="5"/>
        <v>0</v>
      </c>
      <c r="H65" s="52"/>
      <c r="I65" s="19"/>
      <c r="J65" s="15"/>
      <c r="K65"/>
      <c r="L65"/>
      <c r="M65"/>
      <c r="N65"/>
      <c r="O65"/>
      <c r="P65" s="15"/>
    </row>
    <row r="66" spans="1:16" x14ac:dyDescent="0.25">
      <c r="A66" s="17">
        <v>49</v>
      </c>
      <c r="B66" s="34" t="str">
        <f>IF(N(C66)=0,"",IF(ISNUMBER(MATCH(C66,C$26:C65,)),INDEX(B$26:B65,MATCH(C66,C$26:C65,)),MAX(B$26:B65)+1))</f>
        <v/>
      </c>
      <c r="C66" s="55"/>
      <c r="D66" s="7"/>
      <c r="E66" s="25" t="str">
        <f t="shared" si="3"/>
        <v/>
      </c>
      <c r="F66" s="25" t="str">
        <f t="shared" si="4"/>
        <v/>
      </c>
      <c r="G66" s="47">
        <f t="shared" si="5"/>
        <v>0</v>
      </c>
      <c r="H66" s="52"/>
      <c r="I66" s="19"/>
      <c r="J66" s="15"/>
      <c r="K66"/>
      <c r="L66"/>
      <c r="M66"/>
      <c r="N66"/>
      <c r="O66"/>
      <c r="P66" s="15"/>
    </row>
    <row r="67" spans="1:16" x14ac:dyDescent="0.25">
      <c r="A67" s="17">
        <v>50</v>
      </c>
      <c r="B67" s="34" t="str">
        <f>IF(N(C67)=0,"",IF(ISNUMBER(MATCH(C67,C$26:C66,)),INDEX(B$26:B66,MATCH(C67,C$26:C66,)),MAX(B$26:B66)+1))</f>
        <v/>
      </c>
      <c r="C67" s="55"/>
      <c r="D67" s="7"/>
      <c r="E67" s="25" t="str">
        <f t="shared" si="3"/>
        <v/>
      </c>
      <c r="F67" s="25" t="str">
        <f t="shared" si="4"/>
        <v/>
      </c>
      <c r="G67" s="47">
        <f t="shared" si="5"/>
        <v>0</v>
      </c>
      <c r="H67" s="52"/>
      <c r="I67" s="19"/>
      <c r="J67" s="15"/>
      <c r="K67"/>
      <c r="L67"/>
      <c r="M67"/>
      <c r="N67"/>
      <c r="O67"/>
      <c r="P67" s="15"/>
    </row>
    <row r="68" spans="1:16" x14ac:dyDescent="0.25">
      <c r="A68" s="17">
        <v>51</v>
      </c>
      <c r="B68" s="34" t="str">
        <f>IF(N(C68)=0,"",IF(ISNUMBER(MATCH(C68,C$26:C67,)),INDEX(B$26:B67,MATCH(C68,C$26:C67,)),MAX(B$26:B67)+1))</f>
        <v/>
      </c>
      <c r="C68" s="55"/>
      <c r="D68" s="7"/>
      <c r="E68" s="25" t="str">
        <f t="shared" si="3"/>
        <v/>
      </c>
      <c r="F68" s="25" t="str">
        <f t="shared" si="4"/>
        <v/>
      </c>
      <c r="G68" s="47">
        <f t="shared" si="5"/>
        <v>0</v>
      </c>
      <c r="H68" s="52"/>
      <c r="I68" s="19"/>
      <c r="J68" s="15"/>
      <c r="K68"/>
      <c r="L68"/>
      <c r="M68"/>
      <c r="N68"/>
      <c r="O68"/>
      <c r="P68" s="15"/>
    </row>
    <row r="69" spans="1:16" x14ac:dyDescent="0.25">
      <c r="A69" s="17">
        <v>52</v>
      </c>
      <c r="B69" s="34" t="str">
        <f>IF(N(C69)=0,"",IF(ISNUMBER(MATCH(C69,C$26:C68,)),INDEX(B$26:B68,MATCH(C69,C$26:C68,)),MAX(B$26:B68)+1))</f>
        <v/>
      </c>
      <c r="C69" s="55"/>
      <c r="D69" s="7"/>
      <c r="E69" s="25" t="str">
        <f t="shared" si="3"/>
        <v/>
      </c>
      <c r="F69" s="25" t="str">
        <f t="shared" si="4"/>
        <v/>
      </c>
      <c r="G69" s="47">
        <f t="shared" si="5"/>
        <v>0</v>
      </c>
      <c r="H69" s="52"/>
      <c r="I69" s="19"/>
      <c r="J69" s="15"/>
      <c r="K69"/>
      <c r="L69"/>
      <c r="M69"/>
      <c r="N69"/>
      <c r="O69"/>
      <c r="P69" s="15"/>
    </row>
    <row r="70" spans="1:16" x14ac:dyDescent="0.25">
      <c r="A70" s="17">
        <v>53</v>
      </c>
      <c r="B70" s="34" t="str">
        <f>IF(N(C70)=0,"",IF(ISNUMBER(MATCH(C70,C$26:C69,)),INDEX(B$26:B69,MATCH(C70,C$26:C69,)),MAX(B$26:B69)+1))</f>
        <v/>
      </c>
      <c r="C70" s="55"/>
      <c r="D70" s="7"/>
      <c r="E70" s="25" t="str">
        <f t="shared" si="3"/>
        <v/>
      </c>
      <c r="F70" s="25" t="str">
        <f t="shared" si="4"/>
        <v/>
      </c>
      <c r="G70" s="47">
        <f t="shared" si="5"/>
        <v>0</v>
      </c>
      <c r="H70" s="52"/>
      <c r="I70" s="19"/>
      <c r="J70" s="15"/>
      <c r="K70"/>
      <c r="L70"/>
      <c r="M70"/>
      <c r="N70"/>
      <c r="O70"/>
      <c r="P70" s="15"/>
    </row>
    <row r="71" spans="1:16" x14ac:dyDescent="0.25">
      <c r="A71" s="17">
        <v>54</v>
      </c>
      <c r="B71" s="34" t="str">
        <f>IF(N(C71)=0,"",IF(ISNUMBER(MATCH(C71,C$26:C70,)),INDEX(B$26:B70,MATCH(C71,C$26:C70,)),MAX(B$26:B70)+1))</f>
        <v/>
      </c>
      <c r="C71" s="55"/>
      <c r="D71" s="7"/>
      <c r="E71" s="25" t="str">
        <f t="shared" si="3"/>
        <v/>
      </c>
      <c r="F71" s="25" t="str">
        <f t="shared" si="4"/>
        <v/>
      </c>
      <c r="G71" s="47">
        <f t="shared" si="5"/>
        <v>0</v>
      </c>
      <c r="H71" s="52"/>
      <c r="I71" s="19"/>
      <c r="J71" s="15"/>
      <c r="K71"/>
      <c r="L71"/>
      <c r="M71"/>
      <c r="N71"/>
      <c r="O71"/>
      <c r="P71" s="15"/>
    </row>
    <row r="72" spans="1:16" x14ac:dyDescent="0.25">
      <c r="A72" s="17">
        <v>55</v>
      </c>
      <c r="B72" s="34" t="str">
        <f>IF(N(C72)=0,"",IF(ISNUMBER(MATCH(C72,C$26:C71,)),INDEX(B$26:B71,MATCH(C72,C$26:C71,)),MAX(B$26:B71)+1))</f>
        <v/>
      </c>
      <c r="C72" s="55"/>
      <c r="D72" s="7"/>
      <c r="E72" s="25" t="str">
        <f t="shared" si="3"/>
        <v/>
      </c>
      <c r="F72" s="25" t="str">
        <f t="shared" si="4"/>
        <v/>
      </c>
      <c r="G72" s="47">
        <f t="shared" si="5"/>
        <v>0</v>
      </c>
      <c r="H72" s="52"/>
      <c r="I72" s="19"/>
      <c r="J72" s="15"/>
      <c r="K72"/>
      <c r="L72"/>
      <c r="M72"/>
      <c r="N72"/>
      <c r="O72"/>
      <c r="P72" s="15"/>
    </row>
    <row r="73" spans="1:16" x14ac:dyDescent="0.25">
      <c r="A73" s="17">
        <v>56</v>
      </c>
      <c r="B73" s="34" t="str">
        <f>IF(N(C73)=0,"",IF(ISNUMBER(MATCH(C73,C$26:C72,)),INDEX(B$26:B72,MATCH(C73,C$26:C72,)),MAX(B$26:B72)+1))</f>
        <v/>
      </c>
      <c r="C73" s="55"/>
      <c r="D73" s="7"/>
      <c r="E73" s="25" t="str">
        <f t="shared" si="3"/>
        <v/>
      </c>
      <c r="F73" s="25" t="str">
        <f t="shared" si="4"/>
        <v/>
      </c>
      <c r="G73" s="47">
        <f t="shared" si="5"/>
        <v>0</v>
      </c>
      <c r="H73" s="52"/>
      <c r="I73" s="19"/>
      <c r="J73" s="15"/>
      <c r="K73"/>
      <c r="L73"/>
      <c r="M73"/>
      <c r="N73"/>
      <c r="O73"/>
      <c r="P73" s="15"/>
    </row>
    <row r="74" spans="1:16" x14ac:dyDescent="0.25">
      <c r="A74" s="17">
        <v>57</v>
      </c>
      <c r="B74" s="34" t="str">
        <f>IF(N(C74)=0,"",IF(ISNUMBER(MATCH(C74,C$26:C73,)),INDEX(B$26:B73,MATCH(C74,C$26:C73,)),MAX(B$26:B73)+1))</f>
        <v/>
      </c>
      <c r="C74" s="55"/>
      <c r="D74" s="7"/>
      <c r="E74" s="25" t="str">
        <f t="shared" si="3"/>
        <v/>
      </c>
      <c r="F74" s="25" t="str">
        <f t="shared" si="4"/>
        <v/>
      </c>
      <c r="G74" s="47">
        <f t="shared" si="5"/>
        <v>0</v>
      </c>
      <c r="H74" s="52"/>
      <c r="I74" s="19"/>
      <c r="J74" s="15"/>
      <c r="K74"/>
      <c r="L74"/>
      <c r="M74"/>
      <c r="N74"/>
      <c r="O74"/>
      <c r="P74" s="15"/>
    </row>
    <row r="75" spans="1:16" x14ac:dyDescent="0.25">
      <c r="A75" s="17">
        <v>58</v>
      </c>
      <c r="B75" s="34" t="str">
        <f>IF(N(C75)=0,"",IF(ISNUMBER(MATCH(C75,C$26:C74,)),INDEX(B$26:B74,MATCH(C75,C$26:C74,)),MAX(B$26:B74)+1))</f>
        <v/>
      </c>
      <c r="C75" s="55"/>
      <c r="D75" s="7"/>
      <c r="E75" s="25" t="str">
        <f t="shared" si="3"/>
        <v/>
      </c>
      <c r="F75" s="25" t="str">
        <f t="shared" si="4"/>
        <v/>
      </c>
      <c r="G75" s="47">
        <f t="shared" si="5"/>
        <v>0</v>
      </c>
      <c r="H75" s="52"/>
      <c r="I75" s="19"/>
      <c r="J75" s="15"/>
      <c r="K75"/>
      <c r="L75"/>
      <c r="M75"/>
      <c r="N75"/>
      <c r="O75"/>
      <c r="P75" s="15"/>
    </row>
    <row r="76" spans="1:16" x14ac:dyDescent="0.25">
      <c r="A76" s="17">
        <v>59</v>
      </c>
      <c r="B76" s="34" t="str">
        <f>IF(N(C76)=0,"",IF(ISNUMBER(MATCH(C76,C$26:C75,)),INDEX(B$26:B75,MATCH(C76,C$26:C75,)),MAX(B$26:B75)+1))</f>
        <v/>
      </c>
      <c r="C76" s="55"/>
      <c r="D76" s="7"/>
      <c r="E76" s="25" t="str">
        <f t="shared" si="3"/>
        <v/>
      </c>
      <c r="F76" s="25" t="str">
        <f t="shared" si="4"/>
        <v/>
      </c>
      <c r="G76" s="47">
        <f t="shared" si="5"/>
        <v>0</v>
      </c>
      <c r="H76" s="52"/>
      <c r="I76" s="19"/>
      <c r="J76" s="15"/>
      <c r="K76"/>
      <c r="L76"/>
      <c r="M76"/>
      <c r="N76"/>
      <c r="O76"/>
      <c r="P76" s="15"/>
    </row>
    <row r="77" spans="1:16" x14ac:dyDescent="0.25">
      <c r="A77" s="17">
        <v>60</v>
      </c>
      <c r="B77" s="34" t="str">
        <f>IF(N(C77)=0,"",IF(ISNUMBER(MATCH(C77,C$26:C76,)),INDEX(B$26:B76,MATCH(C77,C$26:C76,)),MAX(B$26:B76)+1))</f>
        <v/>
      </c>
      <c r="C77" s="55"/>
      <c r="D77" s="7"/>
      <c r="E77" s="25" t="str">
        <f t="shared" si="3"/>
        <v/>
      </c>
      <c r="F77" s="25" t="str">
        <f t="shared" si="4"/>
        <v/>
      </c>
      <c r="G77" s="47">
        <f t="shared" si="5"/>
        <v>0</v>
      </c>
      <c r="H77" s="52"/>
      <c r="I77" s="19"/>
      <c r="J77" s="15"/>
      <c r="K77"/>
      <c r="L77"/>
      <c r="M77"/>
      <c r="N77"/>
      <c r="O77"/>
      <c r="P77" s="15"/>
    </row>
    <row r="78" spans="1:16" x14ac:dyDescent="0.25">
      <c r="A78" s="17">
        <v>61</v>
      </c>
      <c r="B78" s="34" t="str">
        <f>IF(N(C78)=0,"",IF(ISNUMBER(MATCH(C78,C$26:C77,)),INDEX(B$26:B77,MATCH(C78,C$26:C77,)),MAX(B$26:B77)+1))</f>
        <v/>
      </c>
      <c r="C78" s="55"/>
      <c r="D78" s="7"/>
      <c r="E78" s="25" t="str">
        <f t="shared" si="3"/>
        <v/>
      </c>
      <c r="F78" s="25" t="str">
        <f t="shared" si="4"/>
        <v/>
      </c>
      <c r="G78" s="47">
        <f t="shared" si="5"/>
        <v>0</v>
      </c>
      <c r="H78" s="52"/>
      <c r="I78" s="19"/>
      <c r="J78" s="15"/>
      <c r="K78"/>
      <c r="L78"/>
      <c r="M78"/>
      <c r="N78"/>
      <c r="O78"/>
      <c r="P78" s="15"/>
    </row>
    <row r="79" spans="1:16" x14ac:dyDescent="0.25">
      <c r="A79" s="17">
        <v>62</v>
      </c>
      <c r="B79" s="34" t="str">
        <f>IF(N(C79)=0,"",IF(ISNUMBER(MATCH(C79,C$26:C78,)),INDEX(B$26:B78,MATCH(C79,C$26:C78,)),MAX(B$26:B78)+1))</f>
        <v/>
      </c>
      <c r="C79" s="55"/>
      <c r="D79" s="7"/>
      <c r="E79" s="25" t="str">
        <f t="shared" si="3"/>
        <v/>
      </c>
      <c r="F79" s="25" t="str">
        <f t="shared" si="4"/>
        <v/>
      </c>
      <c r="G79" s="47">
        <f t="shared" si="5"/>
        <v>0</v>
      </c>
      <c r="H79" s="52"/>
      <c r="I79" s="19"/>
      <c r="J79" s="15"/>
      <c r="K79"/>
      <c r="L79"/>
      <c r="M79"/>
      <c r="N79"/>
      <c r="O79"/>
      <c r="P79" s="15"/>
    </row>
    <row r="80" spans="1:16" x14ac:dyDescent="0.25">
      <c r="A80" s="17">
        <v>63</v>
      </c>
      <c r="B80" s="34" t="str">
        <f>IF(N(C80)=0,"",IF(ISNUMBER(MATCH(C80,C$26:C79,)),INDEX(B$26:B79,MATCH(C80,C$26:C79,)),MAX(B$26:B79)+1))</f>
        <v/>
      </c>
      <c r="C80" s="55"/>
      <c r="D80" s="7"/>
      <c r="E80" s="25" t="str">
        <f t="shared" si="3"/>
        <v/>
      </c>
      <c r="F80" s="25" t="str">
        <f t="shared" si="4"/>
        <v/>
      </c>
      <c r="G80" s="47">
        <f t="shared" si="5"/>
        <v>0</v>
      </c>
      <c r="H80" s="52"/>
      <c r="I80" s="19"/>
      <c r="J80" s="15"/>
      <c r="K80"/>
      <c r="L80"/>
      <c r="M80"/>
      <c r="N80"/>
      <c r="O80"/>
      <c r="P80" s="15"/>
    </row>
    <row r="81" spans="1:16" x14ac:dyDescent="0.25">
      <c r="A81" s="17">
        <v>64</v>
      </c>
      <c r="B81" s="34" t="str">
        <f>IF(N(C81)=0,"",IF(ISNUMBER(MATCH(C81,C$26:C80,)),INDEX(B$26:B80,MATCH(C81,C$26:C80,)),MAX(B$26:B80)+1))</f>
        <v/>
      </c>
      <c r="C81" s="55"/>
      <c r="D81" s="7"/>
      <c r="E81" s="25" t="str">
        <f t="shared" si="3"/>
        <v/>
      </c>
      <c r="F81" s="25" t="str">
        <f t="shared" si="4"/>
        <v/>
      </c>
      <c r="G81" s="47">
        <f t="shared" si="5"/>
        <v>0</v>
      </c>
      <c r="H81" s="52"/>
      <c r="I81" s="19"/>
      <c r="J81" s="15"/>
      <c r="K81"/>
      <c r="L81"/>
      <c r="M81"/>
      <c r="N81"/>
      <c r="O81"/>
      <c r="P81" s="15"/>
    </row>
    <row r="82" spans="1:16" x14ac:dyDescent="0.25">
      <c r="A82" s="17">
        <v>65</v>
      </c>
      <c r="B82" s="34" t="str">
        <f>IF(N(C82)=0,"",IF(ISNUMBER(MATCH(C82,C$26:C81,)),INDEX(B$26:B81,MATCH(C82,C$26:C81,)),MAX(B$26:B81)+1))</f>
        <v/>
      </c>
      <c r="C82" s="55"/>
      <c r="D82" s="7"/>
      <c r="E82" s="25" t="str">
        <f t="shared" si="3"/>
        <v/>
      </c>
      <c r="F82" s="25" t="str">
        <f t="shared" si="4"/>
        <v/>
      </c>
      <c r="G82" s="47">
        <f t="shared" si="5"/>
        <v>0</v>
      </c>
      <c r="H82" s="52"/>
      <c r="I82" s="19"/>
      <c r="J82" s="15"/>
      <c r="K82"/>
      <c r="L82"/>
      <c r="M82"/>
      <c r="N82"/>
      <c r="O82"/>
      <c r="P82" s="15"/>
    </row>
    <row r="83" spans="1:16" x14ac:dyDescent="0.25">
      <c r="A83" s="17">
        <v>66</v>
      </c>
      <c r="B83" s="34" t="str">
        <f>IF(N(C83)=0,"",IF(ISNUMBER(MATCH(C83,C$26:C82,)),INDEX(B$26:B82,MATCH(C83,C$26:C82,)),MAX(B$26:B82)+1))</f>
        <v/>
      </c>
      <c r="C83" s="55"/>
      <c r="D83" s="7"/>
      <c r="E83" s="25" t="str">
        <f t="shared" si="3"/>
        <v/>
      </c>
      <c r="F83" s="25" t="str">
        <f t="shared" si="4"/>
        <v/>
      </c>
      <c r="G83" s="47">
        <f t="shared" si="5"/>
        <v>0</v>
      </c>
      <c r="H83" s="52"/>
      <c r="I83" s="19"/>
      <c r="J83" s="15"/>
      <c r="K83"/>
      <c r="L83"/>
      <c r="M83"/>
      <c r="N83"/>
      <c r="O83"/>
      <c r="P83" s="15"/>
    </row>
    <row r="84" spans="1:16" x14ac:dyDescent="0.25">
      <c r="A84" s="17">
        <v>67</v>
      </c>
      <c r="B84" s="34" t="str">
        <f>IF(N(C84)=0,"",IF(ISNUMBER(MATCH(C84,C$26:C83,)),INDEX(B$26:B83,MATCH(C84,C$26:C83,)),MAX(B$26:B83)+1))</f>
        <v/>
      </c>
      <c r="C84" s="55"/>
      <c r="D84" s="7"/>
      <c r="E84" s="25" t="str">
        <f t="shared" si="3"/>
        <v/>
      </c>
      <c r="F84" s="25" t="str">
        <f t="shared" si="4"/>
        <v/>
      </c>
      <c r="G84" s="47">
        <f t="shared" si="5"/>
        <v>0</v>
      </c>
      <c r="H84" s="52"/>
      <c r="I84" s="19"/>
      <c r="J84" s="15"/>
      <c r="K84"/>
      <c r="L84"/>
      <c r="M84"/>
      <c r="N84"/>
      <c r="O84"/>
      <c r="P84" s="15"/>
    </row>
    <row r="85" spans="1:16" x14ac:dyDescent="0.25">
      <c r="A85" s="17">
        <v>68</v>
      </c>
      <c r="B85" s="34" t="str">
        <f>IF(N(C85)=0,"",IF(ISNUMBER(MATCH(C85,C$26:C84,)),INDEX(B$26:B84,MATCH(C85,C$26:C84,)),MAX(B$26:B84)+1))</f>
        <v/>
      </c>
      <c r="C85" s="55"/>
      <c r="D85" s="7"/>
      <c r="E85" s="25" t="str">
        <f t="shared" si="3"/>
        <v/>
      </c>
      <c r="F85" s="25" t="str">
        <f t="shared" si="4"/>
        <v/>
      </c>
      <c r="G85" s="47">
        <f t="shared" si="5"/>
        <v>0</v>
      </c>
      <c r="H85" s="52"/>
      <c r="I85" s="19"/>
      <c r="J85" s="15"/>
      <c r="K85"/>
      <c r="L85"/>
      <c r="M85"/>
      <c r="N85"/>
      <c r="O85"/>
    </row>
    <row r="86" spans="1:16" x14ac:dyDescent="0.25">
      <c r="A86" s="17">
        <v>69</v>
      </c>
      <c r="B86" s="34" t="str">
        <f>IF(N(C86)=0,"",IF(ISNUMBER(MATCH(C86,C$26:C85,)),INDEX(B$26:B85,MATCH(C86,C$26:C85,)),MAX(B$26:B85)+1))</f>
        <v/>
      </c>
      <c r="C86" s="55"/>
      <c r="D86" s="7"/>
      <c r="E86" s="25" t="str">
        <f t="shared" si="3"/>
        <v/>
      </c>
      <c r="F86" s="25" t="str">
        <f t="shared" si="4"/>
        <v/>
      </c>
      <c r="G86" s="47">
        <f t="shared" si="5"/>
        <v>0</v>
      </c>
      <c r="H86" s="52"/>
      <c r="I86" s="19"/>
      <c r="J86" s="15"/>
      <c r="K86"/>
      <c r="L86"/>
      <c r="M86"/>
      <c r="N86"/>
      <c r="O86"/>
    </row>
    <row r="87" spans="1:16" x14ac:dyDescent="0.25">
      <c r="A87" s="17">
        <v>70</v>
      </c>
      <c r="B87" s="34" t="str">
        <f>IF(N(C87)=0,"",IF(ISNUMBER(MATCH(C87,C$26:C86,)),INDEX(B$26:B86,MATCH(C87,C$26:C86,)),MAX(B$26:B86)+1))</f>
        <v/>
      </c>
      <c r="C87" s="55"/>
      <c r="D87" s="7"/>
      <c r="E87" s="25" t="str">
        <f t="shared" si="3"/>
        <v/>
      </c>
      <c r="F87" s="25" t="str">
        <f t="shared" si="4"/>
        <v/>
      </c>
      <c r="G87" s="47">
        <f t="shared" si="5"/>
        <v>0</v>
      </c>
      <c r="H87" s="52"/>
      <c r="I87" s="19"/>
      <c r="J87" s="15"/>
      <c r="K87"/>
      <c r="L87"/>
      <c r="M87"/>
      <c r="N87"/>
      <c r="O87"/>
    </row>
    <row r="88" spans="1:16" x14ac:dyDescent="0.25">
      <c r="A88" s="17">
        <v>71</v>
      </c>
      <c r="B88" s="34" t="str">
        <f>IF(N(C88)=0,"",IF(ISNUMBER(MATCH(C88,C$26:C87,)),INDEX(B$26:B87,MATCH(C88,C$26:C87,)),MAX(B$26:B87)+1))</f>
        <v/>
      </c>
      <c r="C88" s="55"/>
      <c r="D88" s="7"/>
      <c r="E88" s="25" t="str">
        <f t="shared" si="3"/>
        <v/>
      </c>
      <c r="F88" s="25" t="str">
        <f t="shared" si="4"/>
        <v/>
      </c>
      <c r="G88" s="47">
        <f t="shared" si="5"/>
        <v>0</v>
      </c>
      <c r="H88" s="52"/>
      <c r="I88" s="19"/>
      <c r="J88" s="15"/>
      <c r="K88"/>
      <c r="L88"/>
      <c r="M88"/>
      <c r="N88"/>
      <c r="O88"/>
    </row>
    <row r="89" spans="1:16" x14ac:dyDescent="0.25">
      <c r="A89" s="17">
        <v>72</v>
      </c>
      <c r="B89" s="34" t="str">
        <f>IF(N(C89)=0,"",IF(ISNUMBER(MATCH(C89,C$26:C88,)),INDEX(B$26:B88,MATCH(C89,C$26:C88,)),MAX(B$26:B88)+1))</f>
        <v/>
      </c>
      <c r="C89" s="55"/>
      <c r="D89" s="7"/>
      <c r="E89" s="25" t="str">
        <f t="shared" si="3"/>
        <v/>
      </c>
      <c r="F89" s="25" t="str">
        <f t="shared" si="4"/>
        <v/>
      </c>
      <c r="G89" s="47">
        <f t="shared" si="5"/>
        <v>0</v>
      </c>
      <c r="H89" s="52"/>
      <c r="I89" s="19"/>
      <c r="J89" s="15"/>
      <c r="K89"/>
      <c r="L89"/>
      <c r="M89"/>
      <c r="N89"/>
      <c r="O89"/>
    </row>
    <row r="90" spans="1:16" x14ac:dyDescent="0.25">
      <c r="A90" s="17">
        <v>73</v>
      </c>
      <c r="B90" s="34" t="str">
        <f>IF(N(C90)=0,"",IF(ISNUMBER(MATCH(C90,C$26:C89,)),INDEX(B$26:B89,MATCH(C90,C$26:C89,)),MAX(B$26:B89)+1))</f>
        <v/>
      </c>
      <c r="C90" s="55"/>
      <c r="D90" s="7"/>
      <c r="E90" s="25" t="str">
        <f t="shared" ref="E90:E115" si="6">IF($K$3=0,0,IF(ISNA(VLOOKUP(C90,H$26:I$115,2,))*C90,D90,IF(C90="","",IF(D90="",TRUNC($C$3/C90)-VLOOKUP(C90,H$26:I$115,2,),D90-VLOOKUP(C90,H$26:I$115,2,)))))</f>
        <v/>
      </c>
      <c r="F90" s="25" t="str">
        <f t="shared" ref="F90:F115" si="7">IF($K$3=0,"",IF(AND(C90&lt;&gt;"",D90&lt;&gt;""),D90-E90,IF(D90="","",TRUNC($C$3/C90)-VLOOKUP(C90,H$26:I$115,2,))))</f>
        <v/>
      </c>
      <c r="G90" s="47">
        <f t="shared" si="5"/>
        <v>0</v>
      </c>
      <c r="H90" s="52"/>
      <c r="I90" s="19"/>
      <c r="J90" s="15"/>
      <c r="K90"/>
      <c r="L90"/>
      <c r="M90"/>
      <c r="N90"/>
      <c r="O90"/>
    </row>
    <row r="91" spans="1:16" x14ac:dyDescent="0.25">
      <c r="A91" s="17">
        <v>74</v>
      </c>
      <c r="B91" s="34" t="str">
        <f>IF(N(C91)=0,"",IF(ISNUMBER(MATCH(C91,C$26:C90,)),INDEX(B$26:B90,MATCH(C91,C$26:C90,)),MAX(B$26:B90)+1))</f>
        <v/>
      </c>
      <c r="C91" s="55"/>
      <c r="D91" s="7"/>
      <c r="E91" s="25" t="str">
        <f t="shared" si="6"/>
        <v/>
      </c>
      <c r="F91" s="25" t="str">
        <f t="shared" si="7"/>
        <v/>
      </c>
      <c r="G91" s="47">
        <f t="shared" ref="G91:G114" si="8">--(C91+H91+K91&gt;0)</f>
        <v>0</v>
      </c>
      <c r="H91" s="52"/>
      <c r="I91" s="19"/>
      <c r="J91" s="15"/>
      <c r="K91"/>
      <c r="L91"/>
      <c r="M91"/>
      <c r="N91"/>
      <c r="O91"/>
    </row>
    <row r="92" spans="1:16" x14ac:dyDescent="0.25">
      <c r="A92" s="17">
        <v>75</v>
      </c>
      <c r="B92" s="34" t="str">
        <f>IF(N(C92)=0,"",IF(ISNUMBER(MATCH(C92,C$26:C91,)),INDEX(B$26:B91,MATCH(C92,C$26:C91,)),MAX(B$26:B91)+1))</f>
        <v/>
      </c>
      <c r="C92" s="55"/>
      <c r="D92" s="7"/>
      <c r="E92" s="25" t="str">
        <f t="shared" si="6"/>
        <v/>
      </c>
      <c r="F92" s="25" t="str">
        <f t="shared" si="7"/>
        <v/>
      </c>
      <c r="G92" s="47">
        <f t="shared" si="8"/>
        <v>0</v>
      </c>
      <c r="H92" s="52"/>
      <c r="I92" s="19"/>
      <c r="J92" s="15"/>
      <c r="K92"/>
      <c r="L92"/>
      <c r="M92"/>
      <c r="N92"/>
      <c r="O92"/>
    </row>
    <row r="93" spans="1:16" x14ac:dyDescent="0.25">
      <c r="A93" s="17">
        <v>76</v>
      </c>
      <c r="B93" s="34" t="str">
        <f>IF(N(C93)=0,"",IF(ISNUMBER(MATCH(C93,C$26:C92,)),INDEX(B$26:B92,MATCH(C93,C$26:C92,)),MAX(B$26:B92)+1))</f>
        <v/>
      </c>
      <c r="C93" s="55"/>
      <c r="D93" s="7"/>
      <c r="E93" s="25" t="str">
        <f t="shared" si="6"/>
        <v/>
      </c>
      <c r="F93" s="25" t="str">
        <f t="shared" si="7"/>
        <v/>
      </c>
      <c r="G93" s="47">
        <f t="shared" si="8"/>
        <v>0</v>
      </c>
      <c r="H93" s="52"/>
      <c r="I93" s="19"/>
      <c r="J93" s="15"/>
      <c r="K93"/>
      <c r="L93"/>
      <c r="M93"/>
      <c r="N93"/>
      <c r="O93"/>
    </row>
    <row r="94" spans="1:16" x14ac:dyDescent="0.25">
      <c r="A94" s="17">
        <v>77</v>
      </c>
      <c r="B94" s="34" t="str">
        <f>IF(N(C94)=0,"",IF(ISNUMBER(MATCH(C94,C$26:C93,)),INDEX(B$26:B93,MATCH(C94,C$26:C93,)),MAX(B$26:B93)+1))</f>
        <v/>
      </c>
      <c r="C94" s="55"/>
      <c r="D94" s="7"/>
      <c r="E94" s="25" t="str">
        <f t="shared" si="6"/>
        <v/>
      </c>
      <c r="F94" s="25" t="str">
        <f t="shared" si="7"/>
        <v/>
      </c>
      <c r="G94" s="47">
        <f t="shared" si="8"/>
        <v>0</v>
      </c>
      <c r="H94" s="52"/>
      <c r="I94" s="19"/>
      <c r="J94" s="15"/>
      <c r="K94"/>
      <c r="L94"/>
      <c r="M94"/>
      <c r="N94"/>
      <c r="O94"/>
    </row>
    <row r="95" spans="1:16" x14ac:dyDescent="0.25">
      <c r="A95" s="17">
        <v>78</v>
      </c>
      <c r="B95" s="34" t="str">
        <f>IF(N(C95)=0,"",IF(ISNUMBER(MATCH(C95,C$26:C94,)),INDEX(B$26:B94,MATCH(C95,C$26:C94,)),MAX(B$26:B94)+1))</f>
        <v/>
      </c>
      <c r="C95" s="55"/>
      <c r="D95" s="7"/>
      <c r="E95" s="25" t="str">
        <f t="shared" si="6"/>
        <v/>
      </c>
      <c r="F95" s="25" t="str">
        <f t="shared" si="7"/>
        <v/>
      </c>
      <c r="G95" s="47">
        <f t="shared" si="8"/>
        <v>0</v>
      </c>
      <c r="H95" s="52"/>
      <c r="I95" s="19"/>
      <c r="J95" s="15"/>
      <c r="K95"/>
      <c r="L95"/>
      <c r="M95"/>
      <c r="N95"/>
      <c r="O95"/>
    </row>
    <row r="96" spans="1:16" x14ac:dyDescent="0.25">
      <c r="A96" s="17">
        <v>79</v>
      </c>
      <c r="B96" s="34" t="str">
        <f>IF(N(C96)=0,"",IF(ISNUMBER(MATCH(C96,C$26:C95,)),INDEX(B$26:B95,MATCH(C96,C$26:C95,)),MAX(B$26:B95)+1))</f>
        <v/>
      </c>
      <c r="C96" s="55"/>
      <c r="D96" s="7"/>
      <c r="E96" s="25" t="str">
        <f t="shared" si="6"/>
        <v/>
      </c>
      <c r="F96" s="25" t="str">
        <f t="shared" si="7"/>
        <v/>
      </c>
      <c r="G96" s="47">
        <f t="shared" si="8"/>
        <v>0</v>
      </c>
      <c r="H96" s="52"/>
      <c r="I96" s="19"/>
      <c r="J96" s="15"/>
      <c r="K96"/>
      <c r="L96"/>
      <c r="M96"/>
      <c r="N96"/>
      <c r="O96"/>
    </row>
    <row r="97" spans="1:15" x14ac:dyDescent="0.25">
      <c r="A97" s="17">
        <v>80</v>
      </c>
      <c r="B97" s="34" t="str">
        <f>IF(N(C97)=0,"",IF(ISNUMBER(MATCH(C97,C$26:C96,)),INDEX(B$26:B96,MATCH(C97,C$26:C96,)),MAX(B$26:B96)+1))</f>
        <v/>
      </c>
      <c r="C97" s="55"/>
      <c r="D97" s="7"/>
      <c r="E97" s="25" t="str">
        <f t="shared" si="6"/>
        <v/>
      </c>
      <c r="F97" s="25" t="str">
        <f t="shared" si="7"/>
        <v/>
      </c>
      <c r="G97" s="47">
        <f t="shared" si="8"/>
        <v>0</v>
      </c>
      <c r="H97" s="52"/>
      <c r="I97" s="19"/>
      <c r="J97" s="17" t="s">
        <v>15</v>
      </c>
      <c r="K97"/>
      <c r="L97"/>
      <c r="M97"/>
      <c r="N97"/>
      <c r="O97"/>
    </row>
    <row r="98" spans="1:15" x14ac:dyDescent="0.25">
      <c r="A98" s="17">
        <v>81</v>
      </c>
      <c r="B98" s="34" t="str">
        <f>IF(N(C98)=0,"",IF(ISNUMBER(MATCH(C98,C$26:C97,)),INDEX(B$26:B97,MATCH(C98,C$26:C97,)),MAX(B$26:B97)+1))</f>
        <v/>
      </c>
      <c r="C98" s="55"/>
      <c r="D98" s="7"/>
      <c r="E98" s="25" t="str">
        <f t="shared" si="6"/>
        <v/>
      </c>
      <c r="F98" s="25" t="str">
        <f t="shared" si="7"/>
        <v/>
      </c>
      <c r="G98" s="47">
        <f t="shared" si="8"/>
        <v>0</v>
      </c>
      <c r="H98" s="52"/>
      <c r="I98" s="19"/>
      <c r="J98" s="17" t="s">
        <v>16</v>
      </c>
      <c r="K98"/>
      <c r="L98"/>
      <c r="M98"/>
      <c r="N98"/>
      <c r="O98"/>
    </row>
    <row r="99" spans="1:15" x14ac:dyDescent="0.25">
      <c r="A99" s="17">
        <v>82</v>
      </c>
      <c r="B99" s="34" t="str">
        <f>IF(N(C99)=0,"",IF(ISNUMBER(MATCH(C99,C$26:C98,)),INDEX(B$26:B98,MATCH(C99,C$26:C98,)),MAX(B$26:B98)+1))</f>
        <v/>
      </c>
      <c r="C99" s="55"/>
      <c r="D99" s="7"/>
      <c r="E99" s="25" t="str">
        <f t="shared" si="6"/>
        <v/>
      </c>
      <c r="F99" s="25" t="str">
        <f t="shared" si="7"/>
        <v/>
      </c>
      <c r="G99" s="47">
        <f t="shared" si="8"/>
        <v>0</v>
      </c>
      <c r="H99" s="52"/>
      <c r="I99" s="19"/>
      <c r="J99" s="15"/>
      <c r="K99"/>
      <c r="L99"/>
      <c r="M99"/>
      <c r="N99"/>
      <c r="O99"/>
    </row>
    <row r="100" spans="1:15" x14ac:dyDescent="0.25">
      <c r="A100" s="17">
        <v>83</v>
      </c>
      <c r="B100" s="34" t="str">
        <f>IF(N(C100)=0,"",IF(ISNUMBER(MATCH(C100,C$26:C99,)),INDEX(B$26:B99,MATCH(C100,C$26:C99,)),MAX(B$26:B99)+1))</f>
        <v/>
      </c>
      <c r="C100" s="55"/>
      <c r="D100" s="7"/>
      <c r="E100" s="25" t="str">
        <f t="shared" si="6"/>
        <v/>
      </c>
      <c r="F100" s="25" t="str">
        <f t="shared" si="7"/>
        <v/>
      </c>
      <c r="G100" s="47">
        <f t="shared" si="8"/>
        <v>0</v>
      </c>
      <c r="H100" s="52"/>
      <c r="I100" s="19"/>
      <c r="J100" s="15"/>
      <c r="K100"/>
      <c r="L100"/>
      <c r="M100"/>
      <c r="N100"/>
      <c r="O100"/>
    </row>
    <row r="101" spans="1:15" x14ac:dyDescent="0.25">
      <c r="A101" s="17">
        <v>84</v>
      </c>
      <c r="B101" s="34" t="str">
        <f>IF(N(C101)=0,"",IF(ISNUMBER(MATCH(C101,C$26:C100,)),INDEX(B$26:B100,MATCH(C101,C$26:C100,)),MAX(B$26:B100)+1))</f>
        <v/>
      </c>
      <c r="C101" s="55"/>
      <c r="D101" s="7"/>
      <c r="E101" s="25" t="str">
        <f t="shared" si="6"/>
        <v/>
      </c>
      <c r="F101" s="25" t="str">
        <f t="shared" si="7"/>
        <v/>
      </c>
      <c r="G101" s="47">
        <f t="shared" si="8"/>
        <v>0</v>
      </c>
      <c r="H101" s="52"/>
      <c r="I101" s="19"/>
      <c r="J101" s="15"/>
      <c r="K101"/>
      <c r="L101"/>
      <c r="M101"/>
      <c r="N101"/>
      <c r="O101"/>
    </row>
    <row r="102" spans="1:15" x14ac:dyDescent="0.25">
      <c r="A102" s="17">
        <v>85</v>
      </c>
      <c r="B102" s="34" t="str">
        <f>IF(N(C102)=0,"",IF(ISNUMBER(MATCH(C102,C$26:C101,)),INDEX(B$26:B101,MATCH(C102,C$26:C101,)),MAX(B$26:B101)+1))</f>
        <v/>
      </c>
      <c r="C102" s="55"/>
      <c r="D102" s="7"/>
      <c r="E102" s="25" t="str">
        <f t="shared" si="6"/>
        <v/>
      </c>
      <c r="F102" s="25" t="str">
        <f t="shared" si="7"/>
        <v/>
      </c>
      <c r="G102" s="47">
        <f t="shared" si="8"/>
        <v>0</v>
      </c>
      <c r="H102" s="52"/>
      <c r="I102" s="19"/>
      <c r="J102" s="15"/>
      <c r="K102"/>
      <c r="L102"/>
      <c r="M102"/>
      <c r="N102"/>
      <c r="O102"/>
    </row>
    <row r="103" spans="1:15" x14ac:dyDescent="0.25">
      <c r="A103" s="17">
        <v>86</v>
      </c>
      <c r="B103" s="34" t="str">
        <f>IF(N(C103)=0,"",IF(ISNUMBER(MATCH(C103,C$26:C102,)),INDEX(B$26:B102,MATCH(C103,C$26:C102,)),MAX(B$26:B102)+1))</f>
        <v/>
      </c>
      <c r="C103" s="55"/>
      <c r="D103" s="7"/>
      <c r="E103" s="25" t="str">
        <f t="shared" si="6"/>
        <v/>
      </c>
      <c r="F103" s="25" t="str">
        <f t="shared" si="7"/>
        <v/>
      </c>
      <c r="G103" s="47">
        <f t="shared" si="8"/>
        <v>0</v>
      </c>
      <c r="H103" s="52"/>
      <c r="I103" s="19"/>
      <c r="J103" s="15"/>
      <c r="K103"/>
      <c r="L103"/>
      <c r="M103"/>
      <c r="N103"/>
      <c r="O103"/>
    </row>
    <row r="104" spans="1:15" x14ac:dyDescent="0.25">
      <c r="A104" s="17">
        <v>87</v>
      </c>
      <c r="B104" s="34" t="str">
        <f>IF(N(C104)=0,"",IF(ISNUMBER(MATCH(C104,C$26:C103,)),INDEX(B$26:B103,MATCH(C104,C$26:C103,)),MAX(B$26:B103)+1))</f>
        <v/>
      </c>
      <c r="C104" s="55"/>
      <c r="D104" s="7"/>
      <c r="E104" s="25" t="str">
        <f t="shared" si="6"/>
        <v/>
      </c>
      <c r="F104" s="25" t="str">
        <f t="shared" si="7"/>
        <v/>
      </c>
      <c r="G104" s="47">
        <f t="shared" si="8"/>
        <v>0</v>
      </c>
      <c r="H104" s="52"/>
      <c r="I104" s="19"/>
      <c r="K104"/>
      <c r="L104"/>
      <c r="M104"/>
      <c r="N104"/>
      <c r="O104"/>
    </row>
    <row r="105" spans="1:15" x14ac:dyDescent="0.25">
      <c r="A105" s="17">
        <v>88</v>
      </c>
      <c r="B105" s="34" t="str">
        <f>IF(N(C105)=0,"",IF(ISNUMBER(MATCH(C105,C$26:C104,)),INDEX(B$26:B104,MATCH(C105,C$26:C104,)),MAX(B$26:B104)+1))</f>
        <v/>
      </c>
      <c r="C105" s="55"/>
      <c r="D105" s="7"/>
      <c r="E105" s="25" t="str">
        <f t="shared" si="6"/>
        <v/>
      </c>
      <c r="F105" s="25" t="str">
        <f t="shared" si="7"/>
        <v/>
      </c>
      <c r="G105" s="47">
        <f t="shared" si="8"/>
        <v>0</v>
      </c>
      <c r="H105" s="52"/>
      <c r="I105" s="19"/>
      <c r="K105"/>
      <c r="L105"/>
      <c r="M105"/>
      <c r="N105"/>
      <c r="O105"/>
    </row>
    <row r="106" spans="1:15" x14ac:dyDescent="0.25">
      <c r="A106" s="17">
        <v>89</v>
      </c>
      <c r="B106" s="34" t="str">
        <f>IF(N(C106)=0,"",IF(ISNUMBER(MATCH(C106,C$26:C105,)),INDEX(B$26:B105,MATCH(C106,C$26:C105,)),MAX(B$26:B105)+1))</f>
        <v/>
      </c>
      <c r="C106" s="55"/>
      <c r="D106" s="7"/>
      <c r="E106" s="25" t="str">
        <f t="shared" si="6"/>
        <v/>
      </c>
      <c r="F106" s="25" t="str">
        <f t="shared" si="7"/>
        <v/>
      </c>
      <c r="G106" s="47">
        <f t="shared" si="8"/>
        <v>0</v>
      </c>
      <c r="H106" s="52"/>
      <c r="I106" s="19"/>
      <c r="K106"/>
      <c r="L106"/>
      <c r="M106"/>
      <c r="N106"/>
      <c r="O106"/>
    </row>
    <row r="107" spans="1:15" x14ac:dyDescent="0.25">
      <c r="A107" s="17">
        <v>90</v>
      </c>
      <c r="B107" s="34" t="str">
        <f>IF(N(C107)=0,"",IF(ISNUMBER(MATCH(C107,C$26:C106,)),INDEX(B$26:B106,MATCH(C107,C$26:C106,)),MAX(B$26:B106)+1))</f>
        <v/>
      </c>
      <c r="C107" s="55"/>
      <c r="D107" s="7"/>
      <c r="E107" s="25" t="str">
        <f t="shared" si="6"/>
        <v/>
      </c>
      <c r="F107" s="25" t="str">
        <f t="shared" si="7"/>
        <v/>
      </c>
      <c r="G107" s="47">
        <f t="shared" si="8"/>
        <v>0</v>
      </c>
      <c r="H107" s="52"/>
      <c r="I107" s="19"/>
      <c r="K107"/>
      <c r="L107"/>
      <c r="M107"/>
      <c r="N107"/>
      <c r="O107"/>
    </row>
    <row r="108" spans="1:15" x14ac:dyDescent="0.25">
      <c r="A108" s="17">
        <v>91</v>
      </c>
      <c r="B108" s="34" t="str">
        <f>IF(N(C108)=0,"",IF(ISNUMBER(MATCH(C108,C$26:C107,)),INDEX(B$26:B107,MATCH(C108,C$26:C107,)),MAX(B$26:B107)+1))</f>
        <v/>
      </c>
      <c r="C108" s="55"/>
      <c r="D108" s="7"/>
      <c r="E108" s="25" t="str">
        <f t="shared" si="6"/>
        <v/>
      </c>
      <c r="F108" s="25" t="str">
        <f t="shared" si="7"/>
        <v/>
      </c>
      <c r="G108" s="47">
        <f t="shared" si="8"/>
        <v>0</v>
      </c>
      <c r="H108" s="52"/>
      <c r="I108" s="19"/>
      <c r="K108"/>
      <c r="L108"/>
      <c r="M108"/>
      <c r="N108"/>
      <c r="O108"/>
    </row>
    <row r="109" spans="1:15" x14ac:dyDescent="0.25">
      <c r="A109" s="17">
        <v>92</v>
      </c>
      <c r="B109" s="34" t="str">
        <f>IF(N(C109)=0,"",IF(ISNUMBER(MATCH(C109,C$26:C108,)),INDEX(B$26:B108,MATCH(C109,C$26:C108,)),MAX(B$26:B108)+1))</f>
        <v/>
      </c>
      <c r="C109" s="55"/>
      <c r="D109" s="7"/>
      <c r="E109" s="25" t="str">
        <f t="shared" si="6"/>
        <v/>
      </c>
      <c r="F109" s="25" t="str">
        <f t="shared" si="7"/>
        <v/>
      </c>
      <c r="G109" s="47">
        <f t="shared" si="8"/>
        <v>0</v>
      </c>
      <c r="H109" s="52"/>
      <c r="I109" s="19"/>
      <c r="K109"/>
      <c r="L109"/>
      <c r="M109"/>
      <c r="N109"/>
      <c r="O109"/>
    </row>
    <row r="110" spans="1:15" x14ac:dyDescent="0.25">
      <c r="A110" s="17">
        <v>93</v>
      </c>
      <c r="B110" s="34" t="str">
        <f>IF(N(C110)=0,"",IF(ISNUMBER(MATCH(C110,C$26:C109,)),INDEX(B$26:B109,MATCH(C110,C$26:C109,)),MAX(B$26:B109)+1))</f>
        <v/>
      </c>
      <c r="C110" s="55"/>
      <c r="D110" s="7"/>
      <c r="E110" s="25" t="str">
        <f t="shared" si="6"/>
        <v/>
      </c>
      <c r="F110" s="25" t="str">
        <f t="shared" si="7"/>
        <v/>
      </c>
      <c r="G110" s="47">
        <f t="shared" si="8"/>
        <v>0</v>
      </c>
      <c r="H110" s="52"/>
      <c r="I110" s="19"/>
      <c r="K110"/>
      <c r="L110"/>
      <c r="M110"/>
      <c r="N110"/>
      <c r="O110"/>
    </row>
    <row r="111" spans="1:15" x14ac:dyDescent="0.25">
      <c r="A111" s="17">
        <v>94</v>
      </c>
      <c r="B111" s="34" t="str">
        <f>IF(N(C111)=0,"",IF(ISNUMBER(MATCH(C111,C$26:C110,)),INDEX(B$26:B110,MATCH(C111,C$26:C110,)),MAX(B$26:B110)+1))</f>
        <v/>
      </c>
      <c r="C111" s="55"/>
      <c r="D111" s="7"/>
      <c r="E111" s="25" t="str">
        <f t="shared" si="6"/>
        <v/>
      </c>
      <c r="F111" s="25" t="str">
        <f t="shared" si="7"/>
        <v/>
      </c>
      <c r="G111" s="47">
        <f t="shared" si="8"/>
        <v>0</v>
      </c>
      <c r="H111" s="52"/>
      <c r="I111" s="19"/>
      <c r="K111"/>
      <c r="L111"/>
      <c r="M111"/>
      <c r="N111"/>
      <c r="O111"/>
    </row>
    <row r="112" spans="1:15" x14ac:dyDescent="0.25">
      <c r="A112" s="17">
        <v>95</v>
      </c>
      <c r="B112" s="34" t="str">
        <f>IF(N(C112)=0,"",IF(ISNUMBER(MATCH(C112,C$26:C111,)),INDEX(B$26:B111,MATCH(C112,C$26:C111,)),MAX(B$26:B111)+1))</f>
        <v/>
      </c>
      <c r="C112" s="55"/>
      <c r="D112" s="7"/>
      <c r="E112" s="25" t="str">
        <f t="shared" si="6"/>
        <v/>
      </c>
      <c r="F112" s="25" t="str">
        <f t="shared" si="7"/>
        <v/>
      </c>
      <c r="G112" s="47">
        <f t="shared" si="8"/>
        <v>0</v>
      </c>
      <c r="H112" s="52"/>
      <c r="I112" s="19"/>
      <c r="K112"/>
      <c r="L112"/>
      <c r="M112"/>
      <c r="N112"/>
      <c r="O112"/>
    </row>
    <row r="113" spans="1:15" x14ac:dyDescent="0.25">
      <c r="A113" s="17">
        <v>96</v>
      </c>
      <c r="B113" s="34" t="str">
        <f>IF(N(C113)=0,"",IF(ISNUMBER(MATCH(C113,C$26:C112,)),INDEX(B$26:B112,MATCH(C113,C$26:C112,)),MAX(B$26:B112)+1))</f>
        <v/>
      </c>
      <c r="C113" s="55"/>
      <c r="D113" s="7"/>
      <c r="E113" s="25" t="str">
        <f t="shared" si="6"/>
        <v/>
      </c>
      <c r="F113" s="25" t="str">
        <f t="shared" si="7"/>
        <v/>
      </c>
      <c r="G113" s="47">
        <f t="shared" si="8"/>
        <v>0</v>
      </c>
      <c r="H113" s="52"/>
      <c r="I113" s="19"/>
      <c r="K113"/>
      <c r="L113"/>
      <c r="M113"/>
      <c r="N113"/>
      <c r="O113"/>
    </row>
    <row r="114" spans="1:15" x14ac:dyDescent="0.25">
      <c r="A114" s="17">
        <v>97</v>
      </c>
      <c r="B114" s="34" t="str">
        <f>IF(N(C114)=0,"",IF(ISNUMBER(MATCH(C114,C$26:C113,)),INDEX(B$26:B113,MATCH(C114,C$26:C113,)),MAX(B$26:B113)+1))</f>
        <v/>
      </c>
      <c r="C114" s="55"/>
      <c r="D114" s="7"/>
      <c r="E114" s="25" t="str">
        <f t="shared" si="6"/>
        <v/>
      </c>
      <c r="F114" s="25" t="str">
        <f t="shared" si="7"/>
        <v/>
      </c>
      <c r="G114" s="47">
        <f t="shared" si="8"/>
        <v>0</v>
      </c>
      <c r="H114" s="52"/>
      <c r="I114" s="19"/>
      <c r="K114"/>
      <c r="L114"/>
      <c r="M114"/>
      <c r="N114"/>
      <c r="O114"/>
    </row>
    <row r="115" spans="1:15" x14ac:dyDescent="0.25">
      <c r="A115" s="17">
        <v>98</v>
      </c>
      <c r="B115" s="35" t="str">
        <f>IF(N(C115)=0,"",IF(ISNUMBER(MATCH(C115,C$26:C114,)),INDEX(B$26:B114,MATCH(C115,C$26:C114,)),MAX(B$26:B114)+1))</f>
        <v/>
      </c>
      <c r="C115" s="56"/>
      <c r="D115" s="8"/>
      <c r="E115" s="26" t="str">
        <f t="shared" si="6"/>
        <v/>
      </c>
      <c r="F115" s="26" t="str">
        <f t="shared" si="7"/>
        <v/>
      </c>
      <c r="G115" s="47">
        <v>1</v>
      </c>
      <c r="H115" s="53"/>
      <c r="I115" s="20"/>
      <c r="K115"/>
      <c r="L115"/>
      <c r="M115"/>
      <c r="N115"/>
      <c r="O115"/>
    </row>
    <row r="116" spans="1:15" x14ac:dyDescent="0.25">
      <c r="K116"/>
      <c r="L116"/>
      <c r="M116"/>
      <c r="N116"/>
      <c r="O116"/>
    </row>
    <row r="117" spans="1:15" x14ac:dyDescent="0.25">
      <c r="K117"/>
      <c r="L117"/>
      <c r="M117"/>
      <c r="N117"/>
      <c r="O117"/>
    </row>
    <row r="118" spans="1:15" x14ac:dyDescent="0.25">
      <c r="K118"/>
      <c r="L118"/>
      <c r="M118"/>
      <c r="N118"/>
      <c r="O118"/>
    </row>
    <row r="119" spans="1:15" x14ac:dyDescent="0.25">
      <c r="K119"/>
      <c r="L119"/>
      <c r="M119"/>
      <c r="N119"/>
      <c r="O119"/>
    </row>
    <row r="120" spans="1:15" x14ac:dyDescent="0.25">
      <c r="K120"/>
      <c r="L120"/>
      <c r="M120"/>
      <c r="N120"/>
      <c r="O120"/>
    </row>
    <row r="121" spans="1:15" x14ac:dyDescent="0.25">
      <c r="K121"/>
      <c r="L121"/>
      <c r="M121"/>
      <c r="N121"/>
      <c r="O121"/>
    </row>
    <row r="122" spans="1:15" x14ac:dyDescent="0.25">
      <c r="K122"/>
      <c r="L122"/>
      <c r="M122"/>
      <c r="N122"/>
      <c r="O122"/>
    </row>
    <row r="123" spans="1:15" x14ac:dyDescent="0.25">
      <c r="K123"/>
      <c r="L123"/>
      <c r="M123"/>
      <c r="N123"/>
      <c r="O123"/>
    </row>
    <row r="124" spans="1:15" x14ac:dyDescent="0.25">
      <c r="K124"/>
      <c r="L124"/>
      <c r="M124"/>
      <c r="N124"/>
      <c r="O124"/>
    </row>
    <row r="125" spans="1:15" x14ac:dyDescent="0.25">
      <c r="K125"/>
      <c r="L125"/>
      <c r="M125"/>
      <c r="N125"/>
      <c r="O125"/>
    </row>
    <row r="126" spans="1:15" x14ac:dyDescent="0.25">
      <c r="K126"/>
      <c r="L126"/>
      <c r="M126"/>
      <c r="N126"/>
      <c r="O126"/>
    </row>
    <row r="127" spans="1:15" x14ac:dyDescent="0.25">
      <c r="K127"/>
      <c r="L127"/>
      <c r="M127"/>
      <c r="N127"/>
      <c r="O127"/>
    </row>
    <row r="128" spans="1:15" x14ac:dyDescent="0.25">
      <c r="K128"/>
      <c r="L128"/>
      <c r="M128"/>
      <c r="N128"/>
      <c r="O128"/>
    </row>
    <row r="129" spans="11:15" x14ac:dyDescent="0.25">
      <c r="K129"/>
      <c r="L129"/>
      <c r="M129"/>
      <c r="N129"/>
      <c r="O129"/>
    </row>
    <row r="130" spans="11:15" x14ac:dyDescent="0.25">
      <c r="K130"/>
      <c r="L130"/>
      <c r="M130"/>
      <c r="N130"/>
      <c r="O130"/>
    </row>
    <row r="131" spans="11:15" x14ac:dyDescent="0.25">
      <c r="K131"/>
      <c r="L131"/>
      <c r="M131"/>
      <c r="N131"/>
      <c r="O131"/>
    </row>
    <row r="132" spans="11:15" x14ac:dyDescent="0.25">
      <c r="K132"/>
      <c r="L132"/>
      <c r="M132"/>
      <c r="N132"/>
      <c r="O132"/>
    </row>
    <row r="133" spans="11:15" x14ac:dyDescent="0.25">
      <c r="K133"/>
      <c r="L133"/>
      <c r="M133"/>
      <c r="N133"/>
      <c r="O133"/>
    </row>
    <row r="134" spans="11:15" x14ac:dyDescent="0.25">
      <c r="K134"/>
      <c r="L134"/>
      <c r="M134"/>
      <c r="N134"/>
      <c r="O134"/>
    </row>
    <row r="135" spans="11:15" x14ac:dyDescent="0.25">
      <c r="K135"/>
      <c r="L135"/>
      <c r="M135"/>
      <c r="N135"/>
      <c r="O135"/>
    </row>
    <row r="136" spans="11:15" x14ac:dyDescent="0.25">
      <c r="K136"/>
      <c r="L136"/>
      <c r="M136"/>
      <c r="N136"/>
      <c r="O136"/>
    </row>
    <row r="137" spans="11:15" x14ac:dyDescent="0.25">
      <c r="K137"/>
      <c r="L137"/>
      <c r="M137"/>
      <c r="N137"/>
      <c r="O137"/>
    </row>
    <row r="138" spans="11:15" x14ac:dyDescent="0.25">
      <c r="K138"/>
      <c r="L138"/>
      <c r="M138"/>
      <c r="N138"/>
      <c r="O138"/>
    </row>
    <row r="139" spans="11:15" x14ac:dyDescent="0.25">
      <c r="K139"/>
      <c r="L139"/>
      <c r="M139"/>
      <c r="N139"/>
      <c r="O139"/>
    </row>
    <row r="140" spans="11:15" x14ac:dyDescent="0.25">
      <c r="K140"/>
      <c r="L140"/>
      <c r="M140"/>
      <c r="N140"/>
      <c r="O140"/>
    </row>
    <row r="141" spans="11:15" x14ac:dyDescent="0.25">
      <c r="K141"/>
      <c r="L141"/>
      <c r="M141"/>
      <c r="N141"/>
      <c r="O141"/>
    </row>
    <row r="142" spans="11:15" x14ac:dyDescent="0.25">
      <c r="K142"/>
      <c r="L142"/>
      <c r="M142"/>
      <c r="N142"/>
      <c r="O142"/>
    </row>
    <row r="143" spans="11:15" x14ac:dyDescent="0.25">
      <c r="K143"/>
      <c r="L143"/>
      <c r="M143"/>
      <c r="N143"/>
      <c r="O143"/>
    </row>
    <row r="144" spans="11:15" x14ac:dyDescent="0.25">
      <c r="K144"/>
      <c r="L144"/>
      <c r="M144"/>
      <c r="N144"/>
      <c r="O144"/>
    </row>
    <row r="145" spans="11:15" x14ac:dyDescent="0.25">
      <c r="K145"/>
      <c r="L145"/>
      <c r="M145"/>
      <c r="N145"/>
      <c r="O145"/>
    </row>
    <row r="146" spans="11:15" x14ac:dyDescent="0.25">
      <c r="K146"/>
      <c r="L146"/>
      <c r="M146"/>
      <c r="N146"/>
      <c r="O146"/>
    </row>
    <row r="147" spans="11:15" x14ac:dyDescent="0.25">
      <c r="K147"/>
      <c r="L147"/>
      <c r="M147"/>
      <c r="N147"/>
      <c r="O147"/>
    </row>
    <row r="148" spans="11:15" x14ac:dyDescent="0.25">
      <c r="K148"/>
      <c r="L148"/>
      <c r="M148"/>
      <c r="N148"/>
      <c r="O148"/>
    </row>
    <row r="149" spans="11:15" x14ac:dyDescent="0.25">
      <c r="K149"/>
      <c r="L149"/>
      <c r="M149"/>
      <c r="N149"/>
      <c r="O149"/>
    </row>
    <row r="150" spans="11:15" x14ac:dyDescent="0.25">
      <c r="K150"/>
      <c r="L150"/>
      <c r="M150"/>
      <c r="N150"/>
      <c r="O150"/>
    </row>
    <row r="151" spans="11:15" x14ac:dyDescent="0.25">
      <c r="K151"/>
      <c r="L151"/>
      <c r="M151"/>
      <c r="N151"/>
      <c r="O151"/>
    </row>
    <row r="152" spans="11:15" x14ac:dyDescent="0.25">
      <c r="K152"/>
      <c r="L152"/>
      <c r="M152"/>
      <c r="N152"/>
      <c r="O152"/>
    </row>
    <row r="153" spans="11:15" x14ac:dyDescent="0.25">
      <c r="K153"/>
      <c r="L153"/>
      <c r="M153"/>
      <c r="N153"/>
      <c r="O153"/>
    </row>
    <row r="154" spans="11:15" x14ac:dyDescent="0.25">
      <c r="K154"/>
      <c r="L154"/>
      <c r="M154"/>
      <c r="N154"/>
      <c r="O154"/>
    </row>
    <row r="155" spans="11:15" x14ac:dyDescent="0.25">
      <c r="K155"/>
      <c r="L155"/>
      <c r="M155"/>
      <c r="N155"/>
      <c r="O155"/>
    </row>
    <row r="156" spans="11:15" x14ac:dyDescent="0.25">
      <c r="K156"/>
      <c r="L156"/>
      <c r="M156"/>
      <c r="N156"/>
      <c r="O156"/>
    </row>
    <row r="157" spans="11:15" x14ac:dyDescent="0.25">
      <c r="K157"/>
      <c r="L157"/>
      <c r="M157"/>
      <c r="N157"/>
      <c r="O157"/>
    </row>
    <row r="158" spans="11:15" x14ac:dyDescent="0.25">
      <c r="K158"/>
      <c r="L158"/>
      <c r="M158"/>
      <c r="N158"/>
      <c r="O158"/>
    </row>
    <row r="159" spans="11:15" x14ac:dyDescent="0.25">
      <c r="K159"/>
      <c r="L159"/>
      <c r="M159"/>
      <c r="N159"/>
      <c r="O159"/>
    </row>
    <row r="160" spans="11:15" x14ac:dyDescent="0.25">
      <c r="K160"/>
      <c r="L160"/>
      <c r="M160"/>
      <c r="N160"/>
      <c r="O160"/>
    </row>
    <row r="161" spans="11:15" x14ac:dyDescent="0.25">
      <c r="K161"/>
      <c r="L161"/>
      <c r="M161"/>
      <c r="N161"/>
      <c r="O161"/>
    </row>
    <row r="162" spans="11:15" x14ac:dyDescent="0.25">
      <c r="K162"/>
      <c r="L162"/>
      <c r="M162"/>
      <c r="N162"/>
      <c r="O162"/>
    </row>
    <row r="163" spans="11:15" x14ac:dyDescent="0.25">
      <c r="K163"/>
      <c r="L163"/>
      <c r="M163"/>
      <c r="N163"/>
      <c r="O163"/>
    </row>
    <row r="164" spans="11:15" x14ac:dyDescent="0.25">
      <c r="K164"/>
      <c r="L164"/>
      <c r="M164"/>
      <c r="N164"/>
      <c r="O164"/>
    </row>
    <row r="165" spans="11:15" x14ac:dyDescent="0.25">
      <c r="K165"/>
      <c r="L165"/>
      <c r="M165"/>
      <c r="N165"/>
      <c r="O165"/>
    </row>
    <row r="166" spans="11:15" x14ac:dyDescent="0.25">
      <c r="K166"/>
      <c r="L166"/>
      <c r="M166"/>
      <c r="N166"/>
      <c r="O166"/>
    </row>
    <row r="167" spans="11:15" x14ac:dyDescent="0.25">
      <c r="K167"/>
      <c r="L167"/>
      <c r="M167"/>
      <c r="N167"/>
      <c r="O167"/>
    </row>
    <row r="168" spans="11:15" x14ac:dyDescent="0.25">
      <c r="K168"/>
      <c r="L168"/>
      <c r="M168"/>
      <c r="N168"/>
      <c r="O168"/>
    </row>
    <row r="169" spans="11:15" x14ac:dyDescent="0.25">
      <c r="K169"/>
      <c r="L169"/>
      <c r="M169"/>
      <c r="N169"/>
      <c r="O169"/>
    </row>
    <row r="170" spans="11:15" x14ac:dyDescent="0.25">
      <c r="K170"/>
      <c r="L170"/>
      <c r="M170"/>
      <c r="N170"/>
      <c r="O170"/>
    </row>
    <row r="171" spans="11:15" x14ac:dyDescent="0.25">
      <c r="K171"/>
      <c r="L171"/>
      <c r="M171"/>
      <c r="N171"/>
      <c r="O171"/>
    </row>
    <row r="172" spans="11:15" x14ac:dyDescent="0.25">
      <c r="K172"/>
      <c r="L172"/>
      <c r="M172"/>
      <c r="N172"/>
      <c r="O172"/>
    </row>
    <row r="173" spans="11:15" x14ac:dyDescent="0.25">
      <c r="K173"/>
      <c r="L173"/>
      <c r="M173"/>
      <c r="N173"/>
      <c r="O173"/>
    </row>
    <row r="174" spans="11:15" x14ac:dyDescent="0.25">
      <c r="K174"/>
      <c r="L174"/>
      <c r="M174"/>
      <c r="N174"/>
      <c r="O174"/>
    </row>
    <row r="175" spans="11:15" x14ac:dyDescent="0.25">
      <c r="K175"/>
      <c r="L175"/>
      <c r="M175"/>
      <c r="N175"/>
      <c r="O175"/>
    </row>
    <row r="176" spans="11:15" x14ac:dyDescent="0.25">
      <c r="K176"/>
      <c r="L176"/>
      <c r="M176"/>
      <c r="N176"/>
      <c r="O176"/>
    </row>
    <row r="177" spans="11:15" x14ac:dyDescent="0.25">
      <c r="K177"/>
      <c r="L177"/>
      <c r="M177"/>
      <c r="N177"/>
      <c r="O177"/>
    </row>
    <row r="178" spans="11:15" x14ac:dyDescent="0.25">
      <c r="K178"/>
      <c r="L178"/>
      <c r="M178"/>
      <c r="N178"/>
      <c r="O178"/>
    </row>
    <row r="179" spans="11:15" x14ac:dyDescent="0.25">
      <c r="K179"/>
      <c r="L179"/>
      <c r="M179"/>
      <c r="N179"/>
      <c r="O179"/>
    </row>
    <row r="180" spans="11:15" x14ac:dyDescent="0.25">
      <c r="K180"/>
      <c r="L180"/>
      <c r="M180"/>
      <c r="N180"/>
      <c r="O180"/>
    </row>
    <row r="181" spans="11:15" x14ac:dyDescent="0.25">
      <c r="K181"/>
      <c r="L181"/>
      <c r="M181"/>
      <c r="N181"/>
      <c r="O181"/>
    </row>
    <row r="182" spans="11:15" x14ac:dyDescent="0.25">
      <c r="K182"/>
      <c r="L182"/>
      <c r="M182"/>
      <c r="N182"/>
      <c r="O182"/>
    </row>
    <row r="183" spans="11:15" x14ac:dyDescent="0.25">
      <c r="K183"/>
      <c r="L183"/>
      <c r="M183"/>
      <c r="N183"/>
      <c r="O183"/>
    </row>
    <row r="184" spans="11:15" x14ac:dyDescent="0.25">
      <c r="K184"/>
      <c r="L184"/>
      <c r="M184"/>
      <c r="N184"/>
      <c r="O184"/>
    </row>
    <row r="185" spans="11:15" x14ac:dyDescent="0.25">
      <c r="K185"/>
      <c r="L185"/>
      <c r="M185"/>
      <c r="N185"/>
      <c r="O185"/>
    </row>
    <row r="186" spans="11:15" x14ac:dyDescent="0.25">
      <c r="K186"/>
      <c r="L186"/>
      <c r="M186"/>
      <c r="N186"/>
      <c r="O186"/>
    </row>
    <row r="187" spans="11:15" x14ac:dyDescent="0.25">
      <c r="K187"/>
      <c r="L187"/>
      <c r="M187"/>
      <c r="N187"/>
      <c r="O187"/>
    </row>
    <row r="188" spans="11:15" x14ac:dyDescent="0.25">
      <c r="K188"/>
      <c r="L188"/>
      <c r="M188"/>
      <c r="N188"/>
      <c r="O188"/>
    </row>
    <row r="189" spans="11:15" x14ac:dyDescent="0.25">
      <c r="K189"/>
      <c r="L189"/>
      <c r="M189"/>
      <c r="N189"/>
      <c r="O189"/>
    </row>
    <row r="190" spans="11:15" x14ac:dyDescent="0.25">
      <c r="K190"/>
      <c r="L190"/>
      <c r="M190"/>
      <c r="N190"/>
      <c r="O190"/>
    </row>
    <row r="191" spans="11:15" x14ac:dyDescent="0.25">
      <c r="K191"/>
      <c r="L191"/>
      <c r="M191"/>
      <c r="N191"/>
      <c r="O191"/>
    </row>
    <row r="192" spans="11:15" x14ac:dyDescent="0.25">
      <c r="K192"/>
      <c r="L192"/>
      <c r="M192"/>
      <c r="N192"/>
      <c r="O192"/>
    </row>
    <row r="193" spans="11:15" x14ac:dyDescent="0.25">
      <c r="K193"/>
      <c r="L193"/>
      <c r="M193"/>
      <c r="N193"/>
      <c r="O193"/>
    </row>
    <row r="194" spans="11:15" x14ac:dyDescent="0.25">
      <c r="K194"/>
      <c r="L194"/>
      <c r="M194"/>
      <c r="N194"/>
      <c r="O194"/>
    </row>
    <row r="195" spans="11:15" x14ac:dyDescent="0.25">
      <c r="K195"/>
      <c r="L195"/>
      <c r="M195"/>
      <c r="N195"/>
      <c r="O195"/>
    </row>
    <row r="196" spans="11:15" x14ac:dyDescent="0.25">
      <c r="K196"/>
      <c r="L196"/>
      <c r="M196"/>
      <c r="N196"/>
      <c r="O196"/>
    </row>
    <row r="197" spans="11:15" x14ac:dyDescent="0.25">
      <c r="K197"/>
      <c r="L197"/>
      <c r="M197"/>
      <c r="N197"/>
      <c r="O197"/>
    </row>
    <row r="198" spans="11:15" x14ac:dyDescent="0.25">
      <c r="K198"/>
      <c r="L198"/>
      <c r="M198"/>
      <c r="N198"/>
      <c r="O198"/>
    </row>
    <row r="199" spans="11:15" x14ac:dyDescent="0.25">
      <c r="K199"/>
      <c r="L199"/>
      <c r="M199"/>
      <c r="N199"/>
      <c r="O199"/>
    </row>
    <row r="200" spans="11:15" x14ac:dyDescent="0.25">
      <c r="K200"/>
      <c r="L200"/>
      <c r="M200"/>
      <c r="N200"/>
      <c r="O200"/>
    </row>
    <row r="201" spans="11:15" x14ac:dyDescent="0.25">
      <c r="K201"/>
      <c r="L201"/>
      <c r="M201"/>
      <c r="N201"/>
      <c r="O201"/>
    </row>
    <row r="202" spans="11:15" x14ac:dyDescent="0.25">
      <c r="K202"/>
      <c r="L202"/>
      <c r="M202"/>
      <c r="N202"/>
      <c r="O202"/>
    </row>
    <row r="203" spans="11:15" x14ac:dyDescent="0.25">
      <c r="K203"/>
      <c r="L203"/>
      <c r="M203"/>
      <c r="N203"/>
      <c r="O203"/>
    </row>
    <row r="204" spans="11:15" x14ac:dyDescent="0.25">
      <c r="K204"/>
      <c r="L204"/>
      <c r="M204"/>
      <c r="N204"/>
      <c r="O204"/>
    </row>
    <row r="205" spans="11:15" x14ac:dyDescent="0.25">
      <c r="K205"/>
      <c r="L205"/>
      <c r="M205"/>
      <c r="N205"/>
      <c r="O205"/>
    </row>
    <row r="206" spans="11:15" x14ac:dyDescent="0.25">
      <c r="K206"/>
      <c r="L206"/>
      <c r="M206"/>
      <c r="N206"/>
      <c r="O206"/>
    </row>
    <row r="207" spans="11:15" x14ac:dyDescent="0.25">
      <c r="K207"/>
      <c r="L207"/>
      <c r="M207"/>
      <c r="N207"/>
      <c r="O207"/>
    </row>
    <row r="208" spans="11:15" x14ac:dyDescent="0.25">
      <c r="K208"/>
      <c r="L208"/>
      <c r="M208"/>
      <c r="N208"/>
      <c r="O208"/>
    </row>
    <row r="209" spans="11:15" x14ac:dyDescent="0.25">
      <c r="K209"/>
      <c r="L209"/>
      <c r="M209"/>
      <c r="N209"/>
      <c r="O209"/>
    </row>
    <row r="210" spans="11:15" x14ac:dyDescent="0.25">
      <c r="K210"/>
      <c r="L210"/>
      <c r="M210"/>
      <c r="N210"/>
      <c r="O210"/>
    </row>
    <row r="211" spans="11:15" x14ac:dyDescent="0.25">
      <c r="K211"/>
      <c r="L211"/>
      <c r="M211"/>
      <c r="N211"/>
      <c r="O211"/>
    </row>
    <row r="212" spans="11:15" x14ac:dyDescent="0.25">
      <c r="K212"/>
      <c r="L212"/>
      <c r="M212"/>
      <c r="N212"/>
      <c r="O212"/>
    </row>
    <row r="213" spans="11:15" x14ac:dyDescent="0.25">
      <c r="K213"/>
      <c r="L213"/>
      <c r="M213"/>
      <c r="N213"/>
      <c r="O213"/>
    </row>
    <row r="214" spans="11:15" x14ac:dyDescent="0.25">
      <c r="K214"/>
      <c r="L214"/>
      <c r="M214"/>
      <c r="N214"/>
      <c r="O214"/>
    </row>
    <row r="215" spans="11:15" x14ac:dyDescent="0.25">
      <c r="K215"/>
      <c r="L215"/>
      <c r="M215"/>
      <c r="N215"/>
      <c r="O215"/>
    </row>
    <row r="216" spans="11:15" x14ac:dyDescent="0.25">
      <c r="K216"/>
      <c r="L216"/>
      <c r="M216"/>
      <c r="N216"/>
      <c r="O216"/>
    </row>
    <row r="217" spans="11:15" x14ac:dyDescent="0.25">
      <c r="K217"/>
      <c r="L217"/>
      <c r="M217"/>
      <c r="N217"/>
      <c r="O217"/>
    </row>
    <row r="218" spans="11:15" x14ac:dyDescent="0.25">
      <c r="K218"/>
      <c r="L218"/>
      <c r="M218"/>
      <c r="N218"/>
      <c r="O218"/>
    </row>
    <row r="219" spans="11:15" x14ac:dyDescent="0.25">
      <c r="K219"/>
      <c r="L219"/>
      <c r="M219"/>
      <c r="N219"/>
      <c r="O219"/>
    </row>
    <row r="220" spans="11:15" x14ac:dyDescent="0.25">
      <c r="K220"/>
      <c r="L220"/>
      <c r="M220"/>
      <c r="N220"/>
      <c r="O220"/>
    </row>
    <row r="221" spans="11:15" x14ac:dyDescent="0.25">
      <c r="K221"/>
      <c r="L221"/>
      <c r="M221"/>
      <c r="N221"/>
      <c r="O221"/>
    </row>
    <row r="222" spans="11:15" x14ac:dyDescent="0.25">
      <c r="K222"/>
      <c r="L222"/>
      <c r="M222"/>
      <c r="N222"/>
      <c r="O222"/>
    </row>
    <row r="223" spans="11:15" x14ac:dyDescent="0.25">
      <c r="K223"/>
      <c r="L223"/>
      <c r="M223"/>
      <c r="N223"/>
      <c r="O223"/>
    </row>
    <row r="224" spans="11:15" x14ac:dyDescent="0.25">
      <c r="K224"/>
      <c r="L224"/>
      <c r="M224"/>
      <c r="N224"/>
      <c r="O224"/>
    </row>
    <row r="225" spans="11:15" x14ac:dyDescent="0.25">
      <c r="K225"/>
      <c r="L225"/>
      <c r="M225"/>
      <c r="N225"/>
      <c r="O225"/>
    </row>
    <row r="226" spans="11:15" x14ac:dyDescent="0.25">
      <c r="K226"/>
      <c r="L226"/>
      <c r="M226"/>
      <c r="N226"/>
      <c r="O226"/>
    </row>
    <row r="227" spans="11:15" x14ac:dyDescent="0.25">
      <c r="K227"/>
      <c r="L227"/>
      <c r="M227"/>
      <c r="N227"/>
      <c r="O227"/>
    </row>
    <row r="228" spans="11:15" x14ac:dyDescent="0.25">
      <c r="K228"/>
      <c r="L228"/>
      <c r="M228"/>
      <c r="N228"/>
      <c r="O228"/>
    </row>
    <row r="229" spans="11:15" x14ac:dyDescent="0.25">
      <c r="K229"/>
      <c r="L229"/>
      <c r="M229"/>
      <c r="N229"/>
      <c r="O229"/>
    </row>
    <row r="230" spans="11:15" x14ac:dyDescent="0.25">
      <c r="K230"/>
      <c r="L230"/>
      <c r="M230"/>
      <c r="N230"/>
      <c r="O230"/>
    </row>
    <row r="231" spans="11:15" x14ac:dyDescent="0.25">
      <c r="K231"/>
      <c r="L231"/>
      <c r="M231"/>
      <c r="N231"/>
      <c r="O231"/>
    </row>
    <row r="232" spans="11:15" x14ac:dyDescent="0.25">
      <c r="K232"/>
      <c r="L232"/>
      <c r="M232"/>
      <c r="N232"/>
      <c r="O232"/>
    </row>
    <row r="233" spans="11:15" x14ac:dyDescent="0.25">
      <c r="K233"/>
      <c r="L233"/>
      <c r="M233"/>
      <c r="N233"/>
      <c r="O233"/>
    </row>
    <row r="234" spans="11:15" x14ac:dyDescent="0.25">
      <c r="K234"/>
      <c r="L234"/>
      <c r="M234"/>
      <c r="N234"/>
      <c r="O234"/>
    </row>
    <row r="235" spans="11:15" x14ac:dyDescent="0.25">
      <c r="K235"/>
      <c r="L235"/>
      <c r="M235"/>
      <c r="N235"/>
      <c r="O235"/>
    </row>
    <row r="236" spans="11:15" x14ac:dyDescent="0.25">
      <c r="K236"/>
      <c r="L236"/>
      <c r="M236"/>
      <c r="N236"/>
      <c r="O236"/>
    </row>
    <row r="237" spans="11:15" x14ac:dyDescent="0.25">
      <c r="K237"/>
      <c r="L237"/>
      <c r="M237"/>
      <c r="N237"/>
      <c r="O237"/>
    </row>
    <row r="238" spans="11:15" x14ac:dyDescent="0.25">
      <c r="K238"/>
      <c r="L238"/>
      <c r="M238"/>
      <c r="N238"/>
      <c r="O238"/>
    </row>
    <row r="239" spans="11:15" x14ac:dyDescent="0.25">
      <c r="K239"/>
      <c r="L239"/>
      <c r="M239"/>
      <c r="N239"/>
      <c r="O239"/>
    </row>
    <row r="240" spans="11:15" x14ac:dyDescent="0.25">
      <c r="K240"/>
      <c r="L240"/>
      <c r="M240"/>
      <c r="N240"/>
      <c r="O240"/>
    </row>
    <row r="241" spans="11:15" x14ac:dyDescent="0.25">
      <c r="K241"/>
      <c r="L241"/>
      <c r="M241"/>
      <c r="N241"/>
      <c r="O241"/>
    </row>
    <row r="242" spans="11:15" x14ac:dyDescent="0.25">
      <c r="K242"/>
      <c r="L242"/>
      <c r="M242"/>
      <c r="N242"/>
      <c r="O242"/>
    </row>
    <row r="243" spans="11:15" x14ac:dyDescent="0.25">
      <c r="K243"/>
      <c r="L243"/>
      <c r="M243"/>
      <c r="N243"/>
      <c r="O243"/>
    </row>
    <row r="244" spans="11:15" x14ac:dyDescent="0.25">
      <c r="K244"/>
      <c r="L244"/>
      <c r="M244"/>
      <c r="N244"/>
      <c r="O244"/>
    </row>
    <row r="245" spans="11:15" x14ac:dyDescent="0.25">
      <c r="K245"/>
      <c r="L245"/>
      <c r="M245"/>
      <c r="N245"/>
      <c r="O245"/>
    </row>
    <row r="246" spans="11:15" x14ac:dyDescent="0.25">
      <c r="K246"/>
      <c r="L246"/>
      <c r="M246"/>
      <c r="N246"/>
      <c r="O246"/>
    </row>
    <row r="247" spans="11:15" x14ac:dyDescent="0.25">
      <c r="K247"/>
      <c r="L247"/>
      <c r="M247"/>
      <c r="N247"/>
      <c r="O247"/>
    </row>
    <row r="248" spans="11:15" x14ac:dyDescent="0.25">
      <c r="K248"/>
      <c r="L248"/>
      <c r="M248"/>
      <c r="N248"/>
      <c r="O248"/>
    </row>
    <row r="249" spans="11:15" x14ac:dyDescent="0.25">
      <c r="K249"/>
      <c r="L249"/>
      <c r="M249"/>
      <c r="N249"/>
      <c r="O249"/>
    </row>
    <row r="250" spans="11:15" x14ac:dyDescent="0.25">
      <c r="K250"/>
      <c r="L250"/>
      <c r="M250"/>
      <c r="N250"/>
      <c r="O250"/>
    </row>
    <row r="251" spans="11:15" x14ac:dyDescent="0.25">
      <c r="K251"/>
      <c r="L251"/>
      <c r="M251"/>
      <c r="N251"/>
      <c r="O251"/>
    </row>
    <row r="252" spans="11:15" x14ac:dyDescent="0.25">
      <c r="K252"/>
      <c r="L252"/>
      <c r="M252"/>
      <c r="N252"/>
      <c r="O252"/>
    </row>
    <row r="253" spans="11:15" x14ac:dyDescent="0.25">
      <c r="K253"/>
      <c r="L253"/>
      <c r="M253"/>
      <c r="N253"/>
      <c r="O253"/>
    </row>
    <row r="254" spans="11:15" x14ac:dyDescent="0.25">
      <c r="K254"/>
      <c r="L254"/>
      <c r="M254"/>
      <c r="N254"/>
      <c r="O254"/>
    </row>
    <row r="255" spans="11:15" x14ac:dyDescent="0.25">
      <c r="K255"/>
      <c r="L255"/>
      <c r="M255"/>
      <c r="N255"/>
      <c r="O255"/>
    </row>
    <row r="256" spans="11:15" x14ac:dyDescent="0.25">
      <c r="K256"/>
      <c r="L256"/>
      <c r="M256"/>
      <c r="N256"/>
      <c r="O256"/>
    </row>
    <row r="257" spans="11:15" x14ac:dyDescent="0.25">
      <c r="K257"/>
      <c r="L257"/>
      <c r="M257"/>
      <c r="N257"/>
      <c r="O257"/>
    </row>
    <row r="258" spans="11:15" x14ac:dyDescent="0.25">
      <c r="K258"/>
      <c r="L258"/>
      <c r="M258"/>
      <c r="N258"/>
      <c r="O258"/>
    </row>
    <row r="259" spans="11:15" x14ac:dyDescent="0.25">
      <c r="K259"/>
      <c r="L259"/>
      <c r="M259"/>
      <c r="N259"/>
      <c r="O259"/>
    </row>
    <row r="260" spans="11:15" x14ac:dyDescent="0.25">
      <c r="K260"/>
      <c r="L260"/>
      <c r="M260"/>
      <c r="N260"/>
      <c r="O260"/>
    </row>
    <row r="261" spans="11:15" x14ac:dyDescent="0.25">
      <c r="K261"/>
      <c r="L261"/>
      <c r="M261"/>
      <c r="N261"/>
      <c r="O261"/>
    </row>
    <row r="262" spans="11:15" x14ac:dyDescent="0.25">
      <c r="K262"/>
      <c r="L262"/>
      <c r="M262"/>
      <c r="N262"/>
      <c r="O262"/>
    </row>
    <row r="263" spans="11:15" x14ac:dyDescent="0.25">
      <c r="K263"/>
      <c r="L263"/>
      <c r="M263"/>
      <c r="N263"/>
      <c r="O263"/>
    </row>
    <row r="264" spans="11:15" x14ac:dyDescent="0.25">
      <c r="K264"/>
      <c r="L264"/>
      <c r="M264"/>
      <c r="N264"/>
      <c r="O264"/>
    </row>
    <row r="265" spans="11:15" x14ac:dyDescent="0.25">
      <c r="K265"/>
      <c r="L265"/>
      <c r="M265"/>
      <c r="N265"/>
      <c r="O265"/>
    </row>
    <row r="266" spans="11:15" x14ac:dyDescent="0.25">
      <c r="K266"/>
      <c r="L266"/>
      <c r="M266"/>
      <c r="N266"/>
      <c r="O266"/>
    </row>
    <row r="267" spans="11:15" x14ac:dyDescent="0.25">
      <c r="K267"/>
      <c r="L267"/>
      <c r="M267"/>
      <c r="N267"/>
      <c r="O267"/>
    </row>
    <row r="268" spans="11:15" x14ac:dyDescent="0.25">
      <c r="K268"/>
      <c r="L268"/>
      <c r="M268"/>
      <c r="N268"/>
      <c r="O268"/>
    </row>
    <row r="269" spans="11:15" x14ac:dyDescent="0.25">
      <c r="K269"/>
      <c r="L269"/>
      <c r="M269"/>
      <c r="N269"/>
      <c r="O269"/>
    </row>
    <row r="270" spans="11:15" x14ac:dyDescent="0.25">
      <c r="K270"/>
      <c r="L270"/>
      <c r="M270"/>
      <c r="N270"/>
      <c r="O270"/>
    </row>
    <row r="271" spans="11:15" x14ac:dyDescent="0.25">
      <c r="K271"/>
      <c r="L271"/>
      <c r="M271"/>
      <c r="N271"/>
      <c r="O271"/>
    </row>
    <row r="272" spans="11:15" x14ac:dyDescent="0.25">
      <c r="K272"/>
      <c r="L272"/>
      <c r="M272"/>
      <c r="N272"/>
      <c r="O272"/>
    </row>
    <row r="273" spans="11:15" x14ac:dyDescent="0.25">
      <c r="K273"/>
      <c r="L273"/>
      <c r="M273"/>
      <c r="N273"/>
      <c r="O273"/>
    </row>
    <row r="274" spans="11:15" x14ac:dyDescent="0.25">
      <c r="K274"/>
      <c r="L274"/>
      <c r="M274"/>
      <c r="N274"/>
      <c r="O274"/>
    </row>
    <row r="275" spans="11:15" x14ac:dyDescent="0.25">
      <c r="K275"/>
      <c r="L275"/>
      <c r="M275"/>
      <c r="N275"/>
      <c r="O275"/>
    </row>
    <row r="276" spans="11:15" x14ac:dyDescent="0.25">
      <c r="K276"/>
      <c r="L276"/>
      <c r="M276"/>
      <c r="N276"/>
      <c r="O276"/>
    </row>
    <row r="277" spans="11:15" x14ac:dyDescent="0.25">
      <c r="K277"/>
      <c r="L277"/>
      <c r="M277"/>
      <c r="N277"/>
      <c r="O277"/>
    </row>
    <row r="278" spans="11:15" x14ac:dyDescent="0.25">
      <c r="K278"/>
      <c r="L278"/>
      <c r="M278"/>
      <c r="N278"/>
      <c r="O278"/>
    </row>
    <row r="279" spans="11:15" x14ac:dyDescent="0.25">
      <c r="K279"/>
      <c r="L279"/>
      <c r="M279"/>
      <c r="N279"/>
      <c r="O279"/>
    </row>
    <row r="280" spans="11:15" x14ac:dyDescent="0.25">
      <c r="K280"/>
      <c r="L280"/>
      <c r="M280"/>
      <c r="N280"/>
      <c r="O280"/>
    </row>
    <row r="281" spans="11:15" x14ac:dyDescent="0.25">
      <c r="K281"/>
      <c r="L281"/>
      <c r="M281"/>
      <c r="N281"/>
      <c r="O281"/>
    </row>
    <row r="282" spans="11:15" x14ac:dyDescent="0.25">
      <c r="K282"/>
      <c r="L282"/>
      <c r="M282"/>
      <c r="N282"/>
      <c r="O282"/>
    </row>
    <row r="283" spans="11:15" x14ac:dyDescent="0.25">
      <c r="K283"/>
      <c r="L283"/>
      <c r="M283"/>
      <c r="N283"/>
      <c r="O283"/>
    </row>
    <row r="284" spans="11:15" x14ac:dyDescent="0.25">
      <c r="K284"/>
      <c r="L284"/>
      <c r="M284"/>
      <c r="N284"/>
      <c r="O284"/>
    </row>
    <row r="285" spans="11:15" x14ac:dyDescent="0.25">
      <c r="K285"/>
      <c r="L285"/>
      <c r="M285"/>
      <c r="N285"/>
      <c r="O285"/>
    </row>
    <row r="286" spans="11:15" x14ac:dyDescent="0.25">
      <c r="K286"/>
      <c r="L286"/>
      <c r="M286"/>
      <c r="N286"/>
      <c r="O286"/>
    </row>
    <row r="287" spans="11:15" x14ac:dyDescent="0.25">
      <c r="K287"/>
      <c r="L287"/>
      <c r="M287"/>
      <c r="N287"/>
      <c r="O287"/>
    </row>
    <row r="288" spans="11:15" x14ac:dyDescent="0.25">
      <c r="K288"/>
      <c r="L288"/>
      <c r="M288"/>
      <c r="N288"/>
      <c r="O288"/>
    </row>
    <row r="289" spans="11:15" x14ac:dyDescent="0.25">
      <c r="K289"/>
      <c r="L289"/>
      <c r="M289"/>
      <c r="N289"/>
      <c r="O289"/>
    </row>
    <row r="290" spans="11:15" x14ac:dyDescent="0.25">
      <c r="K290"/>
      <c r="L290"/>
      <c r="M290"/>
      <c r="N290"/>
      <c r="O290"/>
    </row>
    <row r="291" spans="11:15" x14ac:dyDescent="0.25">
      <c r="K291"/>
      <c r="L291"/>
      <c r="M291"/>
      <c r="N291"/>
      <c r="O291"/>
    </row>
    <row r="292" spans="11:15" x14ac:dyDescent="0.25">
      <c r="K292"/>
      <c r="L292"/>
      <c r="M292"/>
      <c r="N292"/>
      <c r="O292"/>
    </row>
    <row r="293" spans="11:15" x14ac:dyDescent="0.25">
      <c r="K293"/>
      <c r="L293"/>
      <c r="M293"/>
      <c r="N293"/>
      <c r="O293"/>
    </row>
    <row r="294" spans="11:15" x14ac:dyDescent="0.25">
      <c r="K294"/>
      <c r="L294"/>
      <c r="M294"/>
      <c r="N294"/>
      <c r="O294"/>
    </row>
    <row r="295" spans="11:15" x14ac:dyDescent="0.25">
      <c r="K295"/>
      <c r="L295"/>
      <c r="M295"/>
      <c r="N295"/>
      <c r="O295"/>
    </row>
    <row r="296" spans="11:15" x14ac:dyDescent="0.25">
      <c r="K296"/>
      <c r="L296"/>
      <c r="M296"/>
      <c r="N296"/>
      <c r="O296"/>
    </row>
    <row r="297" spans="11:15" x14ac:dyDescent="0.25">
      <c r="K297"/>
      <c r="L297"/>
      <c r="M297"/>
      <c r="N297"/>
      <c r="O297"/>
    </row>
    <row r="298" spans="11:15" x14ac:dyDescent="0.25">
      <c r="K298"/>
      <c r="L298"/>
      <c r="M298"/>
      <c r="N298"/>
      <c r="O298"/>
    </row>
    <row r="299" spans="11:15" x14ac:dyDescent="0.25">
      <c r="K299"/>
      <c r="L299"/>
      <c r="M299"/>
      <c r="N299"/>
      <c r="O299"/>
    </row>
    <row r="300" spans="11:15" x14ac:dyDescent="0.25">
      <c r="K300"/>
      <c r="L300"/>
      <c r="M300"/>
      <c r="N300"/>
      <c r="O300"/>
    </row>
    <row r="301" spans="11:15" x14ac:dyDescent="0.25">
      <c r="K301"/>
      <c r="L301"/>
      <c r="M301"/>
      <c r="N301"/>
      <c r="O301"/>
    </row>
    <row r="302" spans="11:15" x14ac:dyDescent="0.25">
      <c r="K302"/>
      <c r="L302"/>
      <c r="M302"/>
      <c r="N302"/>
      <c r="O302"/>
    </row>
    <row r="303" spans="11:15" x14ac:dyDescent="0.25">
      <c r="K303"/>
      <c r="L303"/>
      <c r="M303"/>
      <c r="N303"/>
      <c r="O303"/>
    </row>
    <row r="304" spans="11:15" x14ac:dyDescent="0.25">
      <c r="K304"/>
      <c r="L304"/>
      <c r="M304"/>
      <c r="N304"/>
      <c r="O304"/>
    </row>
    <row r="305" spans="11:15" x14ac:dyDescent="0.25">
      <c r="K305"/>
      <c r="L305"/>
      <c r="M305"/>
      <c r="N305"/>
      <c r="O305"/>
    </row>
    <row r="306" spans="11:15" x14ac:dyDescent="0.25">
      <c r="K306"/>
      <c r="L306"/>
      <c r="M306"/>
      <c r="N306"/>
      <c r="O306"/>
    </row>
    <row r="307" spans="11:15" x14ac:dyDescent="0.25">
      <c r="K307"/>
      <c r="L307"/>
      <c r="M307"/>
      <c r="N307"/>
      <c r="O307"/>
    </row>
    <row r="308" spans="11:15" x14ac:dyDescent="0.25">
      <c r="K308"/>
      <c r="L308"/>
      <c r="M308"/>
      <c r="N308"/>
      <c r="O308"/>
    </row>
    <row r="309" spans="11:15" x14ac:dyDescent="0.25">
      <c r="K309"/>
      <c r="L309"/>
      <c r="M309"/>
      <c r="N309"/>
      <c r="O309"/>
    </row>
    <row r="310" spans="11:15" x14ac:dyDescent="0.25">
      <c r="K310"/>
      <c r="L310"/>
      <c r="M310"/>
      <c r="N310"/>
      <c r="O310"/>
    </row>
    <row r="311" spans="11:15" x14ac:dyDescent="0.25">
      <c r="K311"/>
      <c r="L311"/>
      <c r="M311"/>
      <c r="N311"/>
      <c r="O311"/>
    </row>
    <row r="312" spans="11:15" x14ac:dyDescent="0.25">
      <c r="K312"/>
      <c r="L312"/>
      <c r="M312"/>
      <c r="N312"/>
      <c r="O312"/>
    </row>
    <row r="313" spans="11:15" x14ac:dyDescent="0.25">
      <c r="K313"/>
      <c r="L313"/>
      <c r="M313"/>
      <c r="N313"/>
      <c r="O313"/>
    </row>
    <row r="314" spans="11:15" x14ac:dyDescent="0.25">
      <c r="K314"/>
      <c r="L314"/>
      <c r="M314"/>
      <c r="N314"/>
      <c r="O314"/>
    </row>
    <row r="315" spans="11:15" x14ac:dyDescent="0.25">
      <c r="K315"/>
      <c r="L315"/>
      <c r="M315"/>
      <c r="N315"/>
      <c r="O315"/>
    </row>
    <row r="316" spans="11:15" x14ac:dyDescent="0.25">
      <c r="K316"/>
      <c r="L316"/>
      <c r="M316"/>
      <c r="N316"/>
      <c r="O316"/>
    </row>
    <row r="317" spans="11:15" x14ac:dyDescent="0.25">
      <c r="K317"/>
      <c r="L317"/>
      <c r="M317"/>
      <c r="N317"/>
      <c r="O317"/>
    </row>
    <row r="318" spans="11:15" x14ac:dyDescent="0.25">
      <c r="K318"/>
      <c r="L318"/>
      <c r="M318"/>
      <c r="N318"/>
      <c r="O318"/>
    </row>
    <row r="319" spans="11:15" x14ac:dyDescent="0.25">
      <c r="K319"/>
      <c r="L319"/>
      <c r="M319"/>
      <c r="N319"/>
      <c r="O319"/>
    </row>
    <row r="320" spans="11:15" x14ac:dyDescent="0.25">
      <c r="K320"/>
      <c r="L320"/>
      <c r="M320"/>
      <c r="N320"/>
      <c r="O320"/>
    </row>
    <row r="321" spans="11:15" x14ac:dyDescent="0.25">
      <c r="K321"/>
      <c r="L321"/>
      <c r="M321"/>
      <c r="N321"/>
      <c r="O321"/>
    </row>
    <row r="322" spans="11:15" x14ac:dyDescent="0.25">
      <c r="K322"/>
      <c r="L322"/>
      <c r="M322"/>
      <c r="N322"/>
      <c r="O322"/>
    </row>
    <row r="323" spans="11:15" x14ac:dyDescent="0.25">
      <c r="K323"/>
      <c r="L323"/>
      <c r="M323"/>
      <c r="N323"/>
      <c r="O323"/>
    </row>
    <row r="324" spans="11:15" x14ac:dyDescent="0.25">
      <c r="K324"/>
      <c r="L324"/>
      <c r="M324"/>
      <c r="N324"/>
      <c r="O324"/>
    </row>
    <row r="325" spans="11:15" x14ac:dyDescent="0.25">
      <c r="K325"/>
      <c r="L325"/>
      <c r="M325"/>
      <c r="N325"/>
      <c r="O325"/>
    </row>
    <row r="326" spans="11:15" x14ac:dyDescent="0.25">
      <c r="K326"/>
      <c r="L326"/>
      <c r="M326"/>
      <c r="N326"/>
      <c r="O326"/>
    </row>
    <row r="327" spans="11:15" x14ac:dyDescent="0.25">
      <c r="K327"/>
      <c r="L327"/>
      <c r="M327"/>
      <c r="N327"/>
      <c r="O327"/>
    </row>
    <row r="328" spans="11:15" x14ac:dyDescent="0.25">
      <c r="K328"/>
      <c r="L328"/>
      <c r="M328"/>
      <c r="N328"/>
      <c r="O328"/>
    </row>
    <row r="329" spans="11:15" x14ac:dyDescent="0.25">
      <c r="K329"/>
      <c r="L329"/>
      <c r="M329"/>
      <c r="N329"/>
      <c r="O329"/>
    </row>
    <row r="330" spans="11:15" x14ac:dyDescent="0.25">
      <c r="K330"/>
      <c r="L330"/>
      <c r="M330"/>
      <c r="N330"/>
      <c r="O330"/>
    </row>
    <row r="331" spans="11:15" x14ac:dyDescent="0.25">
      <c r="K331"/>
      <c r="L331"/>
      <c r="M331"/>
      <c r="N331"/>
      <c r="O331"/>
    </row>
    <row r="332" spans="11:15" x14ac:dyDescent="0.25">
      <c r="K332"/>
      <c r="L332"/>
      <c r="M332"/>
      <c r="N332"/>
      <c r="O332"/>
    </row>
    <row r="333" spans="11:15" x14ac:dyDescent="0.25">
      <c r="K333"/>
      <c r="L333"/>
      <c r="M333"/>
      <c r="N333"/>
      <c r="O333"/>
    </row>
    <row r="334" spans="11:15" x14ac:dyDescent="0.25">
      <c r="K334"/>
      <c r="L334"/>
      <c r="M334"/>
      <c r="N334"/>
      <c r="O334"/>
    </row>
    <row r="335" spans="11:15" x14ac:dyDescent="0.25">
      <c r="K335"/>
      <c r="L335"/>
      <c r="M335"/>
      <c r="N335"/>
      <c r="O335"/>
    </row>
    <row r="336" spans="11:15" x14ac:dyDescent="0.25">
      <c r="K336"/>
      <c r="L336"/>
      <c r="M336"/>
      <c r="N336"/>
      <c r="O336"/>
    </row>
    <row r="337" spans="11:15" x14ac:dyDescent="0.25">
      <c r="K337"/>
      <c r="L337"/>
      <c r="M337"/>
      <c r="N337"/>
      <c r="O337"/>
    </row>
    <row r="338" spans="11:15" x14ac:dyDescent="0.25">
      <c r="K338"/>
      <c r="L338"/>
      <c r="M338"/>
      <c r="N338"/>
      <c r="O338"/>
    </row>
    <row r="339" spans="11:15" x14ac:dyDescent="0.25">
      <c r="K339"/>
      <c r="L339"/>
      <c r="M339"/>
      <c r="N339"/>
      <c r="O339"/>
    </row>
    <row r="340" spans="11:15" x14ac:dyDescent="0.25">
      <c r="K340"/>
      <c r="L340"/>
      <c r="M340"/>
      <c r="N340"/>
      <c r="O340"/>
    </row>
    <row r="341" spans="11:15" x14ac:dyDescent="0.25">
      <c r="K341"/>
      <c r="L341"/>
      <c r="M341"/>
      <c r="N341"/>
      <c r="O341"/>
    </row>
    <row r="342" spans="11:15" x14ac:dyDescent="0.25">
      <c r="K342"/>
      <c r="L342"/>
      <c r="M342"/>
      <c r="N342"/>
      <c r="O342"/>
    </row>
    <row r="343" spans="11:15" x14ac:dyDescent="0.25">
      <c r="K343"/>
      <c r="L343"/>
      <c r="M343"/>
      <c r="N343"/>
      <c r="O343"/>
    </row>
    <row r="344" spans="11:15" x14ac:dyDescent="0.25">
      <c r="K344"/>
      <c r="L344"/>
      <c r="M344"/>
      <c r="N344"/>
      <c r="O344"/>
    </row>
    <row r="345" spans="11:15" x14ac:dyDescent="0.25">
      <c r="K345"/>
      <c r="L345"/>
      <c r="M345"/>
      <c r="N345"/>
      <c r="O345"/>
    </row>
    <row r="346" spans="11:15" x14ac:dyDescent="0.25">
      <c r="K346"/>
      <c r="L346"/>
      <c r="M346"/>
      <c r="N346"/>
      <c r="O346"/>
    </row>
    <row r="347" spans="11:15" x14ac:dyDescent="0.25">
      <c r="K347"/>
      <c r="L347"/>
      <c r="M347"/>
      <c r="N347"/>
      <c r="O347"/>
    </row>
    <row r="348" spans="11:15" x14ac:dyDescent="0.25">
      <c r="K348"/>
      <c r="L348"/>
      <c r="M348"/>
      <c r="N348"/>
      <c r="O348"/>
    </row>
    <row r="349" spans="11:15" x14ac:dyDescent="0.25">
      <c r="K349"/>
      <c r="L349"/>
      <c r="M349"/>
      <c r="N349"/>
      <c r="O349"/>
    </row>
    <row r="350" spans="11:15" x14ac:dyDescent="0.25">
      <c r="K350"/>
      <c r="L350"/>
      <c r="M350"/>
      <c r="N350"/>
      <c r="O350"/>
    </row>
    <row r="351" spans="11:15" x14ac:dyDescent="0.25">
      <c r="K351"/>
      <c r="L351"/>
      <c r="M351"/>
      <c r="N351"/>
      <c r="O351"/>
    </row>
    <row r="352" spans="11:15" x14ac:dyDescent="0.25">
      <c r="K352"/>
      <c r="L352"/>
      <c r="M352"/>
      <c r="N352"/>
      <c r="O352"/>
    </row>
    <row r="353" spans="11:15" x14ac:dyDescent="0.25">
      <c r="K353"/>
      <c r="L353"/>
      <c r="M353"/>
      <c r="N353"/>
      <c r="O353"/>
    </row>
    <row r="354" spans="11:15" x14ac:dyDescent="0.25">
      <c r="K354"/>
      <c r="L354"/>
      <c r="M354"/>
      <c r="N354"/>
      <c r="O354"/>
    </row>
    <row r="355" spans="11:15" x14ac:dyDescent="0.25">
      <c r="K355"/>
      <c r="L355"/>
      <c r="M355"/>
      <c r="N355"/>
      <c r="O355"/>
    </row>
    <row r="356" spans="11:15" x14ac:dyDescent="0.25">
      <c r="K356"/>
      <c r="L356"/>
      <c r="M356"/>
      <c r="N356"/>
      <c r="O356"/>
    </row>
    <row r="357" spans="11:15" x14ac:dyDescent="0.25">
      <c r="K357"/>
      <c r="L357"/>
      <c r="M357"/>
      <c r="N357"/>
      <c r="O357"/>
    </row>
    <row r="358" spans="11:15" x14ac:dyDescent="0.25">
      <c r="K358"/>
      <c r="L358"/>
      <c r="M358"/>
      <c r="N358"/>
      <c r="O358"/>
    </row>
    <row r="359" spans="11:15" x14ac:dyDescent="0.25">
      <c r="K359"/>
      <c r="L359"/>
      <c r="M359"/>
      <c r="N359"/>
      <c r="O359"/>
    </row>
    <row r="360" spans="11:15" x14ac:dyDescent="0.25">
      <c r="K360"/>
      <c r="L360"/>
      <c r="M360"/>
      <c r="N360"/>
      <c r="O360"/>
    </row>
    <row r="361" spans="11:15" x14ac:dyDescent="0.25">
      <c r="K361"/>
      <c r="L361"/>
      <c r="M361"/>
      <c r="N361"/>
      <c r="O361"/>
    </row>
    <row r="362" spans="11:15" x14ac:dyDescent="0.25">
      <c r="K362"/>
      <c r="L362"/>
      <c r="M362"/>
      <c r="N362"/>
      <c r="O362"/>
    </row>
    <row r="363" spans="11:15" x14ac:dyDescent="0.25">
      <c r="K363"/>
      <c r="L363"/>
      <c r="M363"/>
      <c r="N363"/>
      <c r="O363"/>
    </row>
    <row r="364" spans="11:15" x14ac:dyDescent="0.25">
      <c r="K364"/>
      <c r="L364"/>
      <c r="M364"/>
      <c r="N364"/>
      <c r="O364"/>
    </row>
    <row r="365" spans="11:15" x14ac:dyDescent="0.25">
      <c r="K365"/>
      <c r="L365"/>
      <c r="M365"/>
      <c r="N365"/>
      <c r="O365"/>
    </row>
    <row r="366" spans="11:15" x14ac:dyDescent="0.25">
      <c r="K366"/>
      <c r="L366"/>
      <c r="M366"/>
      <c r="N366"/>
      <c r="O366"/>
    </row>
    <row r="367" spans="11:15" x14ac:dyDescent="0.25">
      <c r="K367"/>
      <c r="L367"/>
      <c r="M367"/>
      <c r="N367"/>
      <c r="O367"/>
    </row>
    <row r="368" spans="11:15" x14ac:dyDescent="0.25">
      <c r="K368"/>
      <c r="L368"/>
      <c r="M368"/>
      <c r="N368"/>
      <c r="O368"/>
    </row>
    <row r="369" spans="11:15" x14ac:dyDescent="0.25">
      <c r="K369"/>
      <c r="L369"/>
      <c r="M369"/>
      <c r="N369"/>
      <c r="O369"/>
    </row>
    <row r="370" spans="11:15" x14ac:dyDescent="0.25">
      <c r="K370"/>
      <c r="L370"/>
      <c r="M370"/>
      <c r="N370"/>
      <c r="O370"/>
    </row>
    <row r="371" spans="11:15" x14ac:dyDescent="0.25">
      <c r="K371"/>
      <c r="L371"/>
      <c r="M371"/>
      <c r="N371"/>
      <c r="O371"/>
    </row>
    <row r="372" spans="11:15" x14ac:dyDescent="0.25">
      <c r="K372"/>
      <c r="L372"/>
      <c r="M372"/>
      <c r="N372"/>
      <c r="O372"/>
    </row>
    <row r="373" spans="11:15" x14ac:dyDescent="0.25">
      <c r="K373"/>
      <c r="L373"/>
      <c r="M373"/>
      <c r="N373"/>
      <c r="O373"/>
    </row>
    <row r="374" spans="11:15" x14ac:dyDescent="0.25">
      <c r="K374"/>
      <c r="L374"/>
      <c r="M374"/>
      <c r="N374"/>
      <c r="O374"/>
    </row>
    <row r="375" spans="11:15" x14ac:dyDescent="0.25">
      <c r="K375"/>
      <c r="L375"/>
      <c r="M375"/>
      <c r="N375"/>
      <c r="O375"/>
    </row>
    <row r="376" spans="11:15" x14ac:dyDescent="0.25">
      <c r="K376"/>
      <c r="L376"/>
      <c r="M376"/>
      <c r="N376"/>
      <c r="O376"/>
    </row>
    <row r="377" spans="11:15" x14ac:dyDescent="0.25">
      <c r="K377"/>
      <c r="L377"/>
      <c r="M377"/>
      <c r="N377"/>
      <c r="O377"/>
    </row>
    <row r="378" spans="11:15" x14ac:dyDescent="0.25">
      <c r="K378"/>
      <c r="L378"/>
      <c r="M378"/>
      <c r="N378"/>
      <c r="O378"/>
    </row>
    <row r="379" spans="11:15" x14ac:dyDescent="0.25">
      <c r="K379"/>
      <c r="L379"/>
      <c r="M379"/>
      <c r="N379"/>
      <c r="O379"/>
    </row>
    <row r="380" spans="11:15" x14ac:dyDescent="0.25">
      <c r="K380"/>
      <c r="L380"/>
      <c r="M380"/>
      <c r="N380"/>
      <c r="O380"/>
    </row>
    <row r="381" spans="11:15" x14ac:dyDescent="0.25">
      <c r="K381"/>
      <c r="L381"/>
      <c r="M381"/>
      <c r="N381"/>
      <c r="O381"/>
    </row>
    <row r="382" spans="11:15" x14ac:dyDescent="0.25">
      <c r="K382"/>
      <c r="L382"/>
      <c r="M382"/>
      <c r="N382"/>
      <c r="O382"/>
    </row>
    <row r="383" spans="11:15" x14ac:dyDescent="0.25">
      <c r="K383"/>
      <c r="L383"/>
      <c r="M383"/>
      <c r="N383"/>
      <c r="O383"/>
    </row>
    <row r="384" spans="11:15" x14ac:dyDescent="0.25">
      <c r="K384"/>
      <c r="L384"/>
      <c r="M384"/>
      <c r="N384"/>
      <c r="O384"/>
    </row>
    <row r="385" spans="11:15" x14ac:dyDescent="0.25">
      <c r="K385"/>
      <c r="L385"/>
      <c r="M385"/>
      <c r="N385"/>
      <c r="O385"/>
    </row>
    <row r="386" spans="11:15" x14ac:dyDescent="0.25">
      <c r="K386"/>
      <c r="L386"/>
      <c r="M386"/>
      <c r="N386"/>
      <c r="O386"/>
    </row>
    <row r="387" spans="11:15" x14ac:dyDescent="0.25">
      <c r="K387"/>
      <c r="L387"/>
      <c r="M387"/>
      <c r="N387"/>
      <c r="O387"/>
    </row>
    <row r="388" spans="11:15" x14ac:dyDescent="0.25">
      <c r="K388"/>
      <c r="L388"/>
      <c r="M388"/>
      <c r="N388"/>
      <c r="O388"/>
    </row>
    <row r="389" spans="11:15" x14ac:dyDescent="0.25">
      <c r="K389"/>
      <c r="L389"/>
      <c r="M389"/>
      <c r="N389"/>
      <c r="O389"/>
    </row>
    <row r="390" spans="11:15" x14ac:dyDescent="0.25">
      <c r="K390"/>
      <c r="L390"/>
      <c r="M390"/>
      <c r="N390"/>
      <c r="O390"/>
    </row>
    <row r="391" spans="11:15" x14ac:dyDescent="0.25">
      <c r="K391"/>
      <c r="L391"/>
      <c r="M391"/>
      <c r="N391"/>
      <c r="O391"/>
    </row>
    <row r="392" spans="11:15" x14ac:dyDescent="0.25">
      <c r="K392"/>
      <c r="L392"/>
      <c r="M392"/>
      <c r="N392"/>
      <c r="O392"/>
    </row>
    <row r="393" spans="11:15" x14ac:dyDescent="0.25">
      <c r="K393"/>
      <c r="L393"/>
      <c r="M393"/>
      <c r="N393"/>
      <c r="O393"/>
    </row>
    <row r="394" spans="11:15" x14ac:dyDescent="0.25">
      <c r="K394"/>
      <c r="L394"/>
      <c r="M394"/>
      <c r="N394"/>
      <c r="O394"/>
    </row>
    <row r="395" spans="11:15" x14ac:dyDescent="0.25">
      <c r="K395"/>
      <c r="L395"/>
      <c r="M395"/>
      <c r="N395"/>
      <c r="O395"/>
    </row>
    <row r="396" spans="11:15" x14ac:dyDescent="0.25">
      <c r="K396"/>
      <c r="L396"/>
      <c r="M396"/>
      <c r="N396"/>
      <c r="O396"/>
    </row>
    <row r="397" spans="11:15" x14ac:dyDescent="0.25">
      <c r="K397"/>
      <c r="L397"/>
      <c r="M397"/>
      <c r="N397"/>
      <c r="O397"/>
    </row>
    <row r="398" spans="11:15" x14ac:dyDescent="0.25">
      <c r="K398"/>
      <c r="L398"/>
      <c r="M398"/>
      <c r="N398"/>
      <c r="O398"/>
    </row>
    <row r="399" spans="11:15" x14ac:dyDescent="0.25">
      <c r="K399"/>
      <c r="L399"/>
      <c r="M399"/>
      <c r="N399"/>
      <c r="O399"/>
    </row>
    <row r="400" spans="11:15" x14ac:dyDescent="0.25">
      <c r="K400"/>
      <c r="L400"/>
      <c r="M400"/>
      <c r="N400"/>
      <c r="O400"/>
    </row>
    <row r="401" spans="11:15" x14ac:dyDescent="0.25">
      <c r="K401"/>
      <c r="L401"/>
      <c r="M401"/>
      <c r="N401"/>
      <c r="O401"/>
    </row>
    <row r="402" spans="11:15" x14ac:dyDescent="0.25">
      <c r="K402"/>
      <c r="L402"/>
      <c r="M402"/>
      <c r="N402"/>
      <c r="O402"/>
    </row>
    <row r="403" spans="11:15" x14ac:dyDescent="0.25">
      <c r="K403"/>
      <c r="L403"/>
      <c r="M403"/>
      <c r="N403"/>
      <c r="O403"/>
    </row>
    <row r="404" spans="11:15" x14ac:dyDescent="0.25">
      <c r="K404"/>
      <c r="L404"/>
      <c r="M404"/>
      <c r="N404"/>
      <c r="O404"/>
    </row>
    <row r="405" spans="11:15" x14ac:dyDescent="0.25">
      <c r="K405"/>
      <c r="L405"/>
      <c r="M405"/>
      <c r="N405"/>
      <c r="O405"/>
    </row>
    <row r="406" spans="11:15" x14ac:dyDescent="0.25">
      <c r="K406"/>
      <c r="L406"/>
      <c r="M406"/>
      <c r="N406"/>
      <c r="O406"/>
    </row>
    <row r="407" spans="11:15" x14ac:dyDescent="0.25">
      <c r="K407"/>
      <c r="L407"/>
      <c r="M407"/>
      <c r="N407"/>
      <c r="O407"/>
    </row>
    <row r="408" spans="11:15" x14ac:dyDescent="0.25">
      <c r="K408"/>
      <c r="L408"/>
      <c r="M408"/>
      <c r="N408"/>
      <c r="O408"/>
    </row>
    <row r="409" spans="11:15" x14ac:dyDescent="0.25">
      <c r="K409"/>
      <c r="L409"/>
      <c r="M409"/>
      <c r="N409"/>
      <c r="O409"/>
    </row>
    <row r="410" spans="11:15" x14ac:dyDescent="0.25">
      <c r="K410"/>
      <c r="L410"/>
      <c r="M410"/>
      <c r="N410"/>
      <c r="O410"/>
    </row>
    <row r="411" spans="11:15" x14ac:dyDescent="0.25">
      <c r="K411"/>
      <c r="L411"/>
      <c r="M411"/>
      <c r="N411"/>
      <c r="O411"/>
    </row>
    <row r="412" spans="11:15" x14ac:dyDescent="0.25">
      <c r="K412"/>
      <c r="L412"/>
      <c r="M412"/>
      <c r="N412"/>
      <c r="O412"/>
    </row>
    <row r="413" spans="11:15" x14ac:dyDescent="0.25">
      <c r="K413"/>
      <c r="L413"/>
      <c r="M413"/>
      <c r="N413"/>
      <c r="O413"/>
    </row>
    <row r="414" spans="11:15" x14ac:dyDescent="0.25">
      <c r="K414"/>
      <c r="L414"/>
      <c r="M414"/>
      <c r="N414"/>
      <c r="O414"/>
    </row>
    <row r="415" spans="11:15" x14ac:dyDescent="0.25">
      <c r="K415"/>
      <c r="L415"/>
      <c r="M415"/>
      <c r="N415"/>
      <c r="O415"/>
    </row>
    <row r="416" spans="11:15" x14ac:dyDescent="0.25">
      <c r="K416"/>
      <c r="L416"/>
      <c r="M416"/>
      <c r="N416"/>
      <c r="O416"/>
    </row>
    <row r="417" spans="11:15" x14ac:dyDescent="0.25">
      <c r="K417"/>
      <c r="L417"/>
      <c r="M417"/>
      <c r="N417"/>
      <c r="O417"/>
    </row>
    <row r="418" spans="11:15" x14ac:dyDescent="0.25">
      <c r="K418"/>
      <c r="L418"/>
      <c r="M418"/>
      <c r="N418"/>
      <c r="O418"/>
    </row>
    <row r="419" spans="11:15" x14ac:dyDescent="0.25">
      <c r="K419"/>
      <c r="L419"/>
      <c r="M419"/>
      <c r="N419"/>
      <c r="O419"/>
    </row>
    <row r="420" spans="11:15" x14ac:dyDescent="0.25">
      <c r="K420"/>
      <c r="L420"/>
      <c r="M420"/>
      <c r="N420"/>
      <c r="O420"/>
    </row>
    <row r="421" spans="11:15" x14ac:dyDescent="0.25">
      <c r="K421"/>
      <c r="L421"/>
      <c r="M421"/>
      <c r="N421"/>
      <c r="O421"/>
    </row>
    <row r="422" spans="11:15" x14ac:dyDescent="0.25">
      <c r="K422"/>
      <c r="L422"/>
      <c r="M422"/>
      <c r="N422"/>
      <c r="O422"/>
    </row>
    <row r="423" spans="11:15" x14ac:dyDescent="0.25">
      <c r="K423"/>
      <c r="L423"/>
      <c r="M423"/>
      <c r="N423"/>
      <c r="O423"/>
    </row>
    <row r="424" spans="11:15" x14ac:dyDescent="0.25">
      <c r="K424"/>
      <c r="L424"/>
      <c r="M424"/>
      <c r="N424"/>
      <c r="O424"/>
    </row>
    <row r="425" spans="11:15" x14ac:dyDescent="0.25">
      <c r="K425"/>
      <c r="L425"/>
      <c r="M425"/>
      <c r="N425"/>
      <c r="O425"/>
    </row>
    <row r="426" spans="11:15" x14ac:dyDescent="0.25">
      <c r="K426"/>
      <c r="L426"/>
      <c r="M426"/>
      <c r="N426"/>
      <c r="O426"/>
    </row>
    <row r="427" spans="11:15" x14ac:dyDescent="0.25">
      <c r="K427"/>
      <c r="L427"/>
      <c r="M427"/>
      <c r="N427"/>
      <c r="O427"/>
    </row>
    <row r="428" spans="11:15" x14ac:dyDescent="0.25">
      <c r="K428"/>
      <c r="L428"/>
      <c r="M428"/>
      <c r="N428"/>
      <c r="O428"/>
    </row>
    <row r="429" spans="11:15" x14ac:dyDescent="0.25">
      <c r="K429"/>
      <c r="L429"/>
      <c r="M429"/>
      <c r="N429"/>
      <c r="O429"/>
    </row>
    <row r="430" spans="11:15" x14ac:dyDescent="0.25">
      <c r="K430"/>
      <c r="L430"/>
      <c r="M430"/>
      <c r="N430"/>
      <c r="O430"/>
    </row>
    <row r="431" spans="11:15" x14ac:dyDescent="0.25">
      <c r="K431"/>
      <c r="L431"/>
      <c r="M431"/>
      <c r="N431"/>
      <c r="O431"/>
    </row>
    <row r="432" spans="11:15" x14ac:dyDescent="0.25">
      <c r="K432"/>
      <c r="L432"/>
      <c r="M432"/>
      <c r="N432"/>
      <c r="O432"/>
    </row>
    <row r="433" spans="11:15" x14ac:dyDescent="0.25">
      <c r="K433"/>
      <c r="L433"/>
      <c r="M433"/>
      <c r="N433"/>
      <c r="O433"/>
    </row>
    <row r="434" spans="11:15" x14ac:dyDescent="0.25">
      <c r="K434"/>
      <c r="L434"/>
      <c r="M434"/>
      <c r="N434"/>
      <c r="O434"/>
    </row>
    <row r="435" spans="11:15" x14ac:dyDescent="0.25">
      <c r="K435"/>
      <c r="L435"/>
      <c r="M435"/>
      <c r="N435"/>
      <c r="O435"/>
    </row>
    <row r="436" spans="11:15" x14ac:dyDescent="0.25">
      <c r="K436"/>
      <c r="L436"/>
      <c r="M436"/>
      <c r="N436"/>
      <c r="O436"/>
    </row>
    <row r="437" spans="11:15" x14ac:dyDescent="0.25">
      <c r="K437"/>
      <c r="L437"/>
      <c r="M437"/>
      <c r="N437"/>
      <c r="O437"/>
    </row>
    <row r="438" spans="11:15" x14ac:dyDescent="0.25">
      <c r="K438"/>
      <c r="L438"/>
      <c r="M438"/>
      <c r="N438"/>
      <c r="O438"/>
    </row>
    <row r="439" spans="11:15" x14ac:dyDescent="0.25">
      <c r="K439"/>
      <c r="L439"/>
      <c r="M439"/>
      <c r="N439"/>
      <c r="O439"/>
    </row>
    <row r="440" spans="11:15" x14ac:dyDescent="0.25">
      <c r="K440"/>
      <c r="L440"/>
      <c r="M440"/>
      <c r="N440"/>
      <c r="O440"/>
    </row>
    <row r="441" spans="11:15" x14ac:dyDescent="0.25">
      <c r="K441"/>
      <c r="L441"/>
      <c r="M441"/>
      <c r="N441"/>
      <c r="O441"/>
    </row>
    <row r="442" spans="11:15" x14ac:dyDescent="0.25">
      <c r="K442"/>
      <c r="L442"/>
      <c r="M442"/>
      <c r="N442"/>
      <c r="O442"/>
    </row>
    <row r="443" spans="11:15" x14ac:dyDescent="0.25">
      <c r="K443"/>
      <c r="L443"/>
      <c r="M443"/>
      <c r="N443"/>
      <c r="O443"/>
    </row>
    <row r="444" spans="11:15" x14ac:dyDescent="0.25">
      <c r="K444"/>
      <c r="L444"/>
      <c r="M444"/>
      <c r="N444"/>
      <c r="O444"/>
    </row>
    <row r="445" spans="11:15" x14ac:dyDescent="0.25">
      <c r="K445"/>
      <c r="L445"/>
      <c r="M445"/>
      <c r="N445"/>
      <c r="O445"/>
    </row>
    <row r="446" spans="11:15" x14ac:dyDescent="0.25">
      <c r="K446"/>
      <c r="L446"/>
      <c r="M446"/>
      <c r="N446"/>
      <c r="O446"/>
    </row>
    <row r="447" spans="11:15" x14ac:dyDescent="0.25">
      <c r="K447"/>
      <c r="L447"/>
      <c r="M447"/>
      <c r="N447"/>
      <c r="O447"/>
    </row>
    <row r="448" spans="11:15" x14ac:dyDescent="0.25">
      <c r="K448"/>
      <c r="L448"/>
      <c r="M448"/>
      <c r="N448"/>
      <c r="O448"/>
    </row>
    <row r="449" spans="11:15" x14ac:dyDescent="0.25">
      <c r="K449"/>
      <c r="L449"/>
      <c r="M449"/>
      <c r="N449"/>
      <c r="O449"/>
    </row>
    <row r="450" spans="11:15" x14ac:dyDescent="0.25">
      <c r="K450"/>
      <c r="L450"/>
      <c r="M450"/>
      <c r="N450"/>
      <c r="O450"/>
    </row>
    <row r="451" spans="11:15" x14ac:dyDescent="0.25">
      <c r="K451"/>
      <c r="L451"/>
      <c r="M451"/>
      <c r="N451"/>
      <c r="O451"/>
    </row>
    <row r="452" spans="11:15" x14ac:dyDescent="0.25">
      <c r="K452"/>
      <c r="L452"/>
      <c r="M452"/>
      <c r="N452"/>
      <c r="O452"/>
    </row>
    <row r="453" spans="11:15" x14ac:dyDescent="0.25">
      <c r="K453"/>
      <c r="L453"/>
      <c r="M453"/>
      <c r="N453"/>
      <c r="O453"/>
    </row>
    <row r="454" spans="11:15" x14ac:dyDescent="0.25">
      <c r="K454"/>
      <c r="L454"/>
      <c r="M454"/>
      <c r="N454"/>
      <c r="O454"/>
    </row>
    <row r="455" spans="11:15" x14ac:dyDescent="0.25">
      <c r="K455"/>
      <c r="L455"/>
      <c r="M455"/>
      <c r="N455"/>
      <c r="O455"/>
    </row>
    <row r="456" spans="11:15" x14ac:dyDescent="0.25">
      <c r="K456"/>
      <c r="L456"/>
      <c r="M456"/>
      <c r="N456"/>
      <c r="O456"/>
    </row>
    <row r="457" spans="11:15" x14ac:dyDescent="0.25">
      <c r="K457"/>
      <c r="L457"/>
      <c r="M457"/>
      <c r="N457"/>
      <c r="O457"/>
    </row>
    <row r="458" spans="11:15" x14ac:dyDescent="0.25">
      <c r="K458"/>
      <c r="L458"/>
      <c r="M458"/>
      <c r="N458"/>
      <c r="O458"/>
    </row>
    <row r="459" spans="11:15" x14ac:dyDescent="0.25">
      <c r="K459"/>
      <c r="L459"/>
      <c r="M459"/>
      <c r="N459"/>
      <c r="O459"/>
    </row>
    <row r="460" spans="11:15" x14ac:dyDescent="0.25">
      <c r="K460"/>
      <c r="L460"/>
      <c r="M460"/>
      <c r="N460"/>
      <c r="O460"/>
    </row>
    <row r="461" spans="11:15" x14ac:dyDescent="0.25">
      <c r="K461"/>
      <c r="L461"/>
      <c r="M461"/>
      <c r="N461"/>
      <c r="O461"/>
    </row>
    <row r="462" spans="11:15" x14ac:dyDescent="0.25">
      <c r="K462"/>
      <c r="L462"/>
      <c r="M462"/>
      <c r="N462"/>
      <c r="O462"/>
    </row>
    <row r="463" spans="11:15" x14ac:dyDescent="0.25">
      <c r="K463"/>
      <c r="L463"/>
      <c r="M463"/>
      <c r="N463"/>
      <c r="O463"/>
    </row>
    <row r="464" spans="11:15" x14ac:dyDescent="0.25">
      <c r="K464"/>
      <c r="L464"/>
      <c r="M464"/>
      <c r="N464"/>
      <c r="O464"/>
    </row>
    <row r="465" spans="11:15" x14ac:dyDescent="0.25">
      <c r="K465"/>
      <c r="L465"/>
      <c r="M465"/>
      <c r="N465"/>
      <c r="O465"/>
    </row>
    <row r="466" spans="11:15" x14ac:dyDescent="0.25">
      <c r="K466"/>
      <c r="L466"/>
      <c r="M466"/>
      <c r="N466"/>
      <c r="O466"/>
    </row>
    <row r="467" spans="11:15" x14ac:dyDescent="0.25">
      <c r="K467"/>
      <c r="L467"/>
      <c r="M467"/>
      <c r="N467"/>
      <c r="O467"/>
    </row>
    <row r="468" spans="11:15" x14ac:dyDescent="0.25">
      <c r="K468"/>
      <c r="L468"/>
      <c r="M468"/>
      <c r="N468"/>
      <c r="O468"/>
    </row>
    <row r="469" spans="11:15" x14ac:dyDescent="0.25">
      <c r="K469"/>
      <c r="L469"/>
      <c r="M469"/>
      <c r="N469"/>
      <c r="O469"/>
    </row>
    <row r="470" spans="11:15" x14ac:dyDescent="0.25">
      <c r="K470"/>
      <c r="L470"/>
      <c r="M470"/>
      <c r="N470"/>
      <c r="O470"/>
    </row>
    <row r="471" spans="11:15" x14ac:dyDescent="0.25">
      <c r="K471"/>
      <c r="L471"/>
      <c r="M471"/>
      <c r="N471"/>
      <c r="O471"/>
    </row>
    <row r="472" spans="11:15" x14ac:dyDescent="0.25">
      <c r="K472"/>
      <c r="L472"/>
      <c r="M472"/>
      <c r="N472"/>
      <c r="O472"/>
    </row>
    <row r="473" spans="11:15" x14ac:dyDescent="0.25">
      <c r="K473"/>
      <c r="L473"/>
      <c r="M473"/>
      <c r="N473"/>
      <c r="O473"/>
    </row>
    <row r="474" spans="11:15" x14ac:dyDescent="0.25">
      <c r="K474"/>
      <c r="L474"/>
      <c r="M474"/>
      <c r="N474"/>
      <c r="O474"/>
    </row>
    <row r="475" spans="11:15" x14ac:dyDescent="0.25">
      <c r="K475"/>
      <c r="L475"/>
      <c r="M475"/>
      <c r="N475"/>
      <c r="O475"/>
    </row>
    <row r="476" spans="11:15" x14ac:dyDescent="0.25">
      <c r="K476"/>
      <c r="L476"/>
      <c r="M476"/>
      <c r="N476"/>
      <c r="O476"/>
    </row>
    <row r="477" spans="11:15" x14ac:dyDescent="0.25">
      <c r="K477"/>
      <c r="L477"/>
      <c r="M477"/>
      <c r="N477"/>
      <c r="O477"/>
    </row>
    <row r="478" spans="11:15" x14ac:dyDescent="0.25">
      <c r="K478"/>
      <c r="L478"/>
      <c r="M478"/>
      <c r="N478"/>
      <c r="O478"/>
    </row>
    <row r="479" spans="11:15" x14ac:dyDescent="0.25">
      <c r="K479"/>
      <c r="L479"/>
      <c r="M479"/>
      <c r="N479"/>
      <c r="O479"/>
    </row>
    <row r="480" spans="11:15" x14ac:dyDescent="0.25">
      <c r="K480"/>
      <c r="L480"/>
      <c r="M480"/>
      <c r="N480"/>
      <c r="O480"/>
    </row>
    <row r="481" spans="11:15" x14ac:dyDescent="0.25">
      <c r="K481"/>
      <c r="L481"/>
      <c r="M481"/>
      <c r="N481"/>
      <c r="O481"/>
    </row>
    <row r="482" spans="11:15" x14ac:dyDescent="0.25">
      <c r="K482"/>
      <c r="L482"/>
      <c r="M482"/>
      <c r="N482"/>
      <c r="O482"/>
    </row>
    <row r="483" spans="11:15" x14ac:dyDescent="0.25">
      <c r="K483"/>
      <c r="L483"/>
      <c r="M483"/>
      <c r="N483"/>
      <c r="O483"/>
    </row>
    <row r="484" spans="11:15" x14ac:dyDescent="0.25">
      <c r="K484"/>
      <c r="L484"/>
      <c r="M484"/>
      <c r="N484"/>
      <c r="O484"/>
    </row>
    <row r="485" spans="11:15" x14ac:dyDescent="0.25">
      <c r="K485"/>
      <c r="L485"/>
      <c r="M485"/>
      <c r="N485"/>
      <c r="O485"/>
    </row>
    <row r="486" spans="11:15" x14ac:dyDescent="0.25">
      <c r="K486"/>
      <c r="L486"/>
      <c r="M486"/>
      <c r="N486"/>
      <c r="O486"/>
    </row>
    <row r="487" spans="11:15" x14ac:dyDescent="0.25">
      <c r="K487"/>
      <c r="L487"/>
      <c r="M487"/>
      <c r="N487"/>
      <c r="O487"/>
    </row>
    <row r="488" spans="11:15" x14ac:dyDescent="0.25">
      <c r="K488"/>
      <c r="L488"/>
      <c r="M488"/>
      <c r="N488"/>
      <c r="O488"/>
    </row>
    <row r="489" spans="11:15" x14ac:dyDescent="0.25">
      <c r="K489"/>
      <c r="L489"/>
      <c r="M489"/>
      <c r="N489"/>
      <c r="O489"/>
    </row>
    <row r="490" spans="11:15" x14ac:dyDescent="0.25">
      <c r="K490"/>
      <c r="L490"/>
      <c r="M490"/>
      <c r="N490"/>
      <c r="O490"/>
    </row>
    <row r="491" spans="11:15" x14ac:dyDescent="0.25">
      <c r="K491"/>
      <c r="L491"/>
      <c r="M491"/>
      <c r="N491"/>
      <c r="O491"/>
    </row>
    <row r="492" spans="11:15" x14ac:dyDescent="0.25">
      <c r="K492"/>
      <c r="L492"/>
      <c r="M492"/>
      <c r="N492"/>
      <c r="O492"/>
    </row>
    <row r="493" spans="11:15" x14ac:dyDescent="0.25">
      <c r="K493"/>
      <c r="L493"/>
      <c r="M493"/>
      <c r="N493"/>
      <c r="O493"/>
    </row>
    <row r="494" spans="11:15" x14ac:dyDescent="0.25">
      <c r="K494"/>
      <c r="L494"/>
      <c r="M494"/>
      <c r="N494"/>
      <c r="O494"/>
    </row>
    <row r="495" spans="11:15" x14ac:dyDescent="0.25">
      <c r="K495"/>
      <c r="L495"/>
      <c r="M495"/>
      <c r="N495"/>
      <c r="O495"/>
    </row>
    <row r="496" spans="11:15" x14ac:dyDescent="0.25">
      <c r="K496"/>
      <c r="L496"/>
      <c r="M496"/>
      <c r="N496"/>
      <c r="O496"/>
    </row>
    <row r="497" spans="11:15" x14ac:dyDescent="0.25">
      <c r="K497"/>
      <c r="L497"/>
      <c r="M497"/>
      <c r="N497"/>
      <c r="O497"/>
    </row>
    <row r="498" spans="11:15" x14ac:dyDescent="0.25">
      <c r="K498"/>
      <c r="L498"/>
      <c r="M498"/>
      <c r="N498"/>
      <c r="O498"/>
    </row>
    <row r="499" spans="11:15" x14ac:dyDescent="0.25">
      <c r="K499"/>
      <c r="L499"/>
      <c r="M499"/>
      <c r="N499"/>
      <c r="O499"/>
    </row>
    <row r="500" spans="11:15" x14ac:dyDescent="0.25">
      <c r="K500"/>
      <c r="L500"/>
      <c r="M500"/>
      <c r="N500"/>
      <c r="O500"/>
    </row>
    <row r="501" spans="11:15" x14ac:dyDescent="0.25">
      <c r="K501"/>
      <c r="L501"/>
      <c r="M501"/>
      <c r="N501"/>
      <c r="O501"/>
    </row>
    <row r="502" spans="11:15" x14ac:dyDescent="0.25">
      <c r="K502"/>
      <c r="L502"/>
      <c r="M502"/>
      <c r="N502"/>
      <c r="O502"/>
    </row>
    <row r="503" spans="11:15" x14ac:dyDescent="0.25">
      <c r="K503"/>
      <c r="L503"/>
      <c r="M503"/>
      <c r="N503"/>
      <c r="O503"/>
    </row>
    <row r="504" spans="11:15" x14ac:dyDescent="0.25">
      <c r="K504"/>
      <c r="L504"/>
      <c r="M504"/>
      <c r="N504"/>
      <c r="O504"/>
    </row>
    <row r="505" spans="11:15" x14ac:dyDescent="0.25">
      <c r="K505"/>
      <c r="L505"/>
      <c r="M505"/>
      <c r="N505"/>
      <c r="O505"/>
    </row>
    <row r="506" spans="11:15" x14ac:dyDescent="0.25">
      <c r="K506"/>
      <c r="L506"/>
      <c r="M506"/>
      <c r="N506"/>
      <c r="O506"/>
    </row>
    <row r="507" spans="11:15" x14ac:dyDescent="0.25">
      <c r="K507"/>
      <c r="L507"/>
      <c r="M507"/>
      <c r="N507"/>
      <c r="O507"/>
    </row>
    <row r="508" spans="11:15" x14ac:dyDescent="0.25">
      <c r="K508"/>
      <c r="L508"/>
      <c r="M508"/>
      <c r="N508"/>
      <c r="O508"/>
    </row>
    <row r="509" spans="11:15" x14ac:dyDescent="0.25">
      <c r="K509"/>
      <c r="L509"/>
      <c r="M509"/>
      <c r="N509"/>
      <c r="O509"/>
    </row>
    <row r="510" spans="11:15" x14ac:dyDescent="0.25">
      <c r="K510"/>
      <c r="L510"/>
      <c r="M510"/>
      <c r="N510"/>
      <c r="O510"/>
    </row>
    <row r="511" spans="11:15" x14ac:dyDescent="0.25">
      <c r="K511"/>
      <c r="L511"/>
      <c r="M511"/>
      <c r="N511"/>
      <c r="O511"/>
    </row>
    <row r="512" spans="11:15" x14ac:dyDescent="0.25">
      <c r="K512"/>
      <c r="L512"/>
      <c r="M512"/>
      <c r="N512"/>
      <c r="O512"/>
    </row>
    <row r="513" spans="11:15" x14ac:dyDescent="0.25">
      <c r="K513"/>
      <c r="L513"/>
      <c r="M513"/>
      <c r="N513"/>
      <c r="O513"/>
    </row>
    <row r="514" spans="11:15" x14ac:dyDescent="0.25">
      <c r="K514"/>
      <c r="L514"/>
      <c r="M514"/>
      <c r="N514"/>
      <c r="O514"/>
    </row>
    <row r="515" spans="11:15" x14ac:dyDescent="0.25">
      <c r="K515"/>
      <c r="L515"/>
      <c r="M515"/>
      <c r="N515"/>
      <c r="O515"/>
    </row>
    <row r="516" spans="11:15" x14ac:dyDescent="0.25">
      <c r="K516"/>
      <c r="L516"/>
      <c r="M516"/>
      <c r="N516"/>
      <c r="O516"/>
    </row>
    <row r="517" spans="11:15" x14ac:dyDescent="0.25">
      <c r="K517"/>
      <c r="L517"/>
      <c r="M517"/>
      <c r="N517"/>
      <c r="O517"/>
    </row>
    <row r="518" spans="11:15" x14ac:dyDescent="0.25">
      <c r="K518"/>
      <c r="L518"/>
      <c r="M518"/>
      <c r="N518"/>
      <c r="O518"/>
    </row>
    <row r="519" spans="11:15" x14ac:dyDescent="0.25">
      <c r="K519"/>
      <c r="L519"/>
      <c r="M519"/>
      <c r="N519"/>
      <c r="O519"/>
    </row>
    <row r="520" spans="11:15" x14ac:dyDescent="0.25">
      <c r="K520"/>
      <c r="L520"/>
      <c r="M520"/>
      <c r="N520"/>
      <c r="O520"/>
    </row>
    <row r="521" spans="11:15" x14ac:dyDescent="0.25">
      <c r="K521"/>
      <c r="L521"/>
      <c r="M521"/>
      <c r="N521"/>
      <c r="O521"/>
    </row>
    <row r="522" spans="11:15" x14ac:dyDescent="0.25">
      <c r="K522"/>
      <c r="L522"/>
      <c r="M522"/>
      <c r="N522"/>
      <c r="O522"/>
    </row>
    <row r="523" spans="11:15" x14ac:dyDescent="0.25">
      <c r="K523"/>
      <c r="L523"/>
      <c r="M523"/>
      <c r="N523"/>
      <c r="O523"/>
    </row>
    <row r="524" spans="11:15" x14ac:dyDescent="0.25">
      <c r="K524"/>
      <c r="L524"/>
      <c r="M524"/>
      <c r="N524"/>
      <c r="O524"/>
    </row>
    <row r="525" spans="11:15" x14ac:dyDescent="0.25">
      <c r="K525"/>
      <c r="L525"/>
      <c r="M525"/>
      <c r="N525"/>
      <c r="O525"/>
    </row>
    <row r="526" spans="11:15" x14ac:dyDescent="0.25">
      <c r="K526"/>
      <c r="L526"/>
      <c r="M526"/>
      <c r="N526"/>
      <c r="O526"/>
    </row>
    <row r="527" spans="11:15" x14ac:dyDescent="0.25">
      <c r="K527"/>
      <c r="L527"/>
      <c r="M527"/>
      <c r="N527"/>
      <c r="O527"/>
    </row>
    <row r="528" spans="11:15" x14ac:dyDescent="0.25">
      <c r="K528"/>
      <c r="L528"/>
      <c r="M528"/>
      <c r="N528"/>
      <c r="O528"/>
    </row>
    <row r="529" spans="11:15" x14ac:dyDescent="0.25">
      <c r="K529"/>
      <c r="L529"/>
      <c r="M529"/>
      <c r="N529"/>
      <c r="O529"/>
    </row>
    <row r="530" spans="11:15" x14ac:dyDescent="0.25">
      <c r="K530"/>
      <c r="L530"/>
      <c r="M530"/>
      <c r="N530"/>
      <c r="O530"/>
    </row>
    <row r="531" spans="11:15" x14ac:dyDescent="0.25">
      <c r="K531"/>
      <c r="L531"/>
      <c r="M531"/>
      <c r="N531"/>
      <c r="O531"/>
    </row>
    <row r="532" spans="11:15" x14ac:dyDescent="0.25">
      <c r="K532"/>
      <c r="L532"/>
      <c r="M532"/>
      <c r="N532"/>
      <c r="O532"/>
    </row>
    <row r="533" spans="11:15" x14ac:dyDescent="0.25">
      <c r="K533"/>
      <c r="L533"/>
      <c r="M533"/>
      <c r="N533"/>
      <c r="O533"/>
    </row>
    <row r="534" spans="11:15" x14ac:dyDescent="0.25">
      <c r="K534"/>
      <c r="L534"/>
      <c r="M534"/>
      <c r="N534"/>
      <c r="O534"/>
    </row>
    <row r="535" spans="11:15" x14ac:dyDescent="0.25">
      <c r="K535"/>
      <c r="L535"/>
      <c r="M535"/>
      <c r="N535"/>
      <c r="O535"/>
    </row>
    <row r="536" spans="11:15" x14ac:dyDescent="0.25">
      <c r="K536"/>
      <c r="L536"/>
      <c r="M536"/>
      <c r="N536"/>
      <c r="O536"/>
    </row>
    <row r="537" spans="11:15" x14ac:dyDescent="0.25">
      <c r="K537"/>
      <c r="L537"/>
      <c r="M537"/>
      <c r="N537"/>
      <c r="O537"/>
    </row>
    <row r="538" spans="11:15" x14ac:dyDescent="0.25">
      <c r="K538"/>
      <c r="L538"/>
      <c r="M538"/>
      <c r="N538"/>
      <c r="O538"/>
    </row>
    <row r="539" spans="11:15" x14ac:dyDescent="0.25">
      <c r="K539"/>
      <c r="L539"/>
      <c r="M539"/>
      <c r="N539"/>
      <c r="O539"/>
    </row>
    <row r="540" spans="11:15" x14ac:dyDescent="0.25">
      <c r="K540"/>
      <c r="L540"/>
      <c r="M540"/>
      <c r="N540"/>
      <c r="O540"/>
    </row>
    <row r="541" spans="11:15" x14ac:dyDescent="0.25">
      <c r="K541"/>
      <c r="L541"/>
      <c r="M541"/>
      <c r="N541"/>
      <c r="O541"/>
    </row>
    <row r="542" spans="11:15" x14ac:dyDescent="0.25">
      <c r="K542"/>
      <c r="L542"/>
      <c r="M542"/>
      <c r="N542"/>
      <c r="O542"/>
    </row>
    <row r="543" spans="11:15" x14ac:dyDescent="0.25">
      <c r="K543"/>
      <c r="L543"/>
      <c r="M543"/>
      <c r="N543"/>
      <c r="O543"/>
    </row>
    <row r="544" spans="11:15" x14ac:dyDescent="0.25">
      <c r="K544"/>
      <c r="L544"/>
      <c r="M544"/>
      <c r="N544"/>
      <c r="O544"/>
    </row>
    <row r="545" spans="11:15" x14ac:dyDescent="0.25">
      <c r="K545"/>
      <c r="L545"/>
      <c r="M545"/>
      <c r="N545"/>
      <c r="O545"/>
    </row>
    <row r="546" spans="11:15" x14ac:dyDescent="0.25">
      <c r="K546"/>
      <c r="L546"/>
      <c r="M546"/>
      <c r="N546"/>
      <c r="O546"/>
    </row>
    <row r="547" spans="11:15" x14ac:dyDescent="0.25">
      <c r="K547"/>
      <c r="L547"/>
      <c r="M547"/>
      <c r="N547"/>
      <c r="O547"/>
    </row>
    <row r="548" spans="11:15" x14ac:dyDescent="0.25">
      <c r="K548"/>
      <c r="L548"/>
      <c r="M548"/>
      <c r="N548"/>
      <c r="O548"/>
    </row>
    <row r="549" spans="11:15" x14ac:dyDescent="0.25">
      <c r="K549"/>
      <c r="L549"/>
      <c r="M549"/>
      <c r="N549"/>
      <c r="O549"/>
    </row>
    <row r="550" spans="11:15" x14ac:dyDescent="0.25">
      <c r="K550"/>
      <c r="L550"/>
      <c r="M550"/>
      <c r="N550"/>
      <c r="O550"/>
    </row>
    <row r="551" spans="11:15" x14ac:dyDescent="0.25">
      <c r="K551"/>
      <c r="L551"/>
      <c r="M551"/>
      <c r="N551"/>
      <c r="O551"/>
    </row>
    <row r="552" spans="11:15" x14ac:dyDescent="0.25">
      <c r="K552"/>
      <c r="L552"/>
      <c r="M552"/>
      <c r="N552"/>
      <c r="O552"/>
    </row>
    <row r="553" spans="11:15" x14ac:dyDescent="0.25">
      <c r="K553"/>
      <c r="L553"/>
      <c r="M553"/>
      <c r="N553"/>
      <c r="O553"/>
    </row>
    <row r="554" spans="11:15" x14ac:dyDescent="0.25">
      <c r="K554"/>
      <c r="L554"/>
      <c r="M554"/>
      <c r="N554"/>
      <c r="O554"/>
    </row>
    <row r="555" spans="11:15" x14ac:dyDescent="0.25">
      <c r="K555"/>
      <c r="L555"/>
      <c r="M555"/>
      <c r="N555"/>
      <c r="O555"/>
    </row>
    <row r="556" spans="11:15" x14ac:dyDescent="0.25">
      <c r="K556"/>
      <c r="L556"/>
      <c r="M556"/>
      <c r="N556"/>
      <c r="O556"/>
    </row>
    <row r="557" spans="11:15" x14ac:dyDescent="0.25">
      <c r="K557"/>
      <c r="L557"/>
      <c r="M557"/>
      <c r="N557"/>
      <c r="O557"/>
    </row>
    <row r="558" spans="11:15" x14ac:dyDescent="0.25">
      <c r="K558"/>
      <c r="L558"/>
      <c r="M558"/>
      <c r="N558"/>
      <c r="O558"/>
    </row>
    <row r="559" spans="11:15" x14ac:dyDescent="0.25">
      <c r="K559"/>
      <c r="L559"/>
      <c r="M559"/>
      <c r="N559"/>
      <c r="O559"/>
    </row>
    <row r="560" spans="11:15" x14ac:dyDescent="0.25">
      <c r="K560"/>
      <c r="L560"/>
      <c r="M560"/>
      <c r="N560"/>
      <c r="O560"/>
    </row>
    <row r="561" spans="11:15" x14ac:dyDescent="0.25">
      <c r="K561"/>
      <c r="L561"/>
      <c r="M561"/>
      <c r="N561"/>
      <c r="O561"/>
    </row>
    <row r="562" spans="11:15" x14ac:dyDescent="0.25">
      <c r="K562"/>
      <c r="L562"/>
      <c r="M562"/>
      <c r="N562"/>
      <c r="O562"/>
    </row>
    <row r="563" spans="11:15" x14ac:dyDescent="0.25">
      <c r="K563"/>
      <c r="L563"/>
      <c r="M563"/>
      <c r="N563"/>
      <c r="O563"/>
    </row>
    <row r="564" spans="11:15" x14ac:dyDescent="0.25">
      <c r="K564"/>
      <c r="L564"/>
      <c r="M564"/>
      <c r="N564"/>
      <c r="O564"/>
    </row>
    <row r="565" spans="11:15" x14ac:dyDescent="0.25">
      <c r="K565"/>
      <c r="L565"/>
      <c r="M565"/>
      <c r="N565"/>
      <c r="O565"/>
    </row>
    <row r="566" spans="11:15" x14ac:dyDescent="0.25">
      <c r="K566"/>
      <c r="L566"/>
      <c r="M566"/>
      <c r="N566"/>
      <c r="O566"/>
    </row>
    <row r="567" spans="11:15" x14ac:dyDescent="0.25">
      <c r="K567"/>
      <c r="L567"/>
      <c r="M567"/>
      <c r="N567"/>
      <c r="O567"/>
    </row>
    <row r="568" spans="11:15" x14ac:dyDescent="0.25">
      <c r="K568"/>
      <c r="L568"/>
      <c r="M568"/>
      <c r="N568"/>
      <c r="O568"/>
    </row>
    <row r="569" spans="11:15" x14ac:dyDescent="0.25">
      <c r="K569"/>
      <c r="L569"/>
      <c r="M569"/>
      <c r="N569"/>
      <c r="O569"/>
    </row>
    <row r="570" spans="11:15" x14ac:dyDescent="0.25">
      <c r="K570"/>
      <c r="L570"/>
      <c r="M570"/>
      <c r="N570"/>
      <c r="O570"/>
    </row>
    <row r="571" spans="11:15" x14ac:dyDescent="0.25">
      <c r="K571"/>
      <c r="L571"/>
      <c r="M571"/>
      <c r="N571"/>
      <c r="O571"/>
    </row>
    <row r="572" spans="11:15" x14ac:dyDescent="0.25">
      <c r="K572"/>
      <c r="L572"/>
      <c r="M572"/>
      <c r="N572"/>
      <c r="O572"/>
    </row>
    <row r="573" spans="11:15" x14ac:dyDescent="0.25">
      <c r="K573"/>
      <c r="L573"/>
      <c r="M573"/>
      <c r="N573"/>
      <c r="O573"/>
    </row>
    <row r="574" spans="11:15" x14ac:dyDescent="0.25">
      <c r="K574"/>
      <c r="L574"/>
      <c r="M574"/>
      <c r="N574"/>
      <c r="O574"/>
    </row>
    <row r="575" spans="11:15" x14ac:dyDescent="0.25">
      <c r="K575"/>
      <c r="L575"/>
      <c r="M575"/>
      <c r="N575"/>
      <c r="O575"/>
    </row>
    <row r="576" spans="11:15" x14ac:dyDescent="0.25">
      <c r="K576"/>
      <c r="L576"/>
      <c r="M576"/>
      <c r="N576"/>
      <c r="O576"/>
    </row>
    <row r="577" spans="11:15" x14ac:dyDescent="0.25">
      <c r="K577"/>
      <c r="L577"/>
      <c r="M577"/>
      <c r="N577"/>
      <c r="O577"/>
    </row>
    <row r="578" spans="11:15" x14ac:dyDescent="0.25">
      <c r="K578"/>
      <c r="L578"/>
      <c r="M578"/>
      <c r="N578"/>
      <c r="O578"/>
    </row>
    <row r="579" spans="11:15" x14ac:dyDescent="0.25">
      <c r="K579"/>
      <c r="L579"/>
      <c r="M579"/>
      <c r="N579"/>
      <c r="O579"/>
    </row>
    <row r="580" spans="11:15" x14ac:dyDescent="0.25">
      <c r="K580"/>
      <c r="L580"/>
      <c r="M580"/>
      <c r="N580"/>
      <c r="O580"/>
    </row>
    <row r="581" spans="11:15" x14ac:dyDescent="0.25">
      <c r="K581"/>
      <c r="L581"/>
      <c r="M581"/>
      <c r="N581"/>
      <c r="O581"/>
    </row>
    <row r="582" spans="11:15" x14ac:dyDescent="0.25">
      <c r="K582"/>
      <c r="L582"/>
      <c r="M582"/>
      <c r="N582"/>
      <c r="O582"/>
    </row>
    <row r="583" spans="11:15" x14ac:dyDescent="0.25">
      <c r="K583"/>
      <c r="L583"/>
      <c r="M583"/>
      <c r="N583"/>
      <c r="O583"/>
    </row>
    <row r="584" spans="11:15" x14ac:dyDescent="0.25">
      <c r="K584"/>
      <c r="L584"/>
      <c r="M584"/>
      <c r="N584"/>
      <c r="O584"/>
    </row>
    <row r="585" spans="11:15" x14ac:dyDescent="0.25">
      <c r="K585"/>
      <c r="L585"/>
      <c r="M585"/>
      <c r="N585"/>
      <c r="O585"/>
    </row>
    <row r="586" spans="11:15" x14ac:dyDescent="0.25">
      <c r="K586"/>
      <c r="L586"/>
      <c r="M586"/>
      <c r="N586"/>
      <c r="O586"/>
    </row>
    <row r="587" spans="11:15" x14ac:dyDescent="0.25">
      <c r="K587"/>
      <c r="L587"/>
      <c r="M587"/>
      <c r="N587"/>
      <c r="O587"/>
    </row>
    <row r="588" spans="11:15" x14ac:dyDescent="0.25">
      <c r="K588"/>
      <c r="L588"/>
      <c r="M588"/>
      <c r="N588"/>
      <c r="O588"/>
    </row>
    <row r="589" spans="11:15" x14ac:dyDescent="0.25">
      <c r="K589"/>
      <c r="L589"/>
      <c r="M589"/>
      <c r="N589"/>
      <c r="O589"/>
    </row>
    <row r="590" spans="11:15" x14ac:dyDescent="0.25">
      <c r="K590"/>
      <c r="L590"/>
      <c r="M590"/>
      <c r="N590"/>
      <c r="O590"/>
    </row>
    <row r="591" spans="11:15" x14ac:dyDescent="0.25">
      <c r="K591"/>
      <c r="L591"/>
      <c r="M591"/>
      <c r="N591"/>
      <c r="O591"/>
    </row>
    <row r="592" spans="11:15" x14ac:dyDescent="0.25">
      <c r="K592"/>
      <c r="L592"/>
      <c r="M592"/>
      <c r="N592"/>
      <c r="O592"/>
    </row>
    <row r="593" spans="11:15" x14ac:dyDescent="0.25">
      <c r="K593"/>
      <c r="L593"/>
      <c r="M593"/>
      <c r="N593"/>
      <c r="O593"/>
    </row>
    <row r="594" spans="11:15" x14ac:dyDescent="0.25">
      <c r="K594"/>
      <c r="L594"/>
      <c r="M594"/>
      <c r="N594"/>
      <c r="O594"/>
    </row>
    <row r="595" spans="11:15" x14ac:dyDescent="0.25">
      <c r="K595"/>
      <c r="L595"/>
      <c r="M595"/>
      <c r="N595"/>
      <c r="O595"/>
    </row>
    <row r="596" spans="11:15" x14ac:dyDescent="0.25">
      <c r="K596"/>
      <c r="L596"/>
      <c r="M596"/>
      <c r="N596"/>
      <c r="O596"/>
    </row>
    <row r="597" spans="11:15" x14ac:dyDescent="0.25">
      <c r="K597"/>
      <c r="L597"/>
      <c r="M597"/>
      <c r="N597"/>
      <c r="O597"/>
    </row>
    <row r="598" spans="11:15" x14ac:dyDescent="0.25">
      <c r="K598"/>
      <c r="L598"/>
      <c r="M598"/>
      <c r="N598"/>
      <c r="O598"/>
    </row>
    <row r="599" spans="11:15" x14ac:dyDescent="0.25">
      <c r="K599"/>
      <c r="L599"/>
      <c r="M599"/>
      <c r="N599"/>
      <c r="O599"/>
    </row>
    <row r="600" spans="11:15" x14ac:dyDescent="0.25">
      <c r="K600"/>
      <c r="L600"/>
      <c r="M600"/>
      <c r="N600"/>
      <c r="O600"/>
    </row>
    <row r="601" spans="11:15" x14ac:dyDescent="0.25">
      <c r="K601"/>
      <c r="L601"/>
      <c r="M601"/>
      <c r="N601"/>
      <c r="O601"/>
    </row>
    <row r="602" spans="11:15" x14ac:dyDescent="0.25">
      <c r="K602"/>
      <c r="L602"/>
      <c r="M602"/>
      <c r="N602"/>
      <c r="O602"/>
    </row>
    <row r="603" spans="11:15" x14ac:dyDescent="0.25">
      <c r="K603"/>
      <c r="L603"/>
      <c r="M603"/>
      <c r="N603"/>
      <c r="O603"/>
    </row>
    <row r="604" spans="11:15" x14ac:dyDescent="0.25">
      <c r="K604"/>
      <c r="L604"/>
      <c r="M604"/>
      <c r="N604"/>
      <c r="O604"/>
    </row>
    <row r="605" spans="11:15" x14ac:dyDescent="0.25">
      <c r="K605"/>
      <c r="L605"/>
      <c r="M605"/>
      <c r="N605"/>
      <c r="O605"/>
    </row>
    <row r="606" spans="11:15" x14ac:dyDescent="0.25">
      <c r="K606"/>
      <c r="L606"/>
      <c r="M606"/>
      <c r="N606"/>
      <c r="O606"/>
    </row>
    <row r="607" spans="11:15" x14ac:dyDescent="0.25">
      <c r="K607"/>
      <c r="L607"/>
      <c r="M607"/>
      <c r="N607"/>
      <c r="O607"/>
    </row>
    <row r="608" spans="11:15" x14ac:dyDescent="0.25">
      <c r="K608"/>
      <c r="L608"/>
      <c r="M608"/>
      <c r="N608"/>
      <c r="O608"/>
    </row>
    <row r="609" spans="11:15" x14ac:dyDescent="0.25">
      <c r="K609"/>
      <c r="L609"/>
      <c r="M609"/>
      <c r="N609"/>
      <c r="O609"/>
    </row>
    <row r="610" spans="11:15" x14ac:dyDescent="0.25">
      <c r="K610"/>
      <c r="L610"/>
      <c r="M610"/>
      <c r="N610"/>
      <c r="O610"/>
    </row>
    <row r="611" spans="11:15" x14ac:dyDescent="0.25">
      <c r="K611"/>
      <c r="L611"/>
      <c r="M611"/>
      <c r="N611"/>
      <c r="O611"/>
    </row>
    <row r="612" spans="11:15" x14ac:dyDescent="0.25">
      <c r="K612"/>
      <c r="L612"/>
      <c r="M612"/>
      <c r="N612"/>
      <c r="O612"/>
    </row>
    <row r="613" spans="11:15" x14ac:dyDescent="0.25">
      <c r="K613"/>
      <c r="L613"/>
      <c r="M613"/>
      <c r="N613"/>
      <c r="O613"/>
    </row>
    <row r="614" spans="11:15" x14ac:dyDescent="0.25">
      <c r="K614"/>
      <c r="L614"/>
      <c r="M614"/>
      <c r="N614"/>
      <c r="O614"/>
    </row>
    <row r="615" spans="11:15" x14ac:dyDescent="0.25">
      <c r="K615"/>
      <c r="L615"/>
      <c r="M615"/>
      <c r="N615"/>
      <c r="O615"/>
    </row>
    <row r="616" spans="11:15" x14ac:dyDescent="0.25">
      <c r="K616"/>
      <c r="L616"/>
      <c r="M616"/>
      <c r="N616"/>
      <c r="O616"/>
    </row>
    <row r="617" spans="11:15" x14ac:dyDescent="0.25">
      <c r="K617"/>
      <c r="L617"/>
      <c r="M617"/>
      <c r="N617"/>
      <c r="O617"/>
    </row>
    <row r="618" spans="11:15" x14ac:dyDescent="0.25">
      <c r="K618"/>
      <c r="L618"/>
      <c r="M618"/>
      <c r="N618"/>
      <c r="O618"/>
    </row>
    <row r="619" spans="11:15" x14ac:dyDescent="0.25">
      <c r="K619"/>
      <c r="L619"/>
      <c r="M619"/>
      <c r="N619"/>
      <c r="O619"/>
    </row>
    <row r="620" spans="11:15" x14ac:dyDescent="0.25">
      <c r="K620"/>
      <c r="L620"/>
      <c r="M620"/>
      <c r="N620"/>
      <c r="O620"/>
    </row>
    <row r="621" spans="11:15" x14ac:dyDescent="0.25">
      <c r="K621"/>
      <c r="L621"/>
      <c r="M621"/>
      <c r="N621"/>
      <c r="O621"/>
    </row>
    <row r="622" spans="11:15" x14ac:dyDescent="0.25">
      <c r="K622"/>
      <c r="L622"/>
      <c r="M622"/>
      <c r="N622"/>
      <c r="O622"/>
    </row>
    <row r="623" spans="11:15" x14ac:dyDescent="0.25">
      <c r="K623"/>
      <c r="L623"/>
      <c r="M623"/>
      <c r="N623"/>
      <c r="O623"/>
    </row>
    <row r="624" spans="11:15" x14ac:dyDescent="0.25">
      <c r="K624"/>
      <c r="L624"/>
      <c r="M624"/>
      <c r="N624"/>
      <c r="O624"/>
    </row>
    <row r="625" spans="11:15" x14ac:dyDescent="0.25">
      <c r="K625"/>
      <c r="L625"/>
      <c r="M625"/>
      <c r="N625"/>
      <c r="O625"/>
    </row>
    <row r="626" spans="11:15" x14ac:dyDescent="0.25">
      <c r="K626"/>
      <c r="L626"/>
      <c r="M626"/>
      <c r="N626"/>
      <c r="O626"/>
    </row>
    <row r="627" spans="11:15" x14ac:dyDescent="0.25">
      <c r="K627"/>
      <c r="L627"/>
      <c r="M627"/>
      <c r="N627"/>
      <c r="O627"/>
    </row>
    <row r="628" spans="11:15" x14ac:dyDescent="0.25">
      <c r="K628"/>
      <c r="L628"/>
      <c r="M628"/>
      <c r="N628"/>
      <c r="O628"/>
    </row>
    <row r="629" spans="11:15" x14ac:dyDescent="0.25">
      <c r="K629"/>
      <c r="L629"/>
      <c r="M629"/>
      <c r="N629"/>
      <c r="O629"/>
    </row>
    <row r="630" spans="11:15" x14ac:dyDescent="0.25">
      <c r="K630"/>
      <c r="L630"/>
      <c r="M630"/>
      <c r="N630"/>
      <c r="O630"/>
    </row>
    <row r="631" spans="11:15" x14ac:dyDescent="0.25">
      <c r="K631"/>
      <c r="L631"/>
      <c r="M631"/>
      <c r="N631"/>
      <c r="O631"/>
    </row>
    <row r="632" spans="11:15" x14ac:dyDescent="0.25">
      <c r="K632"/>
      <c r="L632"/>
      <c r="M632"/>
      <c r="N632"/>
      <c r="O632"/>
    </row>
    <row r="633" spans="11:15" x14ac:dyDescent="0.25">
      <c r="K633"/>
      <c r="L633"/>
      <c r="M633"/>
      <c r="N633"/>
      <c r="O633"/>
    </row>
    <row r="634" spans="11:15" x14ac:dyDescent="0.25">
      <c r="K634"/>
      <c r="L634"/>
      <c r="M634"/>
      <c r="N634"/>
      <c r="O634"/>
    </row>
    <row r="635" spans="11:15" x14ac:dyDescent="0.25">
      <c r="K635"/>
      <c r="L635"/>
      <c r="M635"/>
      <c r="N635"/>
      <c r="O635"/>
    </row>
    <row r="636" spans="11:15" x14ac:dyDescent="0.25">
      <c r="K636"/>
      <c r="L636"/>
      <c r="M636"/>
      <c r="N636"/>
      <c r="O636"/>
    </row>
    <row r="637" spans="11:15" x14ac:dyDescent="0.25">
      <c r="K637"/>
      <c r="L637"/>
      <c r="M637"/>
      <c r="N637"/>
      <c r="O637"/>
    </row>
    <row r="638" spans="11:15" x14ac:dyDescent="0.25">
      <c r="K638"/>
      <c r="L638"/>
      <c r="M638"/>
      <c r="N638"/>
      <c r="O638"/>
    </row>
    <row r="639" spans="11:15" x14ac:dyDescent="0.25">
      <c r="K639"/>
      <c r="L639"/>
      <c r="M639"/>
      <c r="N639"/>
      <c r="O639"/>
    </row>
    <row r="640" spans="11:15" x14ac:dyDescent="0.25">
      <c r="K640"/>
      <c r="L640"/>
      <c r="M640"/>
      <c r="N640"/>
      <c r="O640"/>
    </row>
    <row r="641" spans="11:15" x14ac:dyDescent="0.25">
      <c r="K641"/>
      <c r="L641"/>
      <c r="M641"/>
      <c r="N641"/>
      <c r="O641"/>
    </row>
    <row r="642" spans="11:15" x14ac:dyDescent="0.25">
      <c r="K642"/>
      <c r="L642"/>
      <c r="M642"/>
      <c r="N642"/>
      <c r="O642"/>
    </row>
    <row r="643" spans="11:15" x14ac:dyDescent="0.25">
      <c r="K643"/>
      <c r="L643"/>
      <c r="M643"/>
      <c r="N643"/>
      <c r="O643"/>
    </row>
    <row r="644" spans="11:15" x14ac:dyDescent="0.25">
      <c r="K644"/>
      <c r="L644"/>
      <c r="M644"/>
      <c r="N644"/>
      <c r="O644"/>
    </row>
    <row r="645" spans="11:15" x14ac:dyDescent="0.25">
      <c r="K645"/>
      <c r="L645"/>
      <c r="M645"/>
      <c r="N645"/>
      <c r="O645"/>
    </row>
    <row r="646" spans="11:15" x14ac:dyDescent="0.25">
      <c r="K646"/>
      <c r="L646"/>
      <c r="M646"/>
      <c r="N646"/>
      <c r="O646"/>
    </row>
    <row r="647" spans="11:15" x14ac:dyDescent="0.25">
      <c r="K647"/>
      <c r="L647"/>
      <c r="M647"/>
      <c r="N647"/>
      <c r="O647"/>
    </row>
    <row r="648" spans="11:15" x14ac:dyDescent="0.25">
      <c r="K648"/>
      <c r="L648"/>
      <c r="M648"/>
      <c r="N648"/>
      <c r="O648"/>
    </row>
    <row r="649" spans="11:15" x14ac:dyDescent="0.25">
      <c r="K649"/>
      <c r="L649"/>
      <c r="M649"/>
      <c r="N649"/>
      <c r="O649"/>
    </row>
    <row r="650" spans="11:15" x14ac:dyDescent="0.25">
      <c r="K650"/>
      <c r="L650"/>
      <c r="M650"/>
      <c r="N650"/>
      <c r="O650"/>
    </row>
    <row r="651" spans="11:15" x14ac:dyDescent="0.25">
      <c r="K651"/>
      <c r="L651"/>
      <c r="M651"/>
      <c r="N651"/>
      <c r="O651"/>
    </row>
    <row r="652" spans="11:15" x14ac:dyDescent="0.25">
      <c r="K652"/>
      <c r="L652"/>
      <c r="M652"/>
      <c r="N652"/>
      <c r="O652"/>
    </row>
    <row r="653" spans="11:15" x14ac:dyDescent="0.25">
      <c r="K653"/>
      <c r="L653"/>
      <c r="M653"/>
      <c r="N653"/>
      <c r="O653"/>
    </row>
    <row r="654" spans="11:15" x14ac:dyDescent="0.25">
      <c r="K654"/>
      <c r="L654"/>
      <c r="M654"/>
      <c r="N654"/>
      <c r="O654"/>
    </row>
    <row r="655" spans="11:15" x14ac:dyDescent="0.25">
      <c r="K655"/>
      <c r="L655"/>
      <c r="M655"/>
      <c r="N655"/>
      <c r="O655"/>
    </row>
    <row r="656" spans="11:15" x14ac:dyDescent="0.25">
      <c r="K656"/>
      <c r="L656"/>
      <c r="M656"/>
      <c r="N656"/>
      <c r="O656"/>
    </row>
    <row r="657" spans="11:15" x14ac:dyDescent="0.25">
      <c r="K657"/>
      <c r="L657"/>
      <c r="M657"/>
      <c r="N657"/>
      <c r="O657"/>
    </row>
    <row r="658" spans="11:15" x14ac:dyDescent="0.25">
      <c r="K658"/>
      <c r="L658"/>
      <c r="M658"/>
      <c r="N658"/>
      <c r="O658"/>
    </row>
    <row r="659" spans="11:15" x14ac:dyDescent="0.25">
      <c r="K659"/>
      <c r="L659"/>
      <c r="M659"/>
      <c r="N659"/>
      <c r="O659"/>
    </row>
    <row r="660" spans="11:15" x14ac:dyDescent="0.25">
      <c r="K660"/>
      <c r="L660"/>
      <c r="M660"/>
      <c r="N660"/>
      <c r="O660"/>
    </row>
    <row r="661" spans="11:15" x14ac:dyDescent="0.25">
      <c r="K661"/>
      <c r="L661"/>
      <c r="M661"/>
      <c r="N661"/>
      <c r="O661"/>
    </row>
    <row r="662" spans="11:15" x14ac:dyDescent="0.25">
      <c r="K662"/>
      <c r="L662"/>
      <c r="M662"/>
      <c r="N662"/>
      <c r="O662"/>
    </row>
    <row r="663" spans="11:15" x14ac:dyDescent="0.25">
      <c r="K663"/>
      <c r="L663"/>
      <c r="M663"/>
      <c r="N663"/>
      <c r="O663"/>
    </row>
    <row r="664" spans="11:15" x14ac:dyDescent="0.25">
      <c r="K664"/>
      <c r="L664"/>
      <c r="M664"/>
      <c r="N664"/>
      <c r="O664"/>
    </row>
    <row r="665" spans="11:15" x14ac:dyDescent="0.25">
      <c r="K665"/>
      <c r="L665"/>
      <c r="M665"/>
      <c r="N665"/>
      <c r="O665"/>
    </row>
    <row r="666" spans="11:15" x14ac:dyDescent="0.25">
      <c r="K666"/>
      <c r="L666"/>
      <c r="M666"/>
      <c r="N666"/>
      <c r="O666"/>
    </row>
    <row r="667" spans="11:15" x14ac:dyDescent="0.25">
      <c r="K667"/>
      <c r="L667"/>
      <c r="M667"/>
      <c r="N667"/>
      <c r="O667"/>
    </row>
    <row r="668" spans="11:15" x14ac:dyDescent="0.25">
      <c r="K668"/>
      <c r="L668"/>
      <c r="M668"/>
      <c r="N668"/>
      <c r="O668"/>
    </row>
    <row r="669" spans="11:15" x14ac:dyDescent="0.25">
      <c r="K669"/>
      <c r="L669"/>
      <c r="M669"/>
      <c r="N669"/>
      <c r="O669"/>
    </row>
    <row r="670" spans="11:15" x14ac:dyDescent="0.25">
      <c r="K670"/>
      <c r="L670"/>
      <c r="M670"/>
      <c r="N670"/>
      <c r="O670"/>
    </row>
    <row r="671" spans="11:15" x14ac:dyDescent="0.25">
      <c r="K671"/>
      <c r="L671"/>
      <c r="M671"/>
      <c r="N671"/>
      <c r="O671"/>
    </row>
    <row r="672" spans="11:15" x14ac:dyDescent="0.25">
      <c r="K672"/>
      <c r="L672"/>
      <c r="M672"/>
      <c r="N672"/>
      <c r="O672"/>
    </row>
    <row r="673" spans="11:15" x14ac:dyDescent="0.25">
      <c r="K673"/>
      <c r="L673"/>
      <c r="M673"/>
      <c r="N673"/>
      <c r="O673"/>
    </row>
    <row r="674" spans="11:15" x14ac:dyDescent="0.25">
      <c r="K674"/>
      <c r="L674"/>
      <c r="M674"/>
      <c r="N674"/>
      <c r="O674"/>
    </row>
    <row r="675" spans="11:15" x14ac:dyDescent="0.25">
      <c r="K675"/>
      <c r="L675"/>
      <c r="M675"/>
      <c r="N675"/>
      <c r="O675"/>
    </row>
    <row r="676" spans="11:15" x14ac:dyDescent="0.25">
      <c r="K676"/>
      <c r="L676"/>
      <c r="M676"/>
      <c r="N676"/>
      <c r="O676"/>
    </row>
    <row r="677" spans="11:15" x14ac:dyDescent="0.25">
      <c r="K677"/>
      <c r="L677"/>
      <c r="M677"/>
      <c r="N677"/>
      <c r="O677"/>
    </row>
    <row r="678" spans="11:15" x14ac:dyDescent="0.25">
      <c r="K678"/>
      <c r="L678"/>
      <c r="M678"/>
      <c r="N678"/>
      <c r="O678"/>
    </row>
    <row r="679" spans="11:15" x14ac:dyDescent="0.25">
      <c r="K679"/>
      <c r="L679"/>
      <c r="M679"/>
      <c r="N679"/>
      <c r="O679"/>
    </row>
    <row r="680" spans="11:15" x14ac:dyDescent="0.25">
      <c r="K680"/>
      <c r="L680"/>
      <c r="M680"/>
      <c r="N680"/>
      <c r="O680"/>
    </row>
    <row r="681" spans="11:15" x14ac:dyDescent="0.25">
      <c r="K681"/>
      <c r="L681"/>
      <c r="M681"/>
      <c r="N681"/>
      <c r="O681"/>
    </row>
    <row r="682" spans="11:15" x14ac:dyDescent="0.25">
      <c r="K682"/>
      <c r="L682"/>
      <c r="M682"/>
      <c r="N682"/>
      <c r="O682"/>
    </row>
    <row r="683" spans="11:15" x14ac:dyDescent="0.25">
      <c r="K683"/>
      <c r="L683"/>
      <c r="M683"/>
      <c r="N683"/>
      <c r="O683"/>
    </row>
    <row r="684" spans="11:15" x14ac:dyDescent="0.25">
      <c r="K684"/>
      <c r="L684"/>
      <c r="M684"/>
      <c r="N684"/>
      <c r="O684"/>
    </row>
    <row r="685" spans="11:15" x14ac:dyDescent="0.25">
      <c r="K685"/>
      <c r="L685"/>
      <c r="M685"/>
      <c r="N685"/>
      <c r="O685"/>
    </row>
    <row r="686" spans="11:15" x14ac:dyDescent="0.25">
      <c r="K686"/>
      <c r="L686"/>
      <c r="M686"/>
      <c r="N686"/>
      <c r="O686"/>
    </row>
    <row r="687" spans="11:15" x14ac:dyDescent="0.25">
      <c r="K687"/>
      <c r="L687"/>
      <c r="M687"/>
      <c r="N687"/>
      <c r="O687"/>
    </row>
    <row r="688" spans="11:15" x14ac:dyDescent="0.25">
      <c r="K688"/>
      <c r="L688"/>
      <c r="M688"/>
      <c r="N688"/>
      <c r="O688"/>
    </row>
    <row r="689" spans="11:15" x14ac:dyDescent="0.25">
      <c r="K689"/>
      <c r="L689"/>
      <c r="M689"/>
      <c r="N689"/>
      <c r="O689"/>
    </row>
    <row r="690" spans="11:15" x14ac:dyDescent="0.25">
      <c r="K690"/>
      <c r="L690"/>
      <c r="M690"/>
      <c r="N690"/>
      <c r="O690"/>
    </row>
    <row r="691" spans="11:15" x14ac:dyDescent="0.25">
      <c r="K691"/>
      <c r="L691"/>
      <c r="M691"/>
      <c r="N691"/>
      <c r="O691"/>
    </row>
    <row r="692" spans="11:15" x14ac:dyDescent="0.25">
      <c r="K692"/>
      <c r="L692"/>
      <c r="M692"/>
      <c r="N692"/>
      <c r="O692"/>
    </row>
    <row r="693" spans="11:15" x14ac:dyDescent="0.25">
      <c r="K693"/>
      <c r="L693"/>
      <c r="M693"/>
      <c r="N693"/>
      <c r="O693"/>
    </row>
    <row r="694" spans="11:15" x14ac:dyDescent="0.25">
      <c r="K694"/>
      <c r="L694"/>
      <c r="M694"/>
      <c r="N694"/>
      <c r="O694"/>
    </row>
    <row r="695" spans="11:15" x14ac:dyDescent="0.25">
      <c r="K695"/>
      <c r="L695"/>
      <c r="M695"/>
      <c r="N695"/>
      <c r="O695"/>
    </row>
    <row r="696" spans="11:15" x14ac:dyDescent="0.25">
      <c r="K696"/>
      <c r="L696"/>
      <c r="M696"/>
      <c r="N696"/>
      <c r="O696"/>
    </row>
    <row r="697" spans="11:15" x14ac:dyDescent="0.25">
      <c r="K697"/>
      <c r="L697"/>
      <c r="M697"/>
      <c r="N697"/>
      <c r="O697"/>
    </row>
    <row r="698" spans="11:15" x14ac:dyDescent="0.25">
      <c r="K698"/>
      <c r="L698"/>
      <c r="M698"/>
      <c r="N698"/>
      <c r="O698"/>
    </row>
    <row r="699" spans="11:15" x14ac:dyDescent="0.25">
      <c r="K699"/>
      <c r="L699"/>
      <c r="M699"/>
      <c r="N699"/>
      <c r="O699"/>
    </row>
    <row r="700" spans="11:15" x14ac:dyDescent="0.25">
      <c r="K700"/>
      <c r="L700"/>
      <c r="M700"/>
      <c r="N700"/>
      <c r="O700"/>
    </row>
    <row r="701" spans="11:15" x14ac:dyDescent="0.25">
      <c r="K701"/>
      <c r="L701"/>
      <c r="M701"/>
      <c r="N701"/>
      <c r="O701"/>
    </row>
    <row r="702" spans="11:15" x14ac:dyDescent="0.25">
      <c r="K702"/>
      <c r="L702"/>
      <c r="M702"/>
      <c r="N702"/>
      <c r="O702"/>
    </row>
    <row r="703" spans="11:15" x14ac:dyDescent="0.25">
      <c r="K703"/>
      <c r="L703"/>
      <c r="M703"/>
      <c r="N703"/>
      <c r="O703"/>
    </row>
    <row r="704" spans="11:15" x14ac:dyDescent="0.25">
      <c r="K704"/>
      <c r="L704"/>
      <c r="M704"/>
      <c r="N704"/>
      <c r="O704"/>
    </row>
    <row r="705" spans="11:15" x14ac:dyDescent="0.25">
      <c r="K705"/>
      <c r="L705"/>
      <c r="M705"/>
      <c r="N705"/>
      <c r="O705"/>
    </row>
    <row r="706" spans="11:15" x14ac:dyDescent="0.25">
      <c r="K706"/>
      <c r="L706"/>
      <c r="M706"/>
      <c r="N706"/>
      <c r="O706"/>
    </row>
    <row r="707" spans="11:15" x14ac:dyDescent="0.25">
      <c r="K707"/>
      <c r="L707"/>
      <c r="M707"/>
      <c r="N707"/>
      <c r="O707"/>
    </row>
    <row r="708" spans="11:15" x14ac:dyDescent="0.25">
      <c r="K708"/>
      <c r="L708"/>
      <c r="M708"/>
      <c r="N708"/>
      <c r="O708"/>
    </row>
    <row r="709" spans="11:15" x14ac:dyDescent="0.25">
      <c r="K709"/>
      <c r="L709"/>
      <c r="M709"/>
      <c r="N709"/>
      <c r="O709"/>
    </row>
    <row r="710" spans="11:15" x14ac:dyDescent="0.25">
      <c r="K710"/>
      <c r="L710"/>
      <c r="M710"/>
      <c r="N710"/>
      <c r="O710"/>
    </row>
    <row r="711" spans="11:15" x14ac:dyDescent="0.25">
      <c r="K711"/>
      <c r="L711"/>
      <c r="M711"/>
      <c r="N711"/>
      <c r="O711"/>
    </row>
    <row r="712" spans="11:15" x14ac:dyDescent="0.25">
      <c r="K712"/>
      <c r="L712"/>
      <c r="M712"/>
      <c r="N712"/>
      <c r="O712"/>
    </row>
    <row r="713" spans="11:15" x14ac:dyDescent="0.25">
      <c r="K713"/>
      <c r="L713"/>
      <c r="M713"/>
      <c r="N713"/>
      <c r="O713"/>
    </row>
    <row r="714" spans="11:15" x14ac:dyDescent="0.25">
      <c r="K714"/>
      <c r="L714"/>
      <c r="M714"/>
      <c r="N714"/>
      <c r="O714"/>
    </row>
    <row r="715" spans="11:15" x14ac:dyDescent="0.25">
      <c r="K715"/>
      <c r="L715"/>
      <c r="M715"/>
      <c r="N715"/>
      <c r="O715"/>
    </row>
    <row r="716" spans="11:15" x14ac:dyDescent="0.25">
      <c r="K716"/>
      <c r="L716"/>
      <c r="M716"/>
      <c r="N716"/>
      <c r="O716"/>
    </row>
    <row r="717" spans="11:15" x14ac:dyDescent="0.25">
      <c r="K717"/>
      <c r="L717"/>
      <c r="M717"/>
      <c r="N717"/>
      <c r="O717"/>
    </row>
    <row r="718" spans="11:15" x14ac:dyDescent="0.25">
      <c r="K718"/>
      <c r="L718"/>
      <c r="M718"/>
      <c r="N718"/>
      <c r="O718"/>
    </row>
    <row r="719" spans="11:15" x14ac:dyDescent="0.25">
      <c r="K719"/>
      <c r="L719"/>
      <c r="M719"/>
      <c r="N719"/>
      <c r="O719"/>
    </row>
    <row r="720" spans="11:15" x14ac:dyDescent="0.25">
      <c r="K720"/>
      <c r="L720"/>
      <c r="M720"/>
      <c r="N720"/>
      <c r="O720"/>
    </row>
    <row r="721" spans="11:15" x14ac:dyDescent="0.25">
      <c r="K721"/>
      <c r="L721"/>
      <c r="M721"/>
      <c r="N721"/>
      <c r="O721"/>
    </row>
    <row r="722" spans="11:15" x14ac:dyDescent="0.25">
      <c r="K722"/>
      <c r="L722"/>
      <c r="M722"/>
      <c r="N722"/>
      <c r="O722"/>
    </row>
    <row r="723" spans="11:15" x14ac:dyDescent="0.25">
      <c r="K723"/>
      <c r="L723"/>
      <c r="M723"/>
      <c r="N723"/>
      <c r="O723"/>
    </row>
    <row r="724" spans="11:15" x14ac:dyDescent="0.25">
      <c r="K724"/>
      <c r="L724"/>
      <c r="M724"/>
      <c r="N724"/>
      <c r="O724"/>
    </row>
    <row r="725" spans="11:15" x14ac:dyDescent="0.25">
      <c r="K725"/>
      <c r="L725"/>
      <c r="M725"/>
      <c r="N725"/>
      <c r="O725"/>
    </row>
    <row r="726" spans="11:15" x14ac:dyDescent="0.25">
      <c r="K726"/>
      <c r="L726"/>
      <c r="M726"/>
      <c r="N726"/>
      <c r="O726"/>
    </row>
    <row r="727" spans="11:15" x14ac:dyDescent="0.25">
      <c r="K727"/>
      <c r="L727"/>
      <c r="M727"/>
      <c r="N727"/>
      <c r="O727"/>
    </row>
    <row r="728" spans="11:15" x14ac:dyDescent="0.25">
      <c r="K728"/>
      <c r="L728"/>
      <c r="M728"/>
      <c r="N728"/>
      <c r="O728"/>
    </row>
    <row r="729" spans="11:15" x14ac:dyDescent="0.25">
      <c r="K729"/>
      <c r="L729"/>
      <c r="M729"/>
      <c r="N729"/>
      <c r="O729"/>
    </row>
    <row r="730" spans="11:15" x14ac:dyDescent="0.25">
      <c r="K730"/>
      <c r="L730"/>
      <c r="M730"/>
      <c r="N730"/>
      <c r="O730"/>
    </row>
    <row r="731" spans="11:15" x14ac:dyDescent="0.25">
      <c r="K731"/>
      <c r="L731"/>
      <c r="M731"/>
      <c r="N731"/>
      <c r="O731"/>
    </row>
    <row r="732" spans="11:15" x14ac:dyDescent="0.25">
      <c r="K732"/>
      <c r="L732"/>
      <c r="M732"/>
      <c r="N732"/>
      <c r="O732"/>
    </row>
    <row r="733" spans="11:15" x14ac:dyDescent="0.25">
      <c r="K733"/>
      <c r="L733"/>
      <c r="M733"/>
      <c r="N733"/>
      <c r="O733"/>
    </row>
    <row r="734" spans="11:15" x14ac:dyDescent="0.25">
      <c r="K734"/>
      <c r="L734"/>
      <c r="M734"/>
      <c r="N734"/>
      <c r="O734"/>
    </row>
    <row r="735" spans="11:15" x14ac:dyDescent="0.25">
      <c r="K735"/>
      <c r="L735"/>
      <c r="M735"/>
      <c r="N735"/>
      <c r="O735"/>
    </row>
    <row r="736" spans="11:15" x14ac:dyDescent="0.25">
      <c r="K736"/>
      <c r="L736"/>
      <c r="M736"/>
      <c r="N736"/>
      <c r="O736"/>
    </row>
    <row r="737" spans="11:15" x14ac:dyDescent="0.25">
      <c r="K737"/>
      <c r="L737"/>
      <c r="M737"/>
      <c r="N737"/>
      <c r="O737"/>
    </row>
    <row r="738" spans="11:15" x14ac:dyDescent="0.25">
      <c r="K738"/>
      <c r="L738"/>
      <c r="M738"/>
      <c r="N738"/>
      <c r="O738"/>
    </row>
    <row r="739" spans="11:15" x14ac:dyDescent="0.25">
      <c r="K739"/>
      <c r="L739"/>
      <c r="M739"/>
      <c r="N739"/>
      <c r="O739"/>
    </row>
    <row r="740" spans="11:15" x14ac:dyDescent="0.25">
      <c r="K740"/>
      <c r="L740"/>
      <c r="M740"/>
      <c r="N740"/>
      <c r="O740"/>
    </row>
    <row r="741" spans="11:15" x14ac:dyDescent="0.25">
      <c r="K741"/>
      <c r="L741"/>
      <c r="M741"/>
      <c r="N741"/>
      <c r="O741"/>
    </row>
    <row r="742" spans="11:15" x14ac:dyDescent="0.25">
      <c r="K742"/>
      <c r="L742"/>
      <c r="M742"/>
      <c r="N742"/>
      <c r="O742"/>
    </row>
    <row r="743" spans="11:15" x14ac:dyDescent="0.25">
      <c r="K743"/>
      <c r="L743"/>
      <c r="M743"/>
      <c r="N743"/>
      <c r="O743"/>
    </row>
    <row r="744" spans="11:15" x14ac:dyDescent="0.25">
      <c r="K744"/>
      <c r="L744"/>
      <c r="M744"/>
      <c r="N744"/>
      <c r="O744"/>
    </row>
    <row r="745" spans="11:15" x14ac:dyDescent="0.25">
      <c r="K745"/>
      <c r="L745"/>
      <c r="M745"/>
      <c r="N745"/>
      <c r="O745"/>
    </row>
    <row r="746" spans="11:15" x14ac:dyDescent="0.25">
      <c r="K746"/>
      <c r="L746"/>
      <c r="M746"/>
      <c r="N746"/>
      <c r="O746"/>
    </row>
    <row r="747" spans="11:15" x14ac:dyDescent="0.25">
      <c r="K747"/>
      <c r="L747"/>
      <c r="M747"/>
      <c r="N747"/>
      <c r="O747"/>
    </row>
    <row r="748" spans="11:15" x14ac:dyDescent="0.25">
      <c r="K748"/>
      <c r="L748"/>
      <c r="M748"/>
      <c r="N748"/>
      <c r="O748"/>
    </row>
    <row r="749" spans="11:15" x14ac:dyDescent="0.25">
      <c r="K749"/>
      <c r="L749"/>
      <c r="M749"/>
      <c r="N749"/>
      <c r="O749"/>
    </row>
    <row r="750" spans="11:15" x14ac:dyDescent="0.25">
      <c r="K750"/>
      <c r="L750"/>
      <c r="M750"/>
      <c r="N750"/>
      <c r="O750"/>
    </row>
    <row r="751" spans="11:15" x14ac:dyDescent="0.25">
      <c r="K751"/>
      <c r="L751"/>
      <c r="M751"/>
      <c r="N751"/>
      <c r="O751"/>
    </row>
    <row r="752" spans="11:15" x14ac:dyDescent="0.25">
      <c r="K752"/>
      <c r="L752"/>
      <c r="M752"/>
      <c r="N752"/>
      <c r="O752"/>
    </row>
    <row r="753" spans="11:15" x14ac:dyDescent="0.25">
      <c r="K753"/>
      <c r="L753"/>
      <c r="M753"/>
      <c r="N753"/>
      <c r="O753"/>
    </row>
    <row r="754" spans="11:15" x14ac:dyDescent="0.25">
      <c r="K754"/>
      <c r="L754"/>
      <c r="M754"/>
      <c r="N754"/>
      <c r="O754"/>
    </row>
    <row r="755" spans="11:15" x14ac:dyDescent="0.25">
      <c r="K755"/>
      <c r="L755"/>
      <c r="M755"/>
      <c r="N755"/>
      <c r="O755"/>
    </row>
    <row r="756" spans="11:15" x14ac:dyDescent="0.25">
      <c r="K756"/>
      <c r="L756"/>
      <c r="M756"/>
      <c r="N756"/>
      <c r="O756"/>
    </row>
    <row r="757" spans="11:15" x14ac:dyDescent="0.25">
      <c r="K757"/>
      <c r="L757"/>
      <c r="M757"/>
      <c r="N757"/>
      <c r="O757"/>
    </row>
    <row r="758" spans="11:15" x14ac:dyDescent="0.25">
      <c r="K758"/>
      <c r="L758"/>
      <c r="M758"/>
      <c r="N758"/>
      <c r="O758"/>
    </row>
    <row r="759" spans="11:15" x14ac:dyDescent="0.25">
      <c r="K759"/>
      <c r="L759"/>
      <c r="M759"/>
      <c r="N759"/>
      <c r="O759"/>
    </row>
    <row r="760" spans="11:15" x14ac:dyDescent="0.25">
      <c r="K760"/>
      <c r="L760"/>
      <c r="M760"/>
      <c r="N760"/>
      <c r="O760"/>
    </row>
    <row r="761" spans="11:15" x14ac:dyDescent="0.25">
      <c r="K761"/>
      <c r="L761"/>
      <c r="M761"/>
      <c r="N761"/>
      <c r="O761"/>
    </row>
    <row r="762" spans="11:15" x14ac:dyDescent="0.25">
      <c r="K762"/>
      <c r="L762"/>
      <c r="M762"/>
      <c r="N762"/>
      <c r="O762"/>
    </row>
    <row r="763" spans="11:15" x14ac:dyDescent="0.25">
      <c r="K763"/>
      <c r="L763"/>
      <c r="M763"/>
      <c r="N763"/>
      <c r="O763"/>
    </row>
    <row r="764" spans="11:15" x14ac:dyDescent="0.25">
      <c r="K764"/>
      <c r="L764"/>
      <c r="M764"/>
      <c r="N764"/>
      <c r="O764"/>
    </row>
    <row r="765" spans="11:15" x14ac:dyDescent="0.25">
      <c r="K765"/>
      <c r="L765"/>
      <c r="M765"/>
      <c r="N765"/>
      <c r="O765"/>
    </row>
    <row r="766" spans="11:15" x14ac:dyDescent="0.25">
      <c r="K766"/>
      <c r="L766"/>
      <c r="M766"/>
      <c r="N766"/>
      <c r="O766"/>
    </row>
    <row r="767" spans="11:15" x14ac:dyDescent="0.25">
      <c r="K767"/>
      <c r="L767"/>
      <c r="M767"/>
      <c r="N767"/>
      <c r="O767"/>
    </row>
    <row r="768" spans="11:15" x14ac:dyDescent="0.25">
      <c r="K768"/>
      <c r="L768"/>
      <c r="M768"/>
      <c r="N768"/>
      <c r="O768"/>
    </row>
    <row r="769" spans="11:15" x14ac:dyDescent="0.25">
      <c r="K769"/>
      <c r="L769"/>
      <c r="M769"/>
      <c r="N769"/>
      <c r="O769"/>
    </row>
    <row r="770" spans="11:15" x14ac:dyDescent="0.25">
      <c r="K770"/>
      <c r="L770"/>
      <c r="M770"/>
      <c r="N770"/>
      <c r="O770"/>
    </row>
    <row r="771" spans="11:15" x14ac:dyDescent="0.25">
      <c r="K771"/>
      <c r="L771"/>
      <c r="M771"/>
      <c r="N771"/>
      <c r="O771"/>
    </row>
    <row r="772" spans="11:15" x14ac:dyDescent="0.25">
      <c r="K772"/>
      <c r="L772"/>
      <c r="M772"/>
      <c r="N772"/>
      <c r="O772"/>
    </row>
    <row r="773" spans="11:15" x14ac:dyDescent="0.25">
      <c r="K773"/>
      <c r="L773"/>
      <c r="M773"/>
      <c r="N773"/>
      <c r="O773"/>
    </row>
    <row r="774" spans="11:15" x14ac:dyDescent="0.25">
      <c r="K774"/>
      <c r="L774"/>
      <c r="M774"/>
      <c r="N774"/>
      <c r="O774"/>
    </row>
    <row r="775" spans="11:15" x14ac:dyDescent="0.25">
      <c r="K775"/>
      <c r="L775"/>
      <c r="M775"/>
      <c r="N775"/>
      <c r="O775"/>
    </row>
    <row r="776" spans="11:15" x14ac:dyDescent="0.25">
      <c r="K776"/>
      <c r="L776"/>
      <c r="M776"/>
      <c r="N776"/>
      <c r="O776"/>
    </row>
    <row r="777" spans="11:15" x14ac:dyDescent="0.25">
      <c r="K777"/>
      <c r="L777"/>
      <c r="M777"/>
      <c r="N777"/>
      <c r="O777"/>
    </row>
    <row r="778" spans="11:15" x14ac:dyDescent="0.25">
      <c r="K778"/>
      <c r="L778"/>
      <c r="M778"/>
      <c r="N778"/>
      <c r="O778"/>
    </row>
    <row r="779" spans="11:15" x14ac:dyDescent="0.25">
      <c r="K779"/>
      <c r="L779"/>
      <c r="M779"/>
      <c r="N779"/>
      <c r="O779"/>
    </row>
    <row r="780" spans="11:15" x14ac:dyDescent="0.25">
      <c r="K780"/>
      <c r="L780"/>
      <c r="M780"/>
      <c r="N780"/>
      <c r="O780"/>
    </row>
    <row r="781" spans="11:15" x14ac:dyDescent="0.25">
      <c r="K781"/>
      <c r="L781"/>
      <c r="M781"/>
      <c r="N781"/>
      <c r="O781"/>
    </row>
    <row r="782" spans="11:15" x14ac:dyDescent="0.25">
      <c r="K782"/>
      <c r="L782"/>
      <c r="M782"/>
      <c r="N782"/>
      <c r="O782"/>
    </row>
    <row r="783" spans="11:15" x14ac:dyDescent="0.25">
      <c r="K783"/>
      <c r="L783"/>
      <c r="M783"/>
      <c r="N783"/>
      <c r="O783"/>
    </row>
    <row r="784" spans="11:15" x14ac:dyDescent="0.25">
      <c r="K784"/>
      <c r="L784"/>
      <c r="M784"/>
      <c r="N784"/>
      <c r="O784"/>
    </row>
    <row r="785" spans="11:15" x14ac:dyDescent="0.25">
      <c r="K785"/>
      <c r="L785"/>
      <c r="M785"/>
      <c r="N785"/>
      <c r="O785"/>
    </row>
    <row r="786" spans="11:15" x14ac:dyDescent="0.25">
      <c r="K786"/>
      <c r="L786"/>
      <c r="M786"/>
      <c r="N786"/>
      <c r="O786"/>
    </row>
    <row r="787" spans="11:15" x14ac:dyDescent="0.25">
      <c r="K787"/>
      <c r="L787"/>
      <c r="M787"/>
      <c r="N787"/>
      <c r="O787"/>
    </row>
    <row r="788" spans="11:15" x14ac:dyDescent="0.25">
      <c r="K788"/>
      <c r="L788"/>
      <c r="M788"/>
      <c r="N788"/>
      <c r="O788"/>
    </row>
    <row r="789" spans="11:15" x14ac:dyDescent="0.25">
      <c r="K789"/>
      <c r="L789"/>
      <c r="M789"/>
      <c r="N789"/>
      <c r="O789"/>
    </row>
    <row r="790" spans="11:15" x14ac:dyDescent="0.25">
      <c r="K790"/>
      <c r="L790"/>
      <c r="M790"/>
      <c r="N790"/>
      <c r="O790"/>
    </row>
    <row r="791" spans="11:15" x14ac:dyDescent="0.25">
      <c r="K791"/>
      <c r="L791"/>
      <c r="M791"/>
      <c r="N791"/>
      <c r="O791"/>
    </row>
    <row r="792" spans="11:15" x14ac:dyDescent="0.25">
      <c r="K792"/>
      <c r="L792"/>
      <c r="M792"/>
      <c r="N792"/>
      <c r="O792"/>
    </row>
    <row r="793" spans="11:15" x14ac:dyDescent="0.25">
      <c r="K793"/>
      <c r="L793"/>
      <c r="M793"/>
      <c r="N793"/>
      <c r="O793"/>
    </row>
    <row r="794" spans="11:15" x14ac:dyDescent="0.25">
      <c r="K794"/>
      <c r="L794"/>
      <c r="M794"/>
      <c r="N794"/>
      <c r="O794"/>
    </row>
    <row r="795" spans="11:15" x14ac:dyDescent="0.25">
      <c r="K795"/>
      <c r="L795"/>
      <c r="M795"/>
      <c r="N795"/>
      <c r="O795"/>
    </row>
    <row r="796" spans="11:15" x14ac:dyDescent="0.25">
      <c r="K796"/>
      <c r="L796"/>
      <c r="M796"/>
      <c r="N796"/>
      <c r="O796"/>
    </row>
    <row r="797" spans="11:15" x14ac:dyDescent="0.25">
      <c r="K797"/>
      <c r="L797"/>
      <c r="M797"/>
      <c r="N797"/>
      <c r="O797"/>
    </row>
    <row r="798" spans="11:15" x14ac:dyDescent="0.25">
      <c r="K798"/>
      <c r="L798"/>
      <c r="M798"/>
      <c r="N798"/>
      <c r="O798"/>
    </row>
    <row r="799" spans="11:15" x14ac:dyDescent="0.25">
      <c r="K799"/>
      <c r="L799"/>
      <c r="M799"/>
      <c r="N799"/>
      <c r="O799"/>
    </row>
    <row r="800" spans="11:15" x14ac:dyDescent="0.25">
      <c r="K800"/>
      <c r="L800"/>
      <c r="M800"/>
      <c r="N800"/>
      <c r="O800"/>
    </row>
    <row r="801" spans="11:15" x14ac:dyDescent="0.25">
      <c r="K801"/>
      <c r="L801"/>
      <c r="M801"/>
      <c r="N801"/>
      <c r="O801"/>
    </row>
    <row r="802" spans="11:15" x14ac:dyDescent="0.25">
      <c r="K802"/>
      <c r="L802"/>
      <c r="M802"/>
      <c r="N802"/>
      <c r="O802"/>
    </row>
    <row r="803" spans="11:15" x14ac:dyDescent="0.25">
      <c r="K803"/>
      <c r="L803"/>
      <c r="M803"/>
      <c r="N803"/>
      <c r="O803"/>
    </row>
    <row r="804" spans="11:15" x14ac:dyDescent="0.25">
      <c r="K804"/>
      <c r="L804"/>
      <c r="M804"/>
      <c r="N804"/>
      <c r="O804"/>
    </row>
    <row r="805" spans="11:15" x14ac:dyDescent="0.25">
      <c r="K805"/>
      <c r="L805"/>
      <c r="M805"/>
      <c r="N805"/>
      <c r="O805"/>
    </row>
    <row r="806" spans="11:15" x14ac:dyDescent="0.25">
      <c r="K806"/>
      <c r="L806"/>
      <c r="M806"/>
      <c r="N806"/>
      <c r="O806"/>
    </row>
    <row r="807" spans="11:15" x14ac:dyDescent="0.25">
      <c r="K807"/>
      <c r="L807"/>
      <c r="M807"/>
      <c r="N807"/>
      <c r="O807"/>
    </row>
    <row r="808" spans="11:15" x14ac:dyDescent="0.25">
      <c r="K808"/>
      <c r="L808"/>
      <c r="M808"/>
      <c r="N808"/>
      <c r="O808"/>
    </row>
    <row r="809" spans="11:15" x14ac:dyDescent="0.25">
      <c r="K809"/>
      <c r="L809"/>
      <c r="M809"/>
      <c r="N809"/>
      <c r="O809"/>
    </row>
    <row r="810" spans="11:15" x14ac:dyDescent="0.25">
      <c r="K810"/>
      <c r="L810"/>
      <c r="M810"/>
      <c r="N810"/>
      <c r="O810"/>
    </row>
    <row r="811" spans="11:15" x14ac:dyDescent="0.25">
      <c r="K811"/>
      <c r="L811"/>
      <c r="M811"/>
      <c r="N811"/>
      <c r="O811"/>
    </row>
    <row r="812" spans="11:15" x14ac:dyDescent="0.25">
      <c r="K812"/>
      <c r="L812"/>
      <c r="M812"/>
      <c r="N812"/>
      <c r="O812"/>
    </row>
    <row r="813" spans="11:15" x14ac:dyDescent="0.25">
      <c r="K813"/>
      <c r="L813"/>
      <c r="M813"/>
      <c r="N813"/>
      <c r="O813"/>
    </row>
    <row r="814" spans="11:15" x14ac:dyDescent="0.25">
      <c r="K814"/>
      <c r="L814"/>
      <c r="M814"/>
      <c r="N814"/>
      <c r="O814"/>
    </row>
    <row r="815" spans="11:15" x14ac:dyDescent="0.25">
      <c r="K815"/>
      <c r="L815"/>
      <c r="M815"/>
      <c r="N815"/>
      <c r="O815"/>
    </row>
    <row r="816" spans="11:15" x14ac:dyDescent="0.25">
      <c r="K816"/>
      <c r="L816"/>
      <c r="M816"/>
      <c r="N816"/>
      <c r="O816"/>
    </row>
    <row r="817" spans="11:15" x14ac:dyDescent="0.25">
      <c r="K817"/>
      <c r="L817"/>
      <c r="M817"/>
      <c r="N817"/>
      <c r="O817"/>
    </row>
    <row r="818" spans="11:15" x14ac:dyDescent="0.25">
      <c r="K818"/>
      <c r="L818"/>
      <c r="M818"/>
      <c r="N818"/>
      <c r="O818"/>
    </row>
    <row r="819" spans="11:15" x14ac:dyDescent="0.25">
      <c r="K819"/>
      <c r="L819"/>
      <c r="M819"/>
      <c r="N819"/>
      <c r="O819"/>
    </row>
    <row r="820" spans="11:15" x14ac:dyDescent="0.25">
      <c r="K820"/>
      <c r="L820"/>
      <c r="M820"/>
      <c r="N820"/>
      <c r="O820"/>
    </row>
    <row r="821" spans="11:15" x14ac:dyDescent="0.25">
      <c r="K821"/>
      <c r="L821"/>
      <c r="M821"/>
      <c r="N821"/>
      <c r="O821"/>
    </row>
    <row r="822" spans="11:15" x14ac:dyDescent="0.25">
      <c r="K822"/>
      <c r="L822"/>
      <c r="M822"/>
      <c r="N822"/>
      <c r="O822"/>
    </row>
    <row r="823" spans="11:15" x14ac:dyDescent="0.25">
      <c r="K823"/>
      <c r="L823"/>
      <c r="M823"/>
      <c r="N823"/>
      <c r="O823"/>
    </row>
    <row r="824" spans="11:15" x14ac:dyDescent="0.25">
      <c r="K824"/>
      <c r="L824"/>
      <c r="M824"/>
      <c r="N824"/>
      <c r="O824"/>
    </row>
    <row r="825" spans="11:15" x14ac:dyDescent="0.25">
      <c r="K825"/>
      <c r="L825"/>
      <c r="M825"/>
      <c r="N825"/>
      <c r="O825"/>
    </row>
    <row r="826" spans="11:15" x14ac:dyDescent="0.25">
      <c r="K826"/>
      <c r="L826"/>
      <c r="M826"/>
      <c r="N826"/>
      <c r="O826"/>
    </row>
    <row r="827" spans="11:15" x14ac:dyDescent="0.25">
      <c r="K827"/>
      <c r="L827"/>
      <c r="M827"/>
      <c r="N827"/>
      <c r="O827"/>
    </row>
    <row r="828" spans="11:15" x14ac:dyDescent="0.25">
      <c r="K828"/>
      <c r="L828"/>
      <c r="M828"/>
      <c r="N828"/>
      <c r="O828"/>
    </row>
    <row r="829" spans="11:15" x14ac:dyDescent="0.25">
      <c r="K829"/>
      <c r="L829"/>
      <c r="M829"/>
      <c r="N829"/>
      <c r="O829"/>
    </row>
    <row r="830" spans="11:15" x14ac:dyDescent="0.25">
      <c r="K830"/>
      <c r="L830"/>
      <c r="M830"/>
      <c r="N830"/>
      <c r="O830"/>
    </row>
    <row r="831" spans="11:15" x14ac:dyDescent="0.25">
      <c r="K831"/>
      <c r="L831"/>
      <c r="M831"/>
      <c r="N831"/>
      <c r="O831"/>
    </row>
    <row r="832" spans="11:15" x14ac:dyDescent="0.25">
      <c r="K832"/>
      <c r="L832"/>
      <c r="M832"/>
      <c r="N832"/>
      <c r="O832"/>
    </row>
    <row r="833" spans="11:15" x14ac:dyDescent="0.25">
      <c r="K833"/>
      <c r="L833"/>
      <c r="M833"/>
      <c r="N833"/>
      <c r="O833"/>
    </row>
    <row r="834" spans="11:15" x14ac:dyDescent="0.25">
      <c r="K834"/>
      <c r="L834"/>
      <c r="M834"/>
      <c r="N834"/>
      <c r="O834"/>
    </row>
    <row r="835" spans="11:15" x14ac:dyDescent="0.25">
      <c r="K835"/>
      <c r="L835"/>
      <c r="M835"/>
      <c r="N835"/>
      <c r="O835"/>
    </row>
    <row r="836" spans="11:15" x14ac:dyDescent="0.25">
      <c r="K836"/>
      <c r="L836"/>
      <c r="M836"/>
      <c r="N836"/>
      <c r="O836"/>
    </row>
    <row r="837" spans="11:15" x14ac:dyDescent="0.25">
      <c r="K837"/>
      <c r="L837"/>
      <c r="M837"/>
      <c r="N837"/>
      <c r="O837"/>
    </row>
    <row r="838" spans="11:15" x14ac:dyDescent="0.25">
      <c r="K838"/>
      <c r="L838"/>
      <c r="M838"/>
      <c r="N838"/>
      <c r="O838"/>
    </row>
    <row r="839" spans="11:15" x14ac:dyDescent="0.25">
      <c r="K839"/>
      <c r="L839"/>
      <c r="M839"/>
      <c r="N839"/>
      <c r="O839"/>
    </row>
    <row r="840" spans="11:15" x14ac:dyDescent="0.25">
      <c r="K840"/>
      <c r="L840"/>
      <c r="M840"/>
      <c r="N840"/>
      <c r="O840"/>
    </row>
    <row r="841" spans="11:15" x14ac:dyDescent="0.25">
      <c r="K841"/>
      <c r="L841"/>
      <c r="M841"/>
      <c r="N841"/>
      <c r="O841"/>
    </row>
    <row r="842" spans="11:15" x14ac:dyDescent="0.25">
      <c r="K842"/>
      <c r="L842"/>
      <c r="M842"/>
      <c r="N842"/>
      <c r="O842"/>
    </row>
    <row r="843" spans="11:15" x14ac:dyDescent="0.25">
      <c r="K843"/>
      <c r="L843"/>
      <c r="M843"/>
      <c r="N843"/>
      <c r="O843"/>
    </row>
    <row r="844" spans="11:15" x14ac:dyDescent="0.25">
      <c r="K844"/>
      <c r="L844"/>
      <c r="M844"/>
      <c r="N844"/>
      <c r="O844"/>
    </row>
    <row r="845" spans="11:15" x14ac:dyDescent="0.25">
      <c r="K845"/>
      <c r="L845"/>
      <c r="M845"/>
      <c r="N845"/>
      <c r="O845"/>
    </row>
    <row r="846" spans="11:15" x14ac:dyDescent="0.25">
      <c r="K846"/>
      <c r="L846"/>
      <c r="M846"/>
      <c r="N846"/>
      <c r="O846"/>
    </row>
    <row r="847" spans="11:15" x14ac:dyDescent="0.25">
      <c r="K847"/>
      <c r="L847"/>
      <c r="M847"/>
      <c r="N847"/>
      <c r="O847"/>
    </row>
    <row r="848" spans="11:15" x14ac:dyDescent="0.25">
      <c r="K848"/>
      <c r="L848"/>
      <c r="M848"/>
      <c r="N848"/>
      <c r="O848"/>
    </row>
    <row r="849" spans="11:15" x14ac:dyDescent="0.25">
      <c r="K849"/>
      <c r="L849"/>
      <c r="M849"/>
      <c r="N849"/>
      <c r="O849"/>
    </row>
    <row r="850" spans="11:15" x14ac:dyDescent="0.25">
      <c r="K850"/>
      <c r="L850"/>
      <c r="M850"/>
      <c r="N850"/>
      <c r="O850"/>
    </row>
    <row r="851" spans="11:15" x14ac:dyDescent="0.25">
      <c r="K851"/>
      <c r="L851"/>
      <c r="M851"/>
      <c r="N851"/>
      <c r="O851"/>
    </row>
    <row r="852" spans="11:15" x14ac:dyDescent="0.25">
      <c r="K852"/>
      <c r="L852"/>
      <c r="M852"/>
      <c r="N852"/>
      <c r="O852"/>
    </row>
    <row r="853" spans="11:15" x14ac:dyDescent="0.25">
      <c r="K853"/>
      <c r="L853"/>
      <c r="M853"/>
      <c r="N853"/>
      <c r="O853"/>
    </row>
    <row r="854" spans="11:15" x14ac:dyDescent="0.25">
      <c r="K854"/>
      <c r="L854"/>
      <c r="M854"/>
      <c r="N854"/>
      <c r="O854"/>
    </row>
    <row r="855" spans="11:15" x14ac:dyDescent="0.25">
      <c r="K855"/>
      <c r="L855"/>
      <c r="M855"/>
      <c r="N855"/>
      <c r="O855"/>
    </row>
    <row r="856" spans="11:15" x14ac:dyDescent="0.25">
      <c r="K856"/>
      <c r="L856"/>
      <c r="M856"/>
      <c r="N856"/>
      <c r="O856"/>
    </row>
    <row r="857" spans="11:15" x14ac:dyDescent="0.25">
      <c r="K857"/>
      <c r="L857"/>
      <c r="M857"/>
      <c r="N857"/>
      <c r="O857"/>
    </row>
    <row r="858" spans="11:15" x14ac:dyDescent="0.25">
      <c r="K858"/>
      <c r="L858"/>
      <c r="M858"/>
      <c r="N858"/>
      <c r="O858"/>
    </row>
    <row r="859" spans="11:15" x14ac:dyDescent="0.25">
      <c r="K859"/>
      <c r="L859"/>
      <c r="M859"/>
      <c r="N859"/>
      <c r="O859"/>
    </row>
    <row r="860" spans="11:15" x14ac:dyDescent="0.25">
      <c r="K860"/>
      <c r="L860"/>
      <c r="M860"/>
      <c r="N860"/>
      <c r="O860"/>
    </row>
    <row r="861" spans="11:15" x14ac:dyDescent="0.25">
      <c r="K861"/>
      <c r="L861"/>
      <c r="M861"/>
      <c r="N861"/>
      <c r="O861"/>
    </row>
    <row r="862" spans="11:15" x14ac:dyDescent="0.25">
      <c r="K862"/>
      <c r="L862"/>
      <c r="M862"/>
      <c r="N862"/>
      <c r="O862"/>
    </row>
    <row r="863" spans="11:15" x14ac:dyDescent="0.25">
      <c r="K863"/>
      <c r="L863"/>
      <c r="M863"/>
      <c r="N863"/>
      <c r="O863"/>
    </row>
    <row r="864" spans="11:15" x14ac:dyDescent="0.25">
      <c r="K864"/>
      <c r="L864"/>
      <c r="M864"/>
      <c r="N864"/>
      <c r="O864"/>
    </row>
    <row r="865" spans="11:15" x14ac:dyDescent="0.25">
      <c r="K865"/>
      <c r="L865"/>
      <c r="M865"/>
      <c r="N865"/>
      <c r="O865"/>
    </row>
    <row r="866" spans="11:15" x14ac:dyDescent="0.25">
      <c r="K866"/>
      <c r="L866"/>
      <c r="M866"/>
      <c r="N866"/>
      <c r="O866"/>
    </row>
    <row r="867" spans="11:15" x14ac:dyDescent="0.25">
      <c r="K867"/>
      <c r="L867"/>
      <c r="M867"/>
      <c r="N867"/>
      <c r="O867"/>
    </row>
    <row r="868" spans="11:15" x14ac:dyDescent="0.25">
      <c r="K868"/>
      <c r="L868"/>
      <c r="M868"/>
      <c r="N868"/>
      <c r="O868"/>
    </row>
    <row r="869" spans="11:15" x14ac:dyDescent="0.25">
      <c r="K869"/>
      <c r="L869"/>
      <c r="M869"/>
      <c r="N869"/>
      <c r="O869"/>
    </row>
    <row r="870" spans="11:15" x14ac:dyDescent="0.25">
      <c r="K870"/>
      <c r="L870"/>
      <c r="M870"/>
      <c r="N870"/>
      <c r="O870"/>
    </row>
    <row r="871" spans="11:15" x14ac:dyDescent="0.25">
      <c r="K871"/>
      <c r="L871"/>
      <c r="M871"/>
      <c r="N871"/>
      <c r="O871"/>
    </row>
    <row r="872" spans="11:15" x14ac:dyDescent="0.25">
      <c r="K872"/>
      <c r="L872"/>
      <c r="M872"/>
      <c r="N872"/>
      <c r="O872"/>
    </row>
    <row r="873" spans="11:15" x14ac:dyDescent="0.25">
      <c r="K873"/>
      <c r="L873"/>
      <c r="M873"/>
      <c r="N873"/>
      <c r="O873"/>
    </row>
    <row r="874" spans="11:15" x14ac:dyDescent="0.25">
      <c r="K874"/>
      <c r="L874"/>
      <c r="M874"/>
      <c r="N874"/>
      <c r="O874"/>
    </row>
    <row r="875" spans="11:15" x14ac:dyDescent="0.25">
      <c r="K875"/>
      <c r="L875"/>
      <c r="M875"/>
      <c r="N875"/>
      <c r="O875"/>
    </row>
    <row r="876" spans="11:15" x14ac:dyDescent="0.25">
      <c r="K876"/>
      <c r="L876"/>
      <c r="M876"/>
      <c r="N876"/>
      <c r="O876"/>
    </row>
    <row r="877" spans="11:15" x14ac:dyDescent="0.25">
      <c r="K877"/>
      <c r="L877"/>
      <c r="M877"/>
      <c r="N877"/>
      <c r="O877"/>
    </row>
    <row r="878" spans="11:15" x14ac:dyDescent="0.25">
      <c r="K878"/>
      <c r="L878"/>
      <c r="M878"/>
      <c r="N878"/>
      <c r="O878"/>
    </row>
    <row r="879" spans="11:15" x14ac:dyDescent="0.25">
      <c r="K879"/>
      <c r="L879"/>
      <c r="M879"/>
      <c r="N879"/>
      <c r="O879"/>
    </row>
    <row r="880" spans="11:15" x14ac:dyDescent="0.25">
      <c r="K880"/>
      <c r="L880"/>
      <c r="M880"/>
      <c r="N880"/>
      <c r="O880"/>
    </row>
    <row r="881" spans="11:15" x14ac:dyDescent="0.25">
      <c r="K881"/>
      <c r="L881"/>
      <c r="M881"/>
      <c r="N881"/>
      <c r="O881"/>
    </row>
    <row r="882" spans="11:15" x14ac:dyDescent="0.25">
      <c r="K882"/>
      <c r="L882"/>
      <c r="M882"/>
      <c r="N882"/>
      <c r="O882"/>
    </row>
    <row r="883" spans="11:15" x14ac:dyDescent="0.25">
      <c r="K883"/>
      <c r="L883"/>
      <c r="M883"/>
      <c r="N883"/>
      <c r="O883"/>
    </row>
    <row r="884" spans="11:15" x14ac:dyDescent="0.25">
      <c r="K884"/>
      <c r="L884"/>
      <c r="M884"/>
      <c r="N884"/>
      <c r="O884"/>
    </row>
    <row r="885" spans="11:15" x14ac:dyDescent="0.25">
      <c r="K885"/>
      <c r="L885"/>
      <c r="M885"/>
      <c r="N885"/>
      <c r="O885"/>
    </row>
    <row r="886" spans="11:15" x14ac:dyDescent="0.25">
      <c r="K886"/>
      <c r="L886"/>
      <c r="M886"/>
      <c r="N886"/>
      <c r="O886"/>
    </row>
    <row r="887" spans="11:15" x14ac:dyDescent="0.25">
      <c r="K887"/>
      <c r="L887"/>
      <c r="M887"/>
      <c r="N887"/>
      <c r="O887"/>
    </row>
    <row r="888" spans="11:15" x14ac:dyDescent="0.25">
      <c r="K888"/>
      <c r="L888"/>
      <c r="M888"/>
      <c r="N888"/>
      <c r="O888"/>
    </row>
    <row r="889" spans="11:15" x14ac:dyDescent="0.25">
      <c r="K889"/>
      <c r="L889"/>
      <c r="M889"/>
      <c r="N889"/>
      <c r="O889"/>
    </row>
    <row r="890" spans="11:15" x14ac:dyDescent="0.25">
      <c r="K890"/>
      <c r="L890"/>
      <c r="M890"/>
      <c r="N890"/>
      <c r="O890"/>
    </row>
    <row r="891" spans="11:15" x14ac:dyDescent="0.25">
      <c r="K891"/>
      <c r="L891"/>
      <c r="M891"/>
      <c r="N891"/>
      <c r="O891"/>
    </row>
    <row r="892" spans="11:15" x14ac:dyDescent="0.25">
      <c r="K892"/>
      <c r="L892"/>
      <c r="M892"/>
      <c r="N892"/>
      <c r="O892"/>
    </row>
    <row r="893" spans="11:15" x14ac:dyDescent="0.25">
      <c r="K893"/>
      <c r="L893"/>
      <c r="M893"/>
      <c r="N893"/>
      <c r="O893"/>
    </row>
    <row r="894" spans="11:15" x14ac:dyDescent="0.25">
      <c r="K894"/>
      <c r="L894"/>
      <c r="M894"/>
      <c r="N894"/>
      <c r="O894"/>
    </row>
    <row r="895" spans="11:15" x14ac:dyDescent="0.25">
      <c r="K895"/>
      <c r="L895"/>
      <c r="M895"/>
      <c r="N895"/>
      <c r="O895"/>
    </row>
    <row r="896" spans="11:15" x14ac:dyDescent="0.25">
      <c r="K896"/>
      <c r="L896"/>
      <c r="M896"/>
      <c r="N896"/>
      <c r="O896"/>
    </row>
    <row r="897" spans="11:15" x14ac:dyDescent="0.25">
      <c r="K897"/>
      <c r="L897"/>
      <c r="M897"/>
      <c r="N897"/>
      <c r="O897"/>
    </row>
    <row r="898" spans="11:15" x14ac:dyDescent="0.25">
      <c r="K898"/>
      <c r="L898"/>
      <c r="M898"/>
      <c r="N898"/>
      <c r="O898"/>
    </row>
    <row r="899" spans="11:15" x14ac:dyDescent="0.25">
      <c r="K899"/>
      <c r="L899"/>
      <c r="M899"/>
      <c r="N899"/>
      <c r="O899"/>
    </row>
    <row r="900" spans="11:15" x14ac:dyDescent="0.25">
      <c r="K900"/>
      <c r="L900"/>
      <c r="M900"/>
      <c r="N900"/>
      <c r="O900"/>
    </row>
    <row r="901" spans="11:15" x14ac:dyDescent="0.25">
      <c r="K901"/>
      <c r="L901"/>
      <c r="M901"/>
      <c r="N901"/>
      <c r="O901"/>
    </row>
    <row r="902" spans="11:15" x14ac:dyDescent="0.25">
      <c r="K902"/>
      <c r="L902"/>
      <c r="M902"/>
      <c r="N902"/>
      <c r="O902"/>
    </row>
    <row r="903" spans="11:15" x14ac:dyDescent="0.25">
      <c r="K903"/>
      <c r="L903"/>
      <c r="M903"/>
      <c r="N903"/>
      <c r="O903"/>
    </row>
    <row r="904" spans="11:15" x14ac:dyDescent="0.25">
      <c r="K904"/>
      <c r="L904"/>
      <c r="M904"/>
      <c r="N904"/>
      <c r="O904"/>
    </row>
    <row r="905" spans="11:15" x14ac:dyDescent="0.25">
      <c r="K905"/>
      <c r="L905"/>
      <c r="M905"/>
      <c r="N905"/>
      <c r="O905"/>
    </row>
    <row r="906" spans="11:15" x14ac:dyDescent="0.25">
      <c r="K906"/>
      <c r="L906"/>
      <c r="M906"/>
      <c r="N906"/>
      <c r="O906"/>
    </row>
    <row r="907" spans="11:15" x14ac:dyDescent="0.25">
      <c r="K907"/>
      <c r="L907"/>
      <c r="M907"/>
      <c r="N907"/>
      <c r="O907"/>
    </row>
    <row r="908" spans="11:15" x14ac:dyDescent="0.25">
      <c r="K908"/>
      <c r="L908"/>
      <c r="M908"/>
      <c r="N908"/>
      <c r="O908"/>
    </row>
    <row r="909" spans="11:15" x14ac:dyDescent="0.25">
      <c r="K909"/>
      <c r="L909"/>
      <c r="M909"/>
      <c r="N909"/>
      <c r="O909"/>
    </row>
    <row r="910" spans="11:15" x14ac:dyDescent="0.25">
      <c r="K910"/>
      <c r="L910"/>
      <c r="M910"/>
      <c r="N910"/>
      <c r="O910"/>
    </row>
    <row r="911" spans="11:15" x14ac:dyDescent="0.25">
      <c r="K911"/>
      <c r="L911"/>
      <c r="M911"/>
      <c r="N911"/>
      <c r="O911"/>
    </row>
    <row r="912" spans="11:15" x14ac:dyDescent="0.25">
      <c r="K912"/>
      <c r="L912"/>
      <c r="M912"/>
      <c r="N912"/>
      <c r="O912"/>
    </row>
    <row r="913" spans="11:15" x14ac:dyDescent="0.25">
      <c r="K913"/>
      <c r="L913"/>
      <c r="M913"/>
      <c r="N913"/>
      <c r="O913"/>
    </row>
    <row r="914" spans="11:15" x14ac:dyDescent="0.25">
      <c r="K914"/>
      <c r="L914"/>
      <c r="M914"/>
      <c r="N914"/>
      <c r="O914"/>
    </row>
    <row r="915" spans="11:15" x14ac:dyDescent="0.25">
      <c r="K915"/>
      <c r="L915"/>
      <c r="M915"/>
      <c r="N915"/>
      <c r="O915"/>
    </row>
    <row r="916" spans="11:15" x14ac:dyDescent="0.25">
      <c r="K916"/>
      <c r="L916"/>
      <c r="M916"/>
      <c r="N916"/>
      <c r="O916"/>
    </row>
    <row r="917" spans="11:15" x14ac:dyDescent="0.25">
      <c r="K917"/>
      <c r="L917"/>
      <c r="M917"/>
      <c r="N917"/>
      <c r="O917"/>
    </row>
    <row r="918" spans="11:15" x14ac:dyDescent="0.25">
      <c r="K918"/>
      <c r="L918"/>
      <c r="M918"/>
      <c r="N918"/>
      <c r="O918"/>
    </row>
    <row r="919" spans="11:15" x14ac:dyDescent="0.25">
      <c r="K919"/>
      <c r="L919"/>
      <c r="M919"/>
      <c r="N919"/>
      <c r="O919"/>
    </row>
    <row r="920" spans="11:15" x14ac:dyDescent="0.25">
      <c r="K920"/>
      <c r="L920"/>
      <c r="M920"/>
      <c r="N920"/>
      <c r="O920"/>
    </row>
    <row r="921" spans="11:15" x14ac:dyDescent="0.25">
      <c r="K921"/>
      <c r="L921"/>
      <c r="M921"/>
      <c r="N921"/>
      <c r="O921"/>
    </row>
    <row r="922" spans="11:15" x14ac:dyDescent="0.25">
      <c r="K922"/>
      <c r="L922"/>
      <c r="M922"/>
      <c r="N922"/>
      <c r="O922"/>
    </row>
    <row r="923" spans="11:15" x14ac:dyDescent="0.25">
      <c r="K923"/>
      <c r="L923"/>
      <c r="M923"/>
      <c r="N923"/>
      <c r="O923"/>
    </row>
    <row r="924" spans="11:15" x14ac:dyDescent="0.25">
      <c r="K924"/>
      <c r="L924"/>
      <c r="M924"/>
      <c r="N924"/>
      <c r="O924"/>
    </row>
    <row r="925" spans="11:15" x14ac:dyDescent="0.25">
      <c r="K925"/>
      <c r="L925"/>
      <c r="M925"/>
      <c r="N925"/>
      <c r="O925"/>
    </row>
    <row r="926" spans="11:15" x14ac:dyDescent="0.25">
      <c r="K926"/>
      <c r="L926"/>
      <c r="M926"/>
      <c r="N926"/>
      <c r="O926"/>
    </row>
    <row r="927" spans="11:15" x14ac:dyDescent="0.25">
      <c r="K927"/>
      <c r="L927"/>
      <c r="M927"/>
      <c r="N927"/>
      <c r="O927"/>
    </row>
    <row r="928" spans="11:15" x14ac:dyDescent="0.25">
      <c r="K928"/>
      <c r="L928"/>
      <c r="M928"/>
      <c r="N928"/>
      <c r="O928"/>
    </row>
    <row r="929" spans="11:15" x14ac:dyDescent="0.25">
      <c r="K929"/>
      <c r="L929"/>
      <c r="M929"/>
      <c r="N929"/>
      <c r="O929"/>
    </row>
    <row r="930" spans="11:15" x14ac:dyDescent="0.25">
      <c r="K930"/>
      <c r="L930"/>
      <c r="M930"/>
      <c r="N930"/>
      <c r="O930"/>
    </row>
    <row r="931" spans="11:15" x14ac:dyDescent="0.25">
      <c r="K931"/>
      <c r="L931"/>
      <c r="M931"/>
      <c r="N931"/>
      <c r="O931"/>
    </row>
    <row r="932" spans="11:15" x14ac:dyDescent="0.25">
      <c r="K932"/>
      <c r="L932"/>
      <c r="M932"/>
      <c r="N932"/>
      <c r="O932"/>
    </row>
    <row r="933" spans="11:15" x14ac:dyDescent="0.25">
      <c r="K933"/>
      <c r="L933"/>
      <c r="M933"/>
      <c r="N933"/>
      <c r="O933"/>
    </row>
    <row r="934" spans="11:15" x14ac:dyDescent="0.25">
      <c r="K934"/>
      <c r="L934"/>
      <c r="M934"/>
      <c r="N934"/>
      <c r="O934"/>
    </row>
    <row r="935" spans="11:15" x14ac:dyDescent="0.25">
      <c r="K935"/>
      <c r="L935"/>
      <c r="M935"/>
      <c r="N935"/>
      <c r="O935"/>
    </row>
    <row r="936" spans="11:15" x14ac:dyDescent="0.25">
      <c r="K936"/>
      <c r="L936"/>
      <c r="M936"/>
      <c r="N936"/>
      <c r="O936"/>
    </row>
    <row r="937" spans="11:15" x14ac:dyDescent="0.25">
      <c r="K937"/>
      <c r="L937"/>
      <c r="M937"/>
      <c r="N937"/>
      <c r="O937"/>
    </row>
    <row r="938" spans="11:15" x14ac:dyDescent="0.25">
      <c r="K938"/>
      <c r="L938"/>
      <c r="M938"/>
      <c r="N938"/>
      <c r="O938"/>
    </row>
    <row r="939" spans="11:15" x14ac:dyDescent="0.25">
      <c r="K939"/>
      <c r="L939"/>
      <c r="M939"/>
      <c r="N939"/>
      <c r="O939"/>
    </row>
    <row r="940" spans="11:15" x14ac:dyDescent="0.25">
      <c r="K940"/>
      <c r="L940"/>
      <c r="M940"/>
      <c r="N940"/>
      <c r="O940"/>
    </row>
    <row r="941" spans="11:15" x14ac:dyDescent="0.25">
      <c r="K941"/>
      <c r="L941"/>
      <c r="M941"/>
      <c r="N941"/>
      <c r="O941"/>
    </row>
    <row r="942" spans="11:15" x14ac:dyDescent="0.25">
      <c r="K942"/>
      <c r="L942"/>
      <c r="M942"/>
      <c r="N942"/>
      <c r="O942"/>
    </row>
    <row r="943" spans="11:15" x14ac:dyDescent="0.25">
      <c r="K943"/>
      <c r="L943"/>
      <c r="M943"/>
      <c r="N943"/>
      <c r="O943"/>
    </row>
    <row r="944" spans="11:15" x14ac:dyDescent="0.25">
      <c r="K944"/>
      <c r="L944"/>
      <c r="M944"/>
      <c r="N944"/>
      <c r="O944"/>
    </row>
    <row r="945" spans="11:15" x14ac:dyDescent="0.25">
      <c r="K945"/>
      <c r="L945"/>
      <c r="M945"/>
      <c r="N945"/>
      <c r="O945"/>
    </row>
    <row r="946" spans="11:15" x14ac:dyDescent="0.25">
      <c r="K946"/>
      <c r="L946"/>
      <c r="M946"/>
      <c r="N946"/>
      <c r="O946"/>
    </row>
    <row r="947" spans="11:15" x14ac:dyDescent="0.25">
      <c r="K947"/>
      <c r="L947"/>
      <c r="M947"/>
      <c r="N947"/>
      <c r="O947"/>
    </row>
    <row r="948" spans="11:15" x14ac:dyDescent="0.25">
      <c r="K948"/>
      <c r="L948"/>
      <c r="M948"/>
      <c r="N948"/>
      <c r="O948"/>
    </row>
    <row r="949" spans="11:15" x14ac:dyDescent="0.25">
      <c r="K949"/>
      <c r="L949"/>
      <c r="M949"/>
      <c r="N949"/>
      <c r="O949"/>
    </row>
    <row r="950" spans="11:15" x14ac:dyDescent="0.25">
      <c r="K950"/>
      <c r="L950"/>
      <c r="M950"/>
      <c r="N950"/>
      <c r="O950"/>
    </row>
    <row r="951" spans="11:15" x14ac:dyDescent="0.25">
      <c r="K951"/>
      <c r="L951"/>
      <c r="M951"/>
      <c r="N951"/>
      <c r="O951"/>
    </row>
    <row r="952" spans="11:15" x14ac:dyDescent="0.25">
      <c r="K952"/>
      <c r="L952"/>
      <c r="M952"/>
      <c r="N952"/>
      <c r="O952"/>
    </row>
    <row r="953" spans="11:15" x14ac:dyDescent="0.25">
      <c r="K953"/>
      <c r="L953"/>
      <c r="M953"/>
      <c r="N953"/>
      <c r="O953"/>
    </row>
    <row r="954" spans="11:15" x14ac:dyDescent="0.25">
      <c r="K954"/>
      <c r="L954"/>
      <c r="M954"/>
      <c r="N954"/>
      <c r="O954"/>
    </row>
    <row r="955" spans="11:15" x14ac:dyDescent="0.25">
      <c r="K955"/>
      <c r="L955"/>
      <c r="M955"/>
      <c r="N955"/>
      <c r="O955"/>
    </row>
    <row r="956" spans="11:15" x14ac:dyDescent="0.25">
      <c r="K956"/>
      <c r="L956"/>
      <c r="M956"/>
      <c r="N956"/>
      <c r="O956"/>
    </row>
    <row r="957" spans="11:15" x14ac:dyDescent="0.25">
      <c r="K957"/>
      <c r="L957"/>
      <c r="M957"/>
      <c r="N957"/>
      <c r="O957"/>
    </row>
    <row r="958" spans="11:15" x14ac:dyDescent="0.25">
      <c r="K958"/>
      <c r="L958"/>
      <c r="M958"/>
      <c r="N958"/>
      <c r="O958"/>
    </row>
    <row r="959" spans="11:15" x14ac:dyDescent="0.25">
      <c r="K959"/>
      <c r="L959"/>
      <c r="M959"/>
      <c r="N959"/>
      <c r="O959"/>
    </row>
    <row r="960" spans="11:15" x14ac:dyDescent="0.25">
      <c r="K960"/>
      <c r="L960"/>
      <c r="M960"/>
      <c r="N960"/>
      <c r="O960"/>
    </row>
    <row r="961" spans="11:15" x14ac:dyDescent="0.25">
      <c r="K961"/>
      <c r="L961"/>
      <c r="M961"/>
      <c r="N961"/>
      <c r="O961"/>
    </row>
    <row r="962" spans="11:15" x14ac:dyDescent="0.25">
      <c r="K962"/>
      <c r="L962"/>
      <c r="M962"/>
      <c r="N962"/>
      <c r="O962"/>
    </row>
    <row r="963" spans="11:15" x14ac:dyDescent="0.25">
      <c r="K963"/>
      <c r="L963"/>
      <c r="M963"/>
      <c r="N963"/>
      <c r="O963"/>
    </row>
    <row r="964" spans="11:15" x14ac:dyDescent="0.25">
      <c r="K964"/>
      <c r="L964"/>
      <c r="M964"/>
      <c r="N964"/>
      <c r="O964"/>
    </row>
    <row r="965" spans="11:15" x14ac:dyDescent="0.25">
      <c r="K965"/>
      <c r="L965"/>
      <c r="M965"/>
      <c r="N965"/>
      <c r="O965"/>
    </row>
    <row r="966" spans="11:15" x14ac:dyDescent="0.25">
      <c r="K966"/>
      <c r="L966"/>
      <c r="M966"/>
      <c r="N966"/>
      <c r="O966"/>
    </row>
    <row r="967" spans="11:15" x14ac:dyDescent="0.25">
      <c r="K967"/>
      <c r="L967"/>
      <c r="M967"/>
      <c r="N967"/>
      <c r="O967"/>
    </row>
    <row r="968" spans="11:15" x14ac:dyDescent="0.25">
      <c r="K968"/>
      <c r="L968"/>
      <c r="M968"/>
      <c r="N968"/>
      <c r="O968"/>
    </row>
    <row r="969" spans="11:15" x14ac:dyDescent="0.25">
      <c r="K969"/>
      <c r="L969"/>
      <c r="M969"/>
      <c r="N969"/>
      <c r="O969"/>
    </row>
    <row r="970" spans="11:15" x14ac:dyDescent="0.25">
      <c r="K970"/>
      <c r="L970"/>
      <c r="M970"/>
      <c r="N970"/>
      <c r="O970"/>
    </row>
    <row r="971" spans="11:15" x14ac:dyDescent="0.25">
      <c r="K971"/>
      <c r="L971"/>
      <c r="M971"/>
      <c r="N971"/>
      <c r="O971"/>
    </row>
    <row r="972" spans="11:15" x14ac:dyDescent="0.25">
      <c r="K972"/>
      <c r="L972"/>
      <c r="M972"/>
      <c r="N972"/>
      <c r="O972"/>
    </row>
    <row r="973" spans="11:15" x14ac:dyDescent="0.25">
      <c r="K973"/>
      <c r="L973"/>
      <c r="M973"/>
      <c r="N973"/>
      <c r="O973"/>
    </row>
    <row r="974" spans="11:15" x14ac:dyDescent="0.25">
      <c r="K974"/>
      <c r="L974"/>
      <c r="M974"/>
      <c r="N974"/>
      <c r="O974"/>
    </row>
    <row r="975" spans="11:15" x14ac:dyDescent="0.25">
      <c r="K975"/>
      <c r="L975"/>
      <c r="M975"/>
      <c r="N975"/>
      <c r="O975"/>
    </row>
    <row r="976" spans="11:15" x14ac:dyDescent="0.25">
      <c r="K976"/>
      <c r="L976"/>
      <c r="M976"/>
      <c r="N976"/>
      <c r="O976"/>
    </row>
    <row r="977" spans="11:15" x14ac:dyDescent="0.25">
      <c r="K977"/>
      <c r="L977"/>
      <c r="M977"/>
      <c r="N977"/>
      <c r="O977"/>
    </row>
    <row r="978" spans="11:15" x14ac:dyDescent="0.25">
      <c r="K978"/>
      <c r="L978"/>
      <c r="M978"/>
      <c r="N978"/>
      <c r="O978"/>
    </row>
    <row r="979" spans="11:15" x14ac:dyDescent="0.25">
      <c r="K979"/>
      <c r="L979"/>
      <c r="M979"/>
      <c r="N979"/>
      <c r="O979"/>
    </row>
    <row r="980" spans="11:15" x14ac:dyDescent="0.25">
      <c r="K980"/>
      <c r="L980"/>
      <c r="M980"/>
      <c r="N980"/>
      <c r="O980"/>
    </row>
    <row r="981" spans="11:15" x14ac:dyDescent="0.25">
      <c r="K981"/>
      <c r="L981"/>
      <c r="M981"/>
      <c r="N981"/>
      <c r="O981"/>
    </row>
    <row r="982" spans="11:15" x14ac:dyDescent="0.25">
      <c r="K982"/>
      <c r="L982"/>
      <c r="M982"/>
      <c r="N982"/>
      <c r="O982"/>
    </row>
    <row r="983" spans="11:15" x14ac:dyDescent="0.25">
      <c r="K983"/>
      <c r="L983"/>
      <c r="M983"/>
      <c r="N983"/>
      <c r="O983"/>
    </row>
    <row r="984" spans="11:15" x14ac:dyDescent="0.25">
      <c r="K984"/>
      <c r="L984"/>
      <c r="M984"/>
      <c r="N984"/>
      <c r="O984"/>
    </row>
    <row r="985" spans="11:15" x14ac:dyDescent="0.25">
      <c r="K985"/>
      <c r="L985"/>
      <c r="M985"/>
      <c r="N985"/>
      <c r="O985"/>
    </row>
    <row r="986" spans="11:15" x14ac:dyDescent="0.25">
      <c r="K986"/>
      <c r="L986"/>
      <c r="M986"/>
      <c r="N986"/>
      <c r="O986"/>
    </row>
    <row r="987" spans="11:15" x14ac:dyDescent="0.25">
      <c r="K987"/>
      <c r="L987"/>
      <c r="M987"/>
      <c r="N987"/>
      <c r="O987"/>
    </row>
    <row r="988" spans="11:15" x14ac:dyDescent="0.25">
      <c r="K988"/>
      <c r="L988"/>
      <c r="M988"/>
      <c r="N988"/>
      <c r="O988"/>
    </row>
    <row r="989" spans="11:15" x14ac:dyDescent="0.25">
      <c r="K989"/>
      <c r="L989"/>
      <c r="M989"/>
      <c r="N989"/>
      <c r="O989"/>
    </row>
    <row r="990" spans="11:15" x14ac:dyDescent="0.25">
      <c r="K990"/>
      <c r="L990"/>
      <c r="M990"/>
      <c r="N990"/>
      <c r="O990"/>
    </row>
    <row r="991" spans="11:15" x14ac:dyDescent="0.25">
      <c r="K991"/>
      <c r="L991"/>
      <c r="M991"/>
      <c r="N991"/>
      <c r="O991"/>
    </row>
    <row r="992" spans="11:15" x14ac:dyDescent="0.25">
      <c r="K992"/>
      <c r="L992"/>
      <c r="M992"/>
      <c r="N992"/>
      <c r="O992"/>
    </row>
    <row r="993" spans="11:15" x14ac:dyDescent="0.25">
      <c r="K993"/>
      <c r="L993"/>
      <c r="M993"/>
      <c r="N993"/>
      <c r="O993"/>
    </row>
    <row r="994" spans="11:15" x14ac:dyDescent="0.25">
      <c r="K994"/>
      <c r="L994"/>
      <c r="M994"/>
      <c r="N994"/>
      <c r="O994"/>
    </row>
    <row r="995" spans="11:15" x14ac:dyDescent="0.25">
      <c r="K995"/>
      <c r="L995"/>
      <c r="M995"/>
      <c r="N995"/>
      <c r="O995"/>
    </row>
    <row r="996" spans="11:15" x14ac:dyDescent="0.25">
      <c r="K996"/>
      <c r="L996"/>
      <c r="M996"/>
      <c r="N996"/>
      <c r="O996"/>
    </row>
    <row r="997" spans="11:15" x14ac:dyDescent="0.25">
      <c r="K997"/>
      <c r="L997"/>
      <c r="M997"/>
      <c r="N997"/>
      <c r="O997"/>
    </row>
    <row r="998" spans="11:15" x14ac:dyDescent="0.25">
      <c r="K998"/>
      <c r="L998"/>
      <c r="M998"/>
      <c r="N998"/>
      <c r="O998"/>
    </row>
    <row r="999" spans="11:15" x14ac:dyDescent="0.25">
      <c r="K999"/>
      <c r="L999"/>
      <c r="M999"/>
      <c r="N999"/>
      <c r="O999"/>
    </row>
    <row r="1000" spans="11:15" x14ac:dyDescent="0.25">
      <c r="K1000"/>
      <c r="L1000"/>
      <c r="M1000"/>
      <c r="N1000"/>
      <c r="O1000"/>
    </row>
    <row r="1001" spans="11:15" x14ac:dyDescent="0.25">
      <c r="K1001"/>
      <c r="L1001"/>
      <c r="M1001"/>
      <c r="N1001"/>
      <c r="O1001"/>
    </row>
    <row r="1002" spans="11:15" x14ac:dyDescent="0.25">
      <c r="K1002"/>
      <c r="L1002"/>
      <c r="M1002"/>
      <c r="N1002"/>
      <c r="O1002"/>
    </row>
    <row r="1003" spans="11:15" x14ac:dyDescent="0.25">
      <c r="K1003"/>
      <c r="L1003"/>
      <c r="M1003"/>
      <c r="N1003"/>
      <c r="O1003"/>
    </row>
    <row r="1004" spans="11:15" x14ac:dyDescent="0.25">
      <c r="K1004"/>
      <c r="L1004"/>
      <c r="M1004"/>
      <c r="N1004"/>
      <c r="O1004"/>
    </row>
    <row r="1005" spans="11:15" x14ac:dyDescent="0.25">
      <c r="K1005"/>
      <c r="L1005"/>
      <c r="M1005"/>
      <c r="N1005"/>
      <c r="O1005"/>
    </row>
    <row r="1006" spans="11:15" x14ac:dyDescent="0.25">
      <c r="K1006"/>
      <c r="L1006"/>
      <c r="M1006"/>
      <c r="N1006"/>
      <c r="O1006"/>
    </row>
    <row r="1007" spans="11:15" x14ac:dyDescent="0.25">
      <c r="K1007"/>
      <c r="L1007"/>
      <c r="M1007"/>
      <c r="N1007"/>
      <c r="O1007"/>
    </row>
    <row r="1008" spans="11:15" x14ac:dyDescent="0.25">
      <c r="K1008"/>
      <c r="L1008"/>
      <c r="M1008"/>
      <c r="N1008"/>
      <c r="O1008"/>
    </row>
    <row r="1009" spans="11:15" x14ac:dyDescent="0.25">
      <c r="K1009"/>
      <c r="L1009"/>
      <c r="M1009"/>
      <c r="N1009"/>
      <c r="O1009"/>
    </row>
    <row r="1010" spans="11:15" x14ac:dyDescent="0.25">
      <c r="K1010"/>
      <c r="L1010"/>
      <c r="M1010"/>
      <c r="N1010"/>
      <c r="O1010"/>
    </row>
    <row r="1011" spans="11:15" x14ac:dyDescent="0.25">
      <c r="K1011"/>
      <c r="L1011"/>
      <c r="M1011"/>
      <c r="N1011"/>
      <c r="O1011"/>
    </row>
    <row r="1012" spans="11:15" x14ac:dyDescent="0.25">
      <c r="K1012"/>
      <c r="L1012"/>
      <c r="M1012"/>
      <c r="N1012"/>
      <c r="O1012"/>
    </row>
    <row r="1013" spans="11:15" x14ac:dyDescent="0.25">
      <c r="K1013"/>
      <c r="L1013"/>
      <c r="M1013"/>
      <c r="N1013"/>
      <c r="O1013"/>
    </row>
    <row r="1014" spans="11:15" x14ac:dyDescent="0.25">
      <c r="K1014"/>
      <c r="L1014"/>
      <c r="M1014"/>
      <c r="N1014"/>
      <c r="O1014"/>
    </row>
    <row r="1015" spans="11:15" x14ac:dyDescent="0.25">
      <c r="K1015"/>
      <c r="L1015"/>
      <c r="M1015"/>
      <c r="N1015"/>
      <c r="O1015"/>
    </row>
    <row r="1016" spans="11:15" x14ac:dyDescent="0.25">
      <c r="K1016"/>
      <c r="L1016"/>
      <c r="M1016"/>
      <c r="N1016"/>
      <c r="O1016"/>
    </row>
    <row r="1017" spans="11:15" x14ac:dyDescent="0.25">
      <c r="K1017"/>
      <c r="L1017"/>
      <c r="M1017"/>
      <c r="N1017"/>
      <c r="O1017"/>
    </row>
    <row r="1018" spans="11:15" x14ac:dyDescent="0.25">
      <c r="K1018"/>
      <c r="L1018"/>
      <c r="M1018"/>
      <c r="N1018"/>
      <c r="O1018"/>
    </row>
    <row r="1019" spans="11:15" x14ac:dyDescent="0.25">
      <c r="K1019"/>
      <c r="L1019"/>
      <c r="M1019"/>
      <c r="N1019"/>
      <c r="O1019"/>
    </row>
    <row r="1020" spans="11:15" x14ac:dyDescent="0.25">
      <c r="K1020"/>
      <c r="L1020"/>
      <c r="M1020"/>
      <c r="N1020"/>
      <c r="O1020"/>
    </row>
    <row r="1021" spans="11:15" x14ac:dyDescent="0.25">
      <c r="K1021"/>
      <c r="L1021"/>
      <c r="M1021"/>
      <c r="N1021"/>
      <c r="O1021"/>
    </row>
    <row r="1022" spans="11:15" x14ac:dyDescent="0.25">
      <c r="K1022"/>
      <c r="L1022"/>
      <c r="M1022"/>
      <c r="N1022"/>
      <c r="O1022"/>
    </row>
    <row r="1023" spans="11:15" x14ac:dyDescent="0.25">
      <c r="K1023"/>
      <c r="L1023"/>
      <c r="M1023"/>
      <c r="N1023"/>
      <c r="O1023"/>
    </row>
    <row r="1024" spans="11:15" x14ac:dyDescent="0.25">
      <c r="K1024"/>
      <c r="L1024"/>
      <c r="M1024"/>
      <c r="N1024"/>
      <c r="O1024"/>
    </row>
    <row r="1025" spans="11:15" x14ac:dyDescent="0.25">
      <c r="K1025"/>
      <c r="L1025"/>
      <c r="M1025"/>
      <c r="N1025"/>
      <c r="O1025"/>
    </row>
    <row r="1026" spans="11:15" x14ac:dyDescent="0.25">
      <c r="K1026"/>
      <c r="L1026"/>
      <c r="M1026"/>
      <c r="N1026"/>
      <c r="O1026"/>
    </row>
    <row r="1027" spans="11:15" x14ac:dyDescent="0.25">
      <c r="K1027"/>
      <c r="L1027"/>
      <c r="M1027"/>
      <c r="N1027"/>
      <c r="O1027"/>
    </row>
    <row r="1028" spans="11:15" x14ac:dyDescent="0.25">
      <c r="K1028"/>
      <c r="L1028"/>
      <c r="M1028"/>
      <c r="N1028"/>
      <c r="O1028"/>
    </row>
    <row r="1029" spans="11:15" x14ac:dyDescent="0.25">
      <c r="K1029"/>
      <c r="L1029"/>
      <c r="M1029"/>
      <c r="N1029"/>
      <c r="O1029"/>
    </row>
    <row r="1030" spans="11:15" x14ac:dyDescent="0.25">
      <c r="K1030"/>
      <c r="L1030"/>
      <c r="M1030"/>
      <c r="N1030"/>
      <c r="O1030"/>
    </row>
    <row r="1031" spans="11:15" x14ac:dyDescent="0.25">
      <c r="K1031"/>
      <c r="L1031"/>
      <c r="M1031"/>
      <c r="N1031"/>
      <c r="O1031"/>
    </row>
    <row r="1032" spans="11:15" x14ac:dyDescent="0.25">
      <c r="K1032"/>
      <c r="L1032"/>
      <c r="M1032"/>
      <c r="N1032"/>
      <c r="O1032"/>
    </row>
    <row r="1033" spans="11:15" x14ac:dyDescent="0.25">
      <c r="K1033"/>
      <c r="L1033"/>
      <c r="M1033"/>
      <c r="N1033"/>
      <c r="O1033"/>
    </row>
    <row r="1034" spans="11:15" x14ac:dyDescent="0.25">
      <c r="K1034"/>
      <c r="L1034"/>
      <c r="M1034"/>
      <c r="N1034"/>
      <c r="O1034"/>
    </row>
    <row r="1035" spans="11:15" x14ac:dyDescent="0.25">
      <c r="K1035"/>
      <c r="L1035"/>
      <c r="M1035"/>
      <c r="N1035"/>
      <c r="O1035"/>
    </row>
    <row r="1036" spans="11:15" x14ac:dyDescent="0.25">
      <c r="K1036"/>
      <c r="L1036"/>
      <c r="M1036"/>
      <c r="N1036"/>
      <c r="O1036"/>
    </row>
    <row r="1037" spans="11:15" x14ac:dyDescent="0.25">
      <c r="K1037"/>
      <c r="L1037"/>
      <c r="M1037"/>
      <c r="N1037"/>
      <c r="O1037"/>
    </row>
    <row r="1038" spans="11:15" x14ac:dyDescent="0.25">
      <c r="K1038"/>
      <c r="L1038"/>
      <c r="M1038"/>
      <c r="N1038"/>
      <c r="O1038"/>
    </row>
    <row r="1039" spans="11:15" x14ac:dyDescent="0.25">
      <c r="K1039"/>
      <c r="L1039"/>
      <c r="M1039"/>
      <c r="N1039"/>
      <c r="O1039"/>
    </row>
    <row r="1040" spans="11:15" x14ac:dyDescent="0.25">
      <c r="K1040"/>
      <c r="L1040"/>
      <c r="M1040"/>
      <c r="N1040"/>
      <c r="O1040"/>
    </row>
    <row r="1041" spans="11:15" x14ac:dyDescent="0.25">
      <c r="K1041"/>
      <c r="L1041"/>
      <c r="M1041"/>
      <c r="N1041"/>
      <c r="O1041"/>
    </row>
    <row r="1042" spans="11:15" x14ac:dyDescent="0.25">
      <c r="K1042"/>
      <c r="L1042"/>
      <c r="M1042"/>
      <c r="N1042"/>
      <c r="O1042"/>
    </row>
    <row r="1043" spans="11:15" x14ac:dyDescent="0.25">
      <c r="K1043"/>
      <c r="L1043"/>
      <c r="M1043"/>
      <c r="N1043"/>
      <c r="O1043"/>
    </row>
    <row r="1044" spans="11:15" x14ac:dyDescent="0.25">
      <c r="K1044"/>
      <c r="L1044"/>
      <c r="M1044"/>
      <c r="N1044"/>
      <c r="O1044"/>
    </row>
    <row r="1045" spans="11:15" x14ac:dyDescent="0.25">
      <c r="K1045"/>
      <c r="L1045"/>
      <c r="M1045"/>
      <c r="N1045"/>
      <c r="O1045"/>
    </row>
    <row r="1046" spans="11:15" x14ac:dyDescent="0.25">
      <c r="K1046"/>
      <c r="L1046"/>
      <c r="M1046"/>
      <c r="N1046"/>
      <c r="O1046"/>
    </row>
    <row r="1047" spans="11:15" x14ac:dyDescent="0.25">
      <c r="K1047"/>
      <c r="L1047"/>
      <c r="M1047"/>
      <c r="N1047"/>
      <c r="O1047"/>
    </row>
    <row r="1048" spans="11:15" x14ac:dyDescent="0.25">
      <c r="K1048"/>
      <c r="L1048"/>
      <c r="M1048"/>
      <c r="N1048"/>
      <c r="O1048"/>
    </row>
    <row r="1049" spans="11:15" x14ac:dyDescent="0.25">
      <c r="K1049"/>
      <c r="L1049"/>
      <c r="M1049"/>
      <c r="N1049"/>
      <c r="O1049"/>
    </row>
    <row r="1050" spans="11:15" x14ac:dyDescent="0.25">
      <c r="K1050"/>
      <c r="L1050"/>
      <c r="M1050"/>
      <c r="N1050"/>
      <c r="O1050"/>
    </row>
    <row r="1051" spans="11:15" x14ac:dyDescent="0.25">
      <c r="K1051"/>
      <c r="L1051"/>
      <c r="M1051"/>
      <c r="N1051"/>
      <c r="O1051"/>
    </row>
    <row r="1052" spans="11:15" x14ac:dyDescent="0.25">
      <c r="K1052"/>
      <c r="L1052"/>
      <c r="M1052"/>
      <c r="N1052"/>
      <c r="O1052"/>
    </row>
    <row r="1053" spans="11:15" x14ac:dyDescent="0.25">
      <c r="K1053"/>
      <c r="L1053"/>
      <c r="M1053"/>
      <c r="N1053"/>
      <c r="O1053"/>
    </row>
    <row r="1054" spans="11:15" x14ac:dyDescent="0.25">
      <c r="K1054"/>
      <c r="L1054"/>
      <c r="M1054"/>
      <c r="N1054"/>
      <c r="O1054"/>
    </row>
    <row r="1055" spans="11:15" x14ac:dyDescent="0.25">
      <c r="K1055"/>
      <c r="L1055"/>
      <c r="M1055"/>
      <c r="N1055"/>
      <c r="O1055"/>
    </row>
    <row r="1056" spans="11:15" x14ac:dyDescent="0.25">
      <c r="K1056"/>
      <c r="L1056"/>
      <c r="M1056"/>
      <c r="N1056"/>
      <c r="O1056"/>
    </row>
    <row r="1057" spans="11:15" x14ac:dyDescent="0.25">
      <c r="K1057"/>
      <c r="L1057"/>
      <c r="M1057"/>
      <c r="N1057"/>
      <c r="O1057"/>
    </row>
    <row r="1058" spans="11:15" x14ac:dyDescent="0.25">
      <c r="K1058"/>
      <c r="L1058"/>
      <c r="M1058"/>
      <c r="N1058"/>
      <c r="O1058"/>
    </row>
    <row r="1059" spans="11:15" x14ac:dyDescent="0.25">
      <c r="K1059"/>
      <c r="L1059"/>
      <c r="M1059"/>
      <c r="N1059"/>
      <c r="O1059"/>
    </row>
    <row r="1060" spans="11:15" x14ac:dyDescent="0.25">
      <c r="K1060"/>
      <c r="L1060"/>
      <c r="M1060"/>
      <c r="N1060"/>
      <c r="O1060"/>
    </row>
    <row r="1061" spans="11:15" x14ac:dyDescent="0.25">
      <c r="K1061"/>
      <c r="L1061"/>
      <c r="M1061"/>
      <c r="N1061"/>
      <c r="O1061"/>
    </row>
    <row r="1062" spans="11:15" x14ac:dyDescent="0.25">
      <c r="K1062"/>
      <c r="L1062"/>
      <c r="M1062"/>
      <c r="N1062"/>
      <c r="O1062"/>
    </row>
    <row r="1063" spans="11:15" x14ac:dyDescent="0.25">
      <c r="K1063"/>
      <c r="L1063"/>
      <c r="M1063"/>
      <c r="N1063"/>
      <c r="O1063"/>
    </row>
  </sheetData>
  <sheetProtection sheet="1" objects="1" scenarios="1"/>
  <autoFilter ref="G25:G115" xr:uid="{00000000-0009-0000-0000-000009000000}"/>
  <pageMargins left="0.70866141732283472" right="0.51181102362204722" top="0.55118110236220474" bottom="0.55118110236220474" header="0.31496062992125984" footer="0.31496062992125984"/>
  <pageSetup paperSize="9" orientation="portrait" r:id="rId1"/>
  <colBreaks count="2" manualBreakCount="2">
    <brk id="9" max="1048575" man="1"/>
    <brk id="15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81" r:id="rId4" name="Drop Down 1">
              <controlPr defaultSize="0" print="0" autoLine="0" autoPict="0">
                <anchor moveWithCells="1">
                  <from>
                    <xdr:col>6</xdr:col>
                    <xdr:colOff>171450</xdr:colOff>
                    <xdr:row>13</xdr:row>
                    <xdr:rowOff>180975</xdr:rowOff>
                  </from>
                  <to>
                    <xdr:col>9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82" r:id="rId5" name="Check Box 2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13</xdr:row>
                    <xdr:rowOff>161925</xdr:rowOff>
                  </from>
                  <to>
                    <xdr:col>5</xdr:col>
                    <xdr:colOff>981075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83" r:id="rId6" name="Check Box 3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14</xdr:row>
                    <xdr:rowOff>161925</xdr:rowOff>
                  </from>
                  <to>
                    <xdr:col>5</xdr:col>
                    <xdr:colOff>981075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84" r:id="rId7" name="Drop Down 4">
              <controlPr defaultSize="0" print="0" autoLine="0" autoPict="0">
                <anchor moveWithCells="1">
                  <from>
                    <xdr:col>6</xdr:col>
                    <xdr:colOff>171450</xdr:colOff>
                    <xdr:row>15</xdr:row>
                    <xdr:rowOff>0</xdr:rowOff>
                  </from>
                  <to>
                    <xdr:col>9</xdr:col>
                    <xdr:colOff>9525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85" r:id="rId8" name="Check Box 5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15</xdr:row>
                    <xdr:rowOff>161925</xdr:rowOff>
                  </from>
                  <to>
                    <xdr:col>5</xdr:col>
                    <xdr:colOff>981075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86" r:id="rId9" name="Check Box 6">
              <controlPr defaultSize="0" print="0" autoFill="0" autoLine="0" autoPict="0">
                <anchor moveWithCells="1">
                  <from>
                    <xdr:col>6</xdr:col>
                    <xdr:colOff>161925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52"/>
  <dimension ref="A1:P1063"/>
  <sheetViews>
    <sheetView showGridLines="0" zoomScale="85" zoomScaleNormal="85" workbookViewId="0">
      <selection activeCell="C5" sqref="C5"/>
    </sheetView>
  </sheetViews>
  <sheetFormatPr defaultRowHeight="15" x14ac:dyDescent="0.25"/>
  <cols>
    <col min="1" max="1" width="2.7109375" style="1" customWidth="1"/>
    <col min="2" max="2" width="5.28515625" style="1" customWidth="1"/>
    <col min="3" max="3" width="9" style="1" customWidth="1"/>
    <col min="4" max="5" width="14.28515625" style="1" customWidth="1"/>
    <col min="6" max="6" width="14.85546875" style="1" customWidth="1"/>
    <col min="7" max="7" width="2.7109375" style="1" customWidth="1"/>
    <col min="8" max="8" width="9" style="1" customWidth="1"/>
    <col min="9" max="9" width="12.5703125" style="1" customWidth="1"/>
    <col min="10" max="10" width="2.7109375" style="1" customWidth="1"/>
    <col min="11" max="11" width="9.42578125" style="1" bestFit="1" customWidth="1"/>
    <col min="12" max="12" width="9" style="1" customWidth="1"/>
    <col min="13" max="13" width="14.28515625" style="1" customWidth="1"/>
    <col min="14" max="14" width="22.85546875" style="1" bestFit="1" customWidth="1"/>
    <col min="15" max="15" width="8.28515625" style="1" bestFit="1" customWidth="1"/>
    <col min="16" max="16" width="2.7109375" style="1" customWidth="1"/>
    <col min="17" max="17" width="87.140625" style="1" customWidth="1"/>
    <col min="18" max="16384" width="9.140625" style="1"/>
  </cols>
  <sheetData>
    <row r="1" spans="2:16" x14ac:dyDescent="0.25">
      <c r="B1" s="2" t="s">
        <v>3</v>
      </c>
      <c r="H1" s="38" t="s">
        <v>19</v>
      </c>
      <c r="I1" s="15"/>
      <c r="K1" s="12" t="s">
        <v>4</v>
      </c>
      <c r="L1" s="13"/>
      <c r="M1" s="12"/>
      <c r="N1" s="13"/>
      <c r="O1" s="14">
        <f>O3/(L3+O3)</f>
        <v>4.0117416829745598E-3</v>
      </c>
    </row>
    <row r="2" spans="2:16" ht="33" customHeight="1" x14ac:dyDescent="0.25">
      <c r="B2" s="3" t="str">
        <f>B24</f>
        <v>№</v>
      </c>
      <c r="C2" s="3" t="s">
        <v>1</v>
      </c>
      <c r="D2" s="3" t="s">
        <v>0</v>
      </c>
      <c r="E2" s="3" t="s">
        <v>10</v>
      </c>
      <c r="F2" s="4" t="s">
        <v>12</v>
      </c>
      <c r="H2" s="3" t="s">
        <v>1</v>
      </c>
      <c r="I2" s="3" t="s">
        <v>0</v>
      </c>
      <c r="K2" s="5" t="s">
        <v>1</v>
      </c>
      <c r="L2" s="5" t="s">
        <v>6</v>
      </c>
      <c r="M2" s="6" t="s">
        <v>11</v>
      </c>
      <c r="N2" s="5" t="s">
        <v>7</v>
      </c>
      <c r="O2" s="6" t="str">
        <f>"Отходы
"&amp;IF((L3+O3)&gt;0,TEXT(O3/(L3+O3),"0,00%"),"")</f>
        <v>Отходы
000%</v>
      </c>
    </row>
    <row r="3" spans="2:16" x14ac:dyDescent="0.25">
      <c r="B3" s="27"/>
      <c r="C3" s="27">
        <f>IF(COUNT(C4:C13)=COUNT(D4:D13),SUMPRODUCT(C4:C13,D4:D13),)</f>
        <v>0</v>
      </c>
      <c r="D3" s="23" t="str">
        <f>IF(COUNT(C4:C13)=COUNT(D4:D13),SUM(D4:D13),"много")</f>
        <v>много</v>
      </c>
      <c r="E3" s="23">
        <f>SUM(E4:E13)</f>
        <v>73</v>
      </c>
      <c r="F3" s="23" t="str">
        <f>IF(D3="много","много",D3-E3)</f>
        <v>много</v>
      </c>
      <c r="H3" s="27">
        <f>SUMPRODUCT(H4:H13,I4:I13)</f>
        <v>0</v>
      </c>
      <c r="I3" s="23" t="str">
        <f>IF(COUNT(H4:H13)=COUNT(I4:I13),SUM(I4:I13),"много")</f>
        <v>много</v>
      </c>
      <c r="K3" s="31">
        <f>SUMPRODUCT(K4:K1060,$M4:$M1060)</f>
        <v>408800</v>
      </c>
      <c r="L3" s="31">
        <f>SUMPRODUCT(L4:L1060,$M4:$M1060)</f>
        <v>407160</v>
      </c>
      <c r="M3" s="32">
        <f>SUM(M4:M1060)</f>
        <v>73</v>
      </c>
      <c r="N3" s="33"/>
      <c r="O3" s="31">
        <f t="array" ref="O3">SUM(IF((O4:O1060&lt;D17)+(D17=0),$M4:$M1060*O4:O1060))</f>
        <v>1640</v>
      </c>
    </row>
    <row r="4" spans="2:16" x14ac:dyDescent="0.25">
      <c r="B4" s="36">
        <f>IF(N(C4)=0,"",1)</f>
        <v>1</v>
      </c>
      <c r="C4" s="48">
        <v>5600</v>
      </c>
      <c r="D4" s="9"/>
      <c r="E4" s="28">
        <f t="shared" ref="E4:E13" si="0">MIN(SUMIF(K$4:K$1060,C4,M$4:M$1060),D4)</f>
        <v>73</v>
      </c>
      <c r="F4" s="28">
        <f>IF(D4,D4-E4,)</f>
        <v>0</v>
      </c>
      <c r="H4" s="51">
        <v>5600</v>
      </c>
      <c r="I4" s="41"/>
      <c r="K4" s="66">
        <v>5600</v>
      </c>
      <c r="L4" s="65">
        <v>5600</v>
      </c>
      <c r="M4" s="72">
        <v>4</v>
      </c>
      <c r="N4" s="69" t="s">
        <v>260</v>
      </c>
      <c r="O4" s="65">
        <f t="shared" ref="O4:O15" si="1">K4-L4</f>
        <v>0</v>
      </c>
    </row>
    <row r="5" spans="2:16" x14ac:dyDescent="0.25">
      <c r="B5" s="34" t="str">
        <f>IF(N(C5)=0,"",IF(ISNUMBER(MATCH(C5,C$4:C4,)),INDEX(B$4:B4,MATCH(C5,C$4:C4,)),MAX(B$4:B4)+1))</f>
        <v/>
      </c>
      <c r="C5" s="49"/>
      <c r="D5" s="10"/>
      <c r="E5" s="29">
        <f t="shared" si="0"/>
        <v>0</v>
      </c>
      <c r="F5" s="29">
        <f>IF(D5,D5-E5,)</f>
        <v>0</v>
      </c>
      <c r="H5" s="52"/>
      <c r="I5" s="42"/>
      <c r="K5" s="67">
        <v>5600</v>
      </c>
      <c r="L5" s="45">
        <v>5600</v>
      </c>
      <c r="M5" s="73">
        <v>8</v>
      </c>
      <c r="N5" s="70" t="s">
        <v>261</v>
      </c>
      <c r="O5" s="45">
        <f t="shared" si="1"/>
        <v>0</v>
      </c>
    </row>
    <row r="6" spans="2:16" x14ac:dyDescent="0.25">
      <c r="B6" s="34" t="str">
        <f>IF(N(C6)=0,"",IF(ISNUMBER(MATCH(C6,C$4:C5,)),INDEX(B$4:B5,MATCH(C6,C$4:C5,)),MAX(B$4:B5)+1))</f>
        <v/>
      </c>
      <c r="C6" s="49"/>
      <c r="D6" s="10"/>
      <c r="E6" s="29">
        <f t="shared" si="0"/>
        <v>0</v>
      </c>
      <c r="F6" s="29">
        <f t="shared" ref="F6:F11" si="2">IF(D6,D6-E6,)</f>
        <v>0</v>
      </c>
      <c r="H6" s="52"/>
      <c r="I6" s="42"/>
      <c r="K6" s="67">
        <v>5600</v>
      </c>
      <c r="L6" s="45">
        <v>5590</v>
      </c>
      <c r="M6" s="73">
        <v>10</v>
      </c>
      <c r="N6" s="70" t="s">
        <v>262</v>
      </c>
      <c r="O6" s="45">
        <f t="shared" si="1"/>
        <v>10</v>
      </c>
    </row>
    <row r="7" spans="2:16" x14ac:dyDescent="0.25">
      <c r="B7" s="34" t="str">
        <f>IF(N(C7)=0,"",IF(ISNUMBER(MATCH(C7,C$4:C6,)),INDEX(B$4:B6,MATCH(C7,C$4:C6,)),MAX(B$4:B6)+1))</f>
        <v/>
      </c>
      <c r="C7" s="49"/>
      <c r="D7" s="10"/>
      <c r="E7" s="29">
        <f t="shared" si="0"/>
        <v>0</v>
      </c>
      <c r="F7" s="29">
        <f t="shared" si="2"/>
        <v>0</v>
      </c>
      <c r="H7" s="52"/>
      <c r="I7" s="42"/>
      <c r="K7" s="67">
        <v>5600</v>
      </c>
      <c r="L7" s="45">
        <v>5590</v>
      </c>
      <c r="M7" s="73">
        <v>13</v>
      </c>
      <c r="N7" s="70" t="s">
        <v>263</v>
      </c>
      <c r="O7" s="45">
        <f t="shared" si="1"/>
        <v>10</v>
      </c>
    </row>
    <row r="8" spans="2:16" x14ac:dyDescent="0.25">
      <c r="B8" s="34" t="str">
        <f>IF(N(C8)=0,"",IF(ISNUMBER(MATCH(C8,C$4:C7,)),INDEX(B$4:B7,MATCH(C8,C$4:C7,)),MAX(B$4:B7)+1))</f>
        <v/>
      </c>
      <c r="C8" s="49"/>
      <c r="D8" s="10"/>
      <c r="E8" s="29">
        <f t="shared" si="0"/>
        <v>0</v>
      </c>
      <c r="F8" s="29">
        <f t="shared" si="2"/>
        <v>0</v>
      </c>
      <c r="H8" s="52"/>
      <c r="I8" s="42"/>
      <c r="K8" s="67">
        <v>5600</v>
      </c>
      <c r="L8" s="45">
        <v>5580</v>
      </c>
      <c r="M8" s="73">
        <v>8</v>
      </c>
      <c r="N8" s="70" t="s">
        <v>269</v>
      </c>
      <c r="O8" s="45">
        <f t="shared" si="1"/>
        <v>20</v>
      </c>
    </row>
    <row r="9" spans="2:16" x14ac:dyDescent="0.25">
      <c r="B9" s="34" t="str">
        <f>IF(N(C9)=0,"",IF(ISNUMBER(MATCH(C9,C$4:C8,)),INDEX(B$4:B8,MATCH(C9,C$4:C8,)),MAX(B$4:B8)+1))</f>
        <v/>
      </c>
      <c r="C9" s="49"/>
      <c r="D9" s="10"/>
      <c r="E9" s="29">
        <f t="shared" si="0"/>
        <v>0</v>
      </c>
      <c r="F9" s="29">
        <f t="shared" si="2"/>
        <v>0</v>
      </c>
      <c r="H9" s="52"/>
      <c r="I9" s="42"/>
      <c r="K9" s="67">
        <v>5600</v>
      </c>
      <c r="L9" s="45">
        <v>5580</v>
      </c>
      <c r="M9" s="73">
        <v>2</v>
      </c>
      <c r="N9" s="70" t="s">
        <v>264</v>
      </c>
      <c r="O9" s="45">
        <f t="shared" si="1"/>
        <v>20</v>
      </c>
    </row>
    <row r="10" spans="2:16" x14ac:dyDescent="0.25">
      <c r="B10" s="34" t="str">
        <f>IF(N(C10)=0,"",IF(ISNUMBER(MATCH(C10,C$4:C9,)),INDEX(B$4:B9,MATCH(C10,C$4:C9,)),MAX(B$4:B9)+1))</f>
        <v/>
      </c>
      <c r="C10" s="49"/>
      <c r="D10" s="10"/>
      <c r="E10" s="29">
        <f t="shared" si="0"/>
        <v>0</v>
      </c>
      <c r="F10" s="29">
        <f t="shared" si="2"/>
        <v>0</v>
      </c>
      <c r="H10" s="52"/>
      <c r="I10" s="42"/>
      <c r="K10" s="67">
        <v>5600</v>
      </c>
      <c r="L10" s="45">
        <v>5580</v>
      </c>
      <c r="M10" s="73">
        <v>7</v>
      </c>
      <c r="N10" s="70" t="s">
        <v>265</v>
      </c>
      <c r="O10" s="45">
        <f t="shared" si="1"/>
        <v>20</v>
      </c>
    </row>
    <row r="11" spans="2:16" x14ac:dyDescent="0.25">
      <c r="B11" s="34" t="str">
        <f>IF(N(C11)=0,"",IF(ISNUMBER(MATCH(C11,C$4:C10,)),INDEX(B$4:B10,MATCH(C11,C$4:C10,)),MAX(B$4:B10)+1))</f>
        <v/>
      </c>
      <c r="C11" s="49"/>
      <c r="D11" s="10"/>
      <c r="E11" s="29">
        <f t="shared" si="0"/>
        <v>0</v>
      </c>
      <c r="F11" s="29">
        <f t="shared" si="2"/>
        <v>0</v>
      </c>
      <c r="H11" s="52"/>
      <c r="I11" s="42"/>
      <c r="K11" s="67">
        <v>5600</v>
      </c>
      <c r="L11" s="45">
        <v>5580</v>
      </c>
      <c r="M11" s="73">
        <v>4</v>
      </c>
      <c r="N11" s="70" t="s">
        <v>270</v>
      </c>
      <c r="O11" s="45">
        <f t="shared" si="1"/>
        <v>20</v>
      </c>
    </row>
    <row r="12" spans="2:16" x14ac:dyDescent="0.25">
      <c r="B12" s="34" t="str">
        <f>IF(N(C12)=0,"",IF(ISNUMBER(MATCH(C12,C$4:C11,)),INDEX(B$4:B11,MATCH(C12,C$4:C11,)),MAX(B$4:B11)+1))</f>
        <v/>
      </c>
      <c r="C12" s="49"/>
      <c r="D12" s="10"/>
      <c r="E12" s="29">
        <f t="shared" si="0"/>
        <v>0</v>
      </c>
      <c r="F12" s="29">
        <f>IF(D12,D12-E12,)</f>
        <v>0</v>
      </c>
      <c r="H12" s="52"/>
      <c r="I12" s="42"/>
      <c r="K12" s="67">
        <v>5600</v>
      </c>
      <c r="L12" s="45">
        <v>5580</v>
      </c>
      <c r="M12" s="73">
        <v>10</v>
      </c>
      <c r="N12" s="70" t="s">
        <v>266</v>
      </c>
      <c r="O12" s="45">
        <f t="shared" si="1"/>
        <v>20</v>
      </c>
    </row>
    <row r="13" spans="2:16" x14ac:dyDescent="0.25">
      <c r="B13" s="35" t="str">
        <f>IF(N(C13)=0,"",IF(ISNUMBER(MATCH(C13,C$4:C12,)),INDEX(B$4:B12,MATCH(C13,C$4:C12,)),MAX(B$4:B12)+1))</f>
        <v/>
      </c>
      <c r="C13" s="50"/>
      <c r="D13" s="11"/>
      <c r="E13" s="30">
        <f t="shared" si="0"/>
        <v>0</v>
      </c>
      <c r="F13" s="30">
        <f>IF(D13,D13-E13,)</f>
        <v>0</v>
      </c>
      <c r="H13" s="53"/>
      <c r="I13" s="43"/>
      <c r="K13" s="67">
        <v>5600</v>
      </c>
      <c r="L13" s="45">
        <v>5570</v>
      </c>
      <c r="M13" s="73">
        <v>3</v>
      </c>
      <c r="N13" s="70" t="s">
        <v>267</v>
      </c>
      <c r="O13" s="45">
        <f t="shared" si="1"/>
        <v>30</v>
      </c>
    </row>
    <row r="14" spans="2:16" x14ac:dyDescent="0.25">
      <c r="J14" s="15"/>
      <c r="K14" s="67">
        <v>5600</v>
      </c>
      <c r="L14" s="45">
        <v>5560</v>
      </c>
      <c r="M14" s="73">
        <v>3</v>
      </c>
      <c r="N14" s="70" t="s">
        <v>271</v>
      </c>
      <c r="O14" s="45">
        <f t="shared" si="1"/>
        <v>40</v>
      </c>
      <c r="P14" s="15"/>
    </row>
    <row r="15" spans="2:16" x14ac:dyDescent="0.25">
      <c r="B15" s="2" t="s">
        <v>13</v>
      </c>
      <c r="D15" s="37">
        <v>0</v>
      </c>
      <c r="E15" s="21" t="b">
        <v>1</v>
      </c>
      <c r="G15" s="17" t="s">
        <v>40</v>
      </c>
      <c r="H15" s="21">
        <v>3</v>
      </c>
      <c r="I15" s="17"/>
      <c r="J15" s="15"/>
      <c r="K15" s="68">
        <v>5600</v>
      </c>
      <c r="L15" s="46">
        <v>5020</v>
      </c>
      <c r="M15" s="74">
        <v>1</v>
      </c>
      <c r="N15" s="71" t="s">
        <v>268</v>
      </c>
      <c r="O15" s="46">
        <f t="shared" si="1"/>
        <v>580</v>
      </c>
      <c r="P15" s="15"/>
    </row>
    <row r="16" spans="2:16" x14ac:dyDescent="0.25">
      <c r="B16" s="38" t="s">
        <v>17</v>
      </c>
      <c r="C16" s="15"/>
      <c r="D16" s="39">
        <v>0</v>
      </c>
      <c r="E16" s="22" t="b">
        <v>1</v>
      </c>
      <c r="G16" s="17" t="s">
        <v>41</v>
      </c>
      <c r="H16" s="21">
        <v>1</v>
      </c>
      <c r="I16" s="17"/>
      <c r="J16" s="15"/>
      <c r="K16"/>
      <c r="L16"/>
      <c r="M16"/>
      <c r="N16"/>
      <c r="O16"/>
      <c r="P16" s="15"/>
    </row>
    <row r="17" spans="1:16" x14ac:dyDescent="0.25">
      <c r="B17" s="38" t="s">
        <v>18</v>
      </c>
      <c r="C17" s="15"/>
      <c r="D17" s="39">
        <v>1000</v>
      </c>
      <c r="E17" s="22" t="b">
        <v>0</v>
      </c>
      <c r="F17" s="22" t="b">
        <v>0</v>
      </c>
      <c r="G17" s="17" t="s">
        <v>42</v>
      </c>
      <c r="I17" s="17"/>
      <c r="J17" s="15"/>
      <c r="K17"/>
      <c r="L17"/>
      <c r="M17"/>
      <c r="N17"/>
      <c r="O17"/>
      <c r="P17" s="15"/>
    </row>
    <row r="18" spans="1:16" x14ac:dyDescent="0.25">
      <c r="B18" s="38"/>
      <c r="C18" s="15"/>
      <c r="D18" s="40"/>
      <c r="E18" s="22"/>
      <c r="G18" s="17" t="s">
        <v>43</v>
      </c>
      <c r="H18" s="15"/>
      <c r="I18" s="17"/>
      <c r="J18" s="15"/>
      <c r="K18"/>
      <c r="L18"/>
      <c r="M18"/>
      <c r="N18"/>
      <c r="O18"/>
      <c r="P18" s="15"/>
    </row>
    <row r="19" spans="1:16" x14ac:dyDescent="0.25">
      <c r="B19" s="38"/>
      <c r="C19" s="15"/>
      <c r="D19" s="40"/>
      <c r="E19" s="22"/>
      <c r="G19" s="17" t="s">
        <v>44</v>
      </c>
      <c r="H19" s="15"/>
      <c r="I19" s="16"/>
      <c r="J19" s="15"/>
      <c r="K19"/>
      <c r="L19"/>
      <c r="M19"/>
      <c r="N19"/>
      <c r="O19"/>
      <c r="P19" s="15"/>
    </row>
    <row r="20" spans="1:16" x14ac:dyDescent="0.25">
      <c r="B20" s="38"/>
      <c r="C20" s="15"/>
      <c r="D20" s="40"/>
      <c r="E20" s="22"/>
      <c r="H20" s="15"/>
      <c r="I20" s="16"/>
      <c r="J20" s="15"/>
      <c r="K20"/>
      <c r="L20"/>
      <c r="M20"/>
      <c r="N20"/>
      <c r="O20"/>
      <c r="P20" s="15"/>
    </row>
    <row r="21" spans="1:16" x14ac:dyDescent="0.25">
      <c r="B21" s="38"/>
      <c r="C21" s="15"/>
      <c r="D21" s="40"/>
      <c r="E21" s="22"/>
      <c r="H21" s="15"/>
      <c r="I21" s="16"/>
      <c r="J21" s="15"/>
      <c r="K21"/>
      <c r="L21"/>
      <c r="M21"/>
      <c r="N21"/>
      <c r="O21"/>
      <c r="P21" s="15"/>
    </row>
    <row r="22" spans="1:16" x14ac:dyDescent="0.25">
      <c r="B22" s="38"/>
      <c r="C22" s="15"/>
      <c r="D22" s="40"/>
      <c r="E22" s="22"/>
      <c r="H22" s="15"/>
      <c r="I22" s="16"/>
      <c r="J22" s="15"/>
      <c r="K22"/>
      <c r="L22"/>
      <c r="M22"/>
      <c r="N22"/>
      <c r="O22"/>
      <c r="P22" s="15"/>
    </row>
    <row r="23" spans="1:16" x14ac:dyDescent="0.25">
      <c r="B23" s="2" t="s">
        <v>2</v>
      </c>
      <c r="H23" s="2" t="s">
        <v>5</v>
      </c>
      <c r="I23" s="2"/>
      <c r="J23" s="15"/>
      <c r="K23"/>
      <c r="L23"/>
      <c r="M23"/>
      <c r="N23"/>
      <c r="O23"/>
      <c r="P23" s="15"/>
    </row>
    <row r="24" spans="1:16" x14ac:dyDescent="0.25">
      <c r="B24" s="3" t="s">
        <v>14</v>
      </c>
      <c r="C24" s="3" t="s">
        <v>1</v>
      </c>
      <c r="D24" s="3" t="s">
        <v>0</v>
      </c>
      <c r="E24" s="3" t="s">
        <v>8</v>
      </c>
      <c r="F24" s="4" t="s">
        <v>9</v>
      </c>
      <c r="H24" s="3" t="s">
        <v>1</v>
      </c>
      <c r="I24" s="3" t="s">
        <v>0</v>
      </c>
      <c r="J24" s="15"/>
      <c r="K24"/>
      <c r="L24"/>
      <c r="M24"/>
      <c r="N24"/>
      <c r="O24"/>
      <c r="P24" s="15"/>
    </row>
    <row r="25" spans="1:16" x14ac:dyDescent="0.25">
      <c r="B25" s="27"/>
      <c r="C25" s="27">
        <f>IF(D25="много","много",SUMPRODUCT(C26:C115,D26:D115))</f>
        <v>407160</v>
      </c>
      <c r="D25" s="23">
        <f t="array" ref="D25">IF(OR((D26:D115="")+(C26:C115="")=1),"много",SUM(D26:D115))</f>
        <v>219</v>
      </c>
      <c r="E25" s="23">
        <f>SUM(E26:E115)</f>
        <v>219</v>
      </c>
      <c r="F25" s="23">
        <f>IF(D25="много","много",SUM(F26:F115))</f>
        <v>0</v>
      </c>
      <c r="H25" s="27">
        <f>SUMPRODUCT(H26:H115,I26:I115)</f>
        <v>0</v>
      </c>
      <c r="I25" s="23">
        <f>SUM(I26:I115)</f>
        <v>0</v>
      </c>
      <c r="J25" s="15"/>
      <c r="K25"/>
      <c r="L25"/>
      <c r="M25"/>
      <c r="N25"/>
      <c r="O25"/>
      <c r="P25" s="15"/>
    </row>
    <row r="26" spans="1:16" x14ac:dyDescent="0.25">
      <c r="A26" s="17">
        <v>2</v>
      </c>
      <c r="B26" s="36">
        <f>IF(N(C26)=0,"",1)</f>
        <v>1</v>
      </c>
      <c r="C26" s="54">
        <v>1380</v>
      </c>
      <c r="D26" s="44">
        <v>22</v>
      </c>
      <c r="E26" s="24">
        <f t="shared" ref="E26:E89" si="3">IF($K$3=0,0,IF(ISNA(VLOOKUP(C26,H$26:I$115,2,))*C26,D26,IF(C26="","",IF(D26="",TRUNC($C$3/C26)-VLOOKUP(C26,H$26:I$115,2,),D26-VLOOKUP(C26,H$26:I$115,2,)))))</f>
        <v>22</v>
      </c>
      <c r="F26" s="24">
        <f t="shared" ref="F26:F89" si="4">IF($K$3=0,"",IF(AND(C26&lt;&gt;"",D26&lt;&gt;""),D26-E26,IF(D26="","",TRUNC($C$3/C26)-VLOOKUP(C26,H$26:I$115,2,))))</f>
        <v>0</v>
      </c>
      <c r="G26" s="47">
        <f>--(C26+H26+K26&gt;0)</f>
        <v>1</v>
      </c>
      <c r="H26" s="51"/>
      <c r="I26" s="18"/>
      <c r="J26" s="15"/>
      <c r="K26"/>
      <c r="L26"/>
      <c r="M26"/>
      <c r="N26"/>
      <c r="O26"/>
      <c r="P26" s="15"/>
    </row>
    <row r="27" spans="1:16" x14ac:dyDescent="0.25">
      <c r="A27" s="17">
        <v>3</v>
      </c>
      <c r="B27" s="34">
        <f>IF(N(C27)=0,"",IF(ISNUMBER(MATCH(C27,C$26:C26,)),INDEX(B$26:B26,MATCH(C27,C$26:C26,)),MAX(B$26:B26)+1))</f>
        <v>2</v>
      </c>
      <c r="C27" s="55">
        <v>1520</v>
      </c>
      <c r="D27" s="7">
        <v>25</v>
      </c>
      <c r="E27" s="25">
        <f t="shared" si="3"/>
        <v>25</v>
      </c>
      <c r="F27" s="25">
        <f t="shared" si="4"/>
        <v>0</v>
      </c>
      <c r="G27" s="47">
        <f t="shared" ref="G27:G90" si="5">--(C27+H27+K27&gt;0)</f>
        <v>1</v>
      </c>
      <c r="H27" s="52"/>
      <c r="I27" s="19"/>
      <c r="J27" s="15"/>
      <c r="K27"/>
      <c r="L27"/>
      <c r="M27"/>
      <c r="N27"/>
      <c r="O27"/>
      <c r="P27" s="15"/>
    </row>
    <row r="28" spans="1:16" x14ac:dyDescent="0.25">
      <c r="A28" s="17">
        <v>4</v>
      </c>
      <c r="B28" s="34">
        <f>IF(N(C28)=0,"",IF(ISNUMBER(MATCH(C28,C$26:C27,)),INDEX(B$26:B27,MATCH(C28,C$26:C27,)),MAX(B$26:B27)+1))</f>
        <v>3</v>
      </c>
      <c r="C28" s="55">
        <v>1560</v>
      </c>
      <c r="D28" s="7">
        <v>12</v>
      </c>
      <c r="E28" s="25">
        <f t="shared" si="3"/>
        <v>12</v>
      </c>
      <c r="F28" s="25">
        <f t="shared" si="4"/>
        <v>0</v>
      </c>
      <c r="G28" s="47">
        <f t="shared" si="5"/>
        <v>1</v>
      </c>
      <c r="H28" s="52"/>
      <c r="I28" s="19"/>
      <c r="J28" s="15"/>
      <c r="K28"/>
      <c r="L28"/>
      <c r="M28"/>
      <c r="N28"/>
      <c r="O28"/>
      <c r="P28" s="15"/>
    </row>
    <row r="29" spans="1:16" x14ac:dyDescent="0.25">
      <c r="A29" s="17">
        <v>5</v>
      </c>
      <c r="B29" s="34">
        <f>IF(N(C29)=0,"",IF(ISNUMBER(MATCH(C29,C$26:C28,)),INDEX(B$26:B28,MATCH(C29,C$26:C28,)),MAX(B$26:B28)+1))</f>
        <v>4</v>
      </c>
      <c r="C29" s="55">
        <v>1710</v>
      </c>
      <c r="D29" s="7">
        <v>14</v>
      </c>
      <c r="E29" s="25">
        <f t="shared" si="3"/>
        <v>14</v>
      </c>
      <c r="F29" s="25">
        <f t="shared" si="4"/>
        <v>0</v>
      </c>
      <c r="G29" s="47">
        <f t="shared" si="5"/>
        <v>1</v>
      </c>
      <c r="H29" s="52"/>
      <c r="I29" s="19"/>
      <c r="J29" s="15"/>
      <c r="K29"/>
      <c r="L29"/>
      <c r="M29"/>
      <c r="N29"/>
      <c r="O29"/>
      <c r="P29" s="15"/>
    </row>
    <row r="30" spans="1:16" x14ac:dyDescent="0.25">
      <c r="A30" s="17">
        <v>6</v>
      </c>
      <c r="B30" s="34">
        <f>IF(N(C30)=0,"",IF(ISNUMBER(MATCH(C30,C$26:C29,)),INDEX(B$26:B29,MATCH(C30,C$26:C29,)),MAX(B$26:B29)+1))</f>
        <v>5</v>
      </c>
      <c r="C30" s="55">
        <v>1820</v>
      </c>
      <c r="D30" s="7">
        <v>18</v>
      </c>
      <c r="E30" s="25">
        <f t="shared" si="3"/>
        <v>18</v>
      </c>
      <c r="F30" s="25">
        <f t="shared" si="4"/>
        <v>0</v>
      </c>
      <c r="G30" s="47">
        <f t="shared" si="5"/>
        <v>1</v>
      </c>
      <c r="H30" s="52"/>
      <c r="I30" s="19"/>
      <c r="J30" s="15"/>
      <c r="K30"/>
      <c r="L30"/>
      <c r="M30"/>
      <c r="N30"/>
      <c r="O30"/>
      <c r="P30" s="15"/>
    </row>
    <row r="31" spans="1:16" x14ac:dyDescent="0.25">
      <c r="A31" s="17">
        <v>7</v>
      </c>
      <c r="B31" s="34">
        <f>IF(N(C31)=0,"",IF(ISNUMBER(MATCH(C31,C$26:C30,)),INDEX(B$26:B30,MATCH(C31,C$26:C30,)),MAX(B$26:B30)+1))</f>
        <v>6</v>
      </c>
      <c r="C31" s="55">
        <v>1880</v>
      </c>
      <c r="D31" s="7">
        <v>18</v>
      </c>
      <c r="E31" s="25">
        <f t="shared" si="3"/>
        <v>18</v>
      </c>
      <c r="F31" s="25">
        <f t="shared" si="4"/>
        <v>0</v>
      </c>
      <c r="G31" s="47">
        <f t="shared" si="5"/>
        <v>1</v>
      </c>
      <c r="H31" s="52"/>
      <c r="I31" s="19"/>
      <c r="J31" s="15"/>
      <c r="K31"/>
      <c r="L31"/>
      <c r="M31"/>
      <c r="N31"/>
      <c r="O31"/>
      <c r="P31" s="15"/>
    </row>
    <row r="32" spans="1:16" x14ac:dyDescent="0.25">
      <c r="A32" s="17">
        <v>8</v>
      </c>
      <c r="B32" s="34">
        <f>IF(N(C32)=0,"",IF(ISNUMBER(MATCH(C32,C$26:C31,)),INDEX(B$26:B31,MATCH(C32,C$26:C31,)),MAX(B$26:B31)+1))</f>
        <v>7</v>
      </c>
      <c r="C32" s="55">
        <v>1930</v>
      </c>
      <c r="D32" s="7">
        <v>20</v>
      </c>
      <c r="E32" s="25">
        <f t="shared" si="3"/>
        <v>20</v>
      </c>
      <c r="F32" s="25">
        <f t="shared" si="4"/>
        <v>0</v>
      </c>
      <c r="G32" s="47">
        <f t="shared" si="5"/>
        <v>1</v>
      </c>
      <c r="H32" s="52"/>
      <c r="I32" s="19"/>
      <c r="J32" s="15"/>
      <c r="K32"/>
      <c r="L32"/>
      <c r="M32"/>
      <c r="N32"/>
      <c r="O32"/>
      <c r="P32" s="15"/>
    </row>
    <row r="33" spans="1:16" x14ac:dyDescent="0.25">
      <c r="A33" s="17">
        <v>16</v>
      </c>
      <c r="B33" s="34">
        <f>IF(N(C33)=0,"",IF(ISNUMBER(MATCH(C33,C$26:C32,)),INDEX(B$26:B32,MATCH(C33,C$26:C32,)),MAX(B$26:B32)+1))</f>
        <v>8</v>
      </c>
      <c r="C33" s="55">
        <v>2000</v>
      </c>
      <c r="D33" s="7">
        <v>10</v>
      </c>
      <c r="E33" s="25">
        <f t="shared" si="3"/>
        <v>10</v>
      </c>
      <c r="F33" s="25">
        <f t="shared" si="4"/>
        <v>0</v>
      </c>
      <c r="G33" s="47">
        <f t="shared" si="5"/>
        <v>1</v>
      </c>
      <c r="H33" s="52"/>
      <c r="I33" s="19"/>
      <c r="J33" s="15"/>
      <c r="K33"/>
      <c r="L33"/>
      <c r="M33"/>
      <c r="N33"/>
      <c r="O33"/>
      <c r="P33" s="15"/>
    </row>
    <row r="34" spans="1:16" x14ac:dyDescent="0.25">
      <c r="A34" s="17">
        <v>17</v>
      </c>
      <c r="B34" s="34">
        <f>IF(N(C34)=0,"",IF(ISNUMBER(MATCH(C34,C$26:C33,)),INDEX(B$26:B33,MATCH(C34,C$26:C33,)),MAX(B$26:B33)+1))</f>
        <v>9</v>
      </c>
      <c r="C34" s="55">
        <v>2050</v>
      </c>
      <c r="D34" s="7">
        <v>12</v>
      </c>
      <c r="E34" s="25">
        <f t="shared" si="3"/>
        <v>12</v>
      </c>
      <c r="F34" s="25">
        <f t="shared" si="4"/>
        <v>0</v>
      </c>
      <c r="G34" s="47">
        <f t="shared" si="5"/>
        <v>1</v>
      </c>
      <c r="H34" s="52"/>
      <c r="I34" s="19"/>
      <c r="J34" s="15"/>
      <c r="K34"/>
      <c r="L34"/>
      <c r="M34"/>
      <c r="N34"/>
      <c r="O34"/>
      <c r="P34" s="15"/>
    </row>
    <row r="35" spans="1:16" x14ac:dyDescent="0.25">
      <c r="A35" s="17">
        <v>18</v>
      </c>
      <c r="B35" s="34">
        <f>IF(N(C35)=0,"",IF(ISNUMBER(MATCH(C35,C$26:C34,)),INDEX(B$26:B34,MATCH(C35,C$26:C34,)),MAX(B$26:B34)+1))</f>
        <v>10</v>
      </c>
      <c r="C35" s="55">
        <v>2100</v>
      </c>
      <c r="D35" s="7">
        <v>14</v>
      </c>
      <c r="E35" s="25">
        <f t="shared" si="3"/>
        <v>14</v>
      </c>
      <c r="F35" s="25">
        <f t="shared" si="4"/>
        <v>0</v>
      </c>
      <c r="G35" s="47">
        <f t="shared" si="5"/>
        <v>1</v>
      </c>
      <c r="H35" s="52"/>
      <c r="I35" s="19"/>
      <c r="J35" s="15"/>
      <c r="K35"/>
      <c r="L35"/>
      <c r="M35"/>
      <c r="N35"/>
      <c r="O35"/>
      <c r="P35" s="15"/>
    </row>
    <row r="36" spans="1:16" x14ac:dyDescent="0.25">
      <c r="A36" s="17">
        <v>19</v>
      </c>
      <c r="B36" s="34">
        <f>IF(N(C36)=0,"",IF(ISNUMBER(MATCH(C36,C$26:C35,)),INDEX(B$26:B35,MATCH(C36,C$26:C35,)),MAX(B$26:B35)+1))</f>
        <v>11</v>
      </c>
      <c r="C36" s="55">
        <v>2140</v>
      </c>
      <c r="D36" s="7">
        <v>16</v>
      </c>
      <c r="E36" s="25">
        <f t="shared" si="3"/>
        <v>16</v>
      </c>
      <c r="F36" s="25">
        <f t="shared" si="4"/>
        <v>0</v>
      </c>
      <c r="G36" s="47">
        <f t="shared" si="5"/>
        <v>1</v>
      </c>
      <c r="H36" s="52"/>
      <c r="I36" s="19"/>
      <c r="J36" s="15"/>
      <c r="K36"/>
      <c r="L36"/>
      <c r="M36"/>
      <c r="N36"/>
      <c r="O36"/>
      <c r="P36" s="15"/>
    </row>
    <row r="37" spans="1:16" x14ac:dyDescent="0.25">
      <c r="A37" s="17">
        <v>20</v>
      </c>
      <c r="B37" s="34">
        <f>IF(N(C37)=0,"",IF(ISNUMBER(MATCH(C37,C$26:C36,)),INDEX(B$26:B36,MATCH(C37,C$26:C36,)),MAX(B$26:B36)+1))</f>
        <v>12</v>
      </c>
      <c r="C37" s="55">
        <v>2150</v>
      </c>
      <c r="D37" s="7">
        <v>18</v>
      </c>
      <c r="E37" s="25">
        <f t="shared" si="3"/>
        <v>18</v>
      </c>
      <c r="F37" s="25">
        <f t="shared" si="4"/>
        <v>0</v>
      </c>
      <c r="G37" s="47">
        <f t="shared" si="5"/>
        <v>1</v>
      </c>
      <c r="H37" s="52"/>
      <c r="I37" s="19"/>
      <c r="J37" s="15"/>
      <c r="K37"/>
      <c r="L37"/>
      <c r="M37"/>
      <c r="N37"/>
      <c r="O37"/>
      <c r="P37" s="15"/>
    </row>
    <row r="38" spans="1:16" x14ac:dyDescent="0.25">
      <c r="A38" s="17">
        <v>21</v>
      </c>
      <c r="B38" s="34">
        <f>IF(N(C38)=0,"",IF(ISNUMBER(MATCH(C38,C$26:C37,)),INDEX(B$26:B37,MATCH(C38,C$26:C37,)),MAX(B$26:B37)+1))</f>
        <v>13</v>
      </c>
      <c r="C38" s="55">
        <v>2200</v>
      </c>
      <c r="D38" s="7">
        <v>20</v>
      </c>
      <c r="E38" s="25">
        <f t="shared" si="3"/>
        <v>20</v>
      </c>
      <c r="F38" s="25">
        <f t="shared" si="4"/>
        <v>0</v>
      </c>
      <c r="G38" s="47">
        <f t="shared" si="5"/>
        <v>1</v>
      </c>
      <c r="H38" s="52"/>
      <c r="I38" s="19"/>
      <c r="J38" s="15"/>
      <c r="K38"/>
      <c r="L38"/>
      <c r="M38"/>
      <c r="N38"/>
      <c r="O38"/>
      <c r="P38" s="15"/>
    </row>
    <row r="39" spans="1:16" x14ac:dyDescent="0.25">
      <c r="A39" s="17">
        <v>22</v>
      </c>
      <c r="B39" s="34" t="str">
        <f>IF(N(C39)=0,"",IF(ISNUMBER(MATCH(C39,C$26:C38,)),INDEX(B$26:B38,MATCH(C39,C$26:C38,)),MAX(B$26:B38)+1))</f>
        <v/>
      </c>
      <c r="C39" s="55"/>
      <c r="D39" s="7"/>
      <c r="E39" s="25" t="str">
        <f t="shared" si="3"/>
        <v/>
      </c>
      <c r="F39" s="25" t="str">
        <f t="shared" si="4"/>
        <v/>
      </c>
      <c r="G39" s="47">
        <f t="shared" si="5"/>
        <v>0</v>
      </c>
      <c r="H39" s="52"/>
      <c r="I39" s="19"/>
      <c r="J39" s="15"/>
      <c r="K39"/>
      <c r="L39"/>
      <c r="M39"/>
      <c r="N39"/>
      <c r="O39"/>
      <c r="P39" s="15"/>
    </row>
    <row r="40" spans="1:16" x14ac:dyDescent="0.25">
      <c r="A40" s="17">
        <v>23</v>
      </c>
      <c r="B40" s="34" t="str">
        <f>IF(N(C40)=0,"",IF(ISNUMBER(MATCH(C40,C$26:C39,)),INDEX(B$26:B39,MATCH(C40,C$26:C39,)),MAX(B$26:B39)+1))</f>
        <v/>
      </c>
      <c r="C40" s="55"/>
      <c r="D40" s="7"/>
      <c r="E40" s="25" t="str">
        <f t="shared" si="3"/>
        <v/>
      </c>
      <c r="F40" s="25" t="str">
        <f t="shared" si="4"/>
        <v/>
      </c>
      <c r="G40" s="47">
        <f t="shared" si="5"/>
        <v>0</v>
      </c>
      <c r="H40" s="52"/>
      <c r="I40" s="19"/>
      <c r="J40" s="15"/>
      <c r="K40"/>
      <c r="L40"/>
      <c r="M40"/>
      <c r="N40"/>
      <c r="O40"/>
      <c r="P40" s="15"/>
    </row>
    <row r="41" spans="1:16" x14ac:dyDescent="0.25">
      <c r="A41" s="17">
        <v>24</v>
      </c>
      <c r="B41" s="34" t="str">
        <f>IF(N(C41)=0,"",IF(ISNUMBER(MATCH(C41,C$26:C40,)),INDEX(B$26:B40,MATCH(C41,C$26:C40,)),MAX(B$26:B40)+1))</f>
        <v/>
      </c>
      <c r="C41" s="55"/>
      <c r="D41" s="7"/>
      <c r="E41" s="25" t="str">
        <f t="shared" si="3"/>
        <v/>
      </c>
      <c r="F41" s="25" t="str">
        <f t="shared" si="4"/>
        <v/>
      </c>
      <c r="G41" s="47">
        <f t="shared" si="5"/>
        <v>0</v>
      </c>
      <c r="H41" s="52"/>
      <c r="I41" s="19"/>
      <c r="J41" s="15"/>
      <c r="K41"/>
      <c r="L41"/>
      <c r="M41"/>
      <c r="N41"/>
      <c r="O41"/>
      <c r="P41" s="15"/>
    </row>
    <row r="42" spans="1:16" x14ac:dyDescent="0.25">
      <c r="A42" s="17">
        <v>25</v>
      </c>
      <c r="B42" s="34" t="str">
        <f>IF(N(C42)=0,"",IF(ISNUMBER(MATCH(C42,C$26:C41,)),INDEX(B$26:B41,MATCH(C42,C$26:C41,)),MAX(B$26:B41)+1))</f>
        <v/>
      </c>
      <c r="C42" s="55"/>
      <c r="D42" s="7"/>
      <c r="E42" s="25" t="str">
        <f t="shared" si="3"/>
        <v/>
      </c>
      <c r="F42" s="25" t="str">
        <f t="shared" si="4"/>
        <v/>
      </c>
      <c r="G42" s="47">
        <f t="shared" si="5"/>
        <v>0</v>
      </c>
      <c r="H42" s="52"/>
      <c r="I42" s="19"/>
      <c r="J42" s="15"/>
      <c r="K42"/>
      <c r="L42"/>
      <c r="M42"/>
      <c r="N42"/>
      <c r="O42"/>
      <c r="P42" s="15"/>
    </row>
    <row r="43" spans="1:16" x14ac:dyDescent="0.25">
      <c r="A43" s="17">
        <v>26</v>
      </c>
      <c r="B43" s="34" t="str">
        <f>IF(N(C43)=0,"",IF(ISNUMBER(MATCH(C43,C$26:C42,)),INDEX(B$26:B42,MATCH(C43,C$26:C42,)),MAX(B$26:B42)+1))</f>
        <v/>
      </c>
      <c r="C43" s="55"/>
      <c r="D43" s="7"/>
      <c r="E43" s="25" t="str">
        <f t="shared" si="3"/>
        <v/>
      </c>
      <c r="F43" s="25" t="str">
        <f t="shared" si="4"/>
        <v/>
      </c>
      <c r="G43" s="47">
        <f t="shared" si="5"/>
        <v>0</v>
      </c>
      <c r="H43" s="52"/>
      <c r="I43" s="19"/>
      <c r="J43" s="15"/>
      <c r="K43"/>
      <c r="L43"/>
      <c r="M43"/>
      <c r="N43"/>
      <c r="O43"/>
      <c r="P43" s="15"/>
    </row>
    <row r="44" spans="1:16" x14ac:dyDescent="0.25">
      <c r="A44" s="17">
        <v>27</v>
      </c>
      <c r="B44" s="34" t="str">
        <f>IF(N(C44)=0,"",IF(ISNUMBER(MATCH(C44,C$26:C43,)),INDEX(B$26:B43,MATCH(C44,C$26:C43,)),MAX(B$26:B43)+1))</f>
        <v/>
      </c>
      <c r="C44" s="55"/>
      <c r="D44" s="7"/>
      <c r="E44" s="25" t="str">
        <f t="shared" si="3"/>
        <v/>
      </c>
      <c r="F44" s="25" t="str">
        <f t="shared" si="4"/>
        <v/>
      </c>
      <c r="G44" s="47">
        <f t="shared" si="5"/>
        <v>0</v>
      </c>
      <c r="H44" s="52"/>
      <c r="I44" s="19"/>
      <c r="J44" s="15"/>
      <c r="K44"/>
      <c r="L44"/>
      <c r="M44"/>
      <c r="N44"/>
      <c r="O44"/>
      <c r="P44" s="15"/>
    </row>
    <row r="45" spans="1:16" x14ac:dyDescent="0.25">
      <c r="A45" s="17">
        <v>28</v>
      </c>
      <c r="B45" s="34" t="str">
        <f>IF(N(C45)=0,"",IF(ISNUMBER(MATCH(C45,C$26:C44,)),INDEX(B$26:B44,MATCH(C45,C$26:C44,)),MAX(B$26:B44)+1))</f>
        <v/>
      </c>
      <c r="C45" s="55"/>
      <c r="D45" s="7"/>
      <c r="E45" s="25" t="str">
        <f t="shared" si="3"/>
        <v/>
      </c>
      <c r="F45" s="25" t="str">
        <f t="shared" si="4"/>
        <v/>
      </c>
      <c r="G45" s="47">
        <f t="shared" si="5"/>
        <v>0</v>
      </c>
      <c r="H45" s="52"/>
      <c r="I45" s="19"/>
      <c r="J45" s="15"/>
      <c r="K45"/>
      <c r="L45"/>
      <c r="M45"/>
      <c r="N45"/>
      <c r="O45"/>
      <c r="P45" s="15"/>
    </row>
    <row r="46" spans="1:16" x14ac:dyDescent="0.25">
      <c r="A46" s="17">
        <v>29</v>
      </c>
      <c r="B46" s="34" t="str">
        <f>IF(N(C46)=0,"",IF(ISNUMBER(MATCH(C46,C$26:C45,)),INDEX(B$26:B45,MATCH(C46,C$26:C45,)),MAX(B$26:B45)+1))</f>
        <v/>
      </c>
      <c r="C46" s="55"/>
      <c r="D46" s="7"/>
      <c r="E46" s="25" t="str">
        <f t="shared" si="3"/>
        <v/>
      </c>
      <c r="F46" s="25" t="str">
        <f t="shared" si="4"/>
        <v/>
      </c>
      <c r="G46" s="47">
        <f t="shared" si="5"/>
        <v>0</v>
      </c>
      <c r="H46" s="52"/>
      <c r="I46" s="19"/>
      <c r="J46" s="15"/>
      <c r="K46"/>
      <c r="L46"/>
      <c r="M46"/>
      <c r="N46"/>
      <c r="O46"/>
      <c r="P46" s="15"/>
    </row>
    <row r="47" spans="1:16" x14ac:dyDescent="0.25">
      <c r="A47" s="17">
        <v>30</v>
      </c>
      <c r="B47" s="34" t="str">
        <f>IF(N(C47)=0,"",IF(ISNUMBER(MATCH(C47,C$26:C46,)),INDEX(B$26:B46,MATCH(C47,C$26:C46,)),MAX(B$26:B46)+1))</f>
        <v/>
      </c>
      <c r="C47" s="55"/>
      <c r="D47" s="7"/>
      <c r="E47" s="25" t="str">
        <f t="shared" si="3"/>
        <v/>
      </c>
      <c r="F47" s="25" t="str">
        <f t="shared" si="4"/>
        <v/>
      </c>
      <c r="G47" s="47">
        <f t="shared" si="5"/>
        <v>0</v>
      </c>
      <c r="H47" s="52"/>
      <c r="I47" s="19"/>
      <c r="J47" s="15"/>
      <c r="K47"/>
      <c r="L47"/>
      <c r="M47"/>
      <c r="N47"/>
      <c r="O47"/>
      <c r="P47" s="15"/>
    </row>
    <row r="48" spans="1:16" x14ac:dyDescent="0.25">
      <c r="A48" s="17">
        <v>31</v>
      </c>
      <c r="B48" s="34" t="str">
        <f>IF(N(C48)=0,"",IF(ISNUMBER(MATCH(C48,C$26:C47,)),INDEX(B$26:B47,MATCH(C48,C$26:C47,)),MAX(B$26:B47)+1))</f>
        <v/>
      </c>
      <c r="C48" s="55"/>
      <c r="D48" s="7"/>
      <c r="E48" s="25" t="str">
        <f t="shared" si="3"/>
        <v/>
      </c>
      <c r="F48" s="25" t="str">
        <f t="shared" si="4"/>
        <v/>
      </c>
      <c r="G48" s="47">
        <f t="shared" si="5"/>
        <v>0</v>
      </c>
      <c r="H48" s="52"/>
      <c r="I48" s="19"/>
      <c r="J48" s="15"/>
      <c r="K48"/>
      <c r="L48"/>
      <c r="M48"/>
      <c r="N48"/>
      <c r="O48"/>
      <c r="P48" s="15"/>
    </row>
    <row r="49" spans="1:16" x14ac:dyDescent="0.25">
      <c r="A49" s="17">
        <v>32</v>
      </c>
      <c r="B49" s="34" t="str">
        <f>IF(N(C49)=0,"",IF(ISNUMBER(MATCH(C49,C$26:C48,)),INDEX(B$26:B48,MATCH(C49,C$26:C48,)),MAX(B$26:B48)+1))</f>
        <v/>
      </c>
      <c r="C49" s="55"/>
      <c r="D49" s="7"/>
      <c r="E49" s="25" t="str">
        <f t="shared" si="3"/>
        <v/>
      </c>
      <c r="F49" s="25" t="str">
        <f t="shared" si="4"/>
        <v/>
      </c>
      <c r="G49" s="47">
        <f t="shared" si="5"/>
        <v>0</v>
      </c>
      <c r="H49" s="52"/>
      <c r="I49" s="19"/>
      <c r="J49" s="15"/>
      <c r="K49"/>
      <c r="L49"/>
      <c r="M49"/>
      <c r="N49"/>
      <c r="O49"/>
      <c r="P49" s="15"/>
    </row>
    <row r="50" spans="1:16" x14ac:dyDescent="0.25">
      <c r="A50" s="17">
        <v>33</v>
      </c>
      <c r="B50" s="34" t="str">
        <f>IF(N(C50)=0,"",IF(ISNUMBER(MATCH(C50,C$26:C49,)),INDEX(B$26:B49,MATCH(C50,C$26:C49,)),MAX(B$26:B49)+1))</f>
        <v/>
      </c>
      <c r="C50" s="55"/>
      <c r="D50" s="7"/>
      <c r="E50" s="25" t="str">
        <f t="shared" si="3"/>
        <v/>
      </c>
      <c r="F50" s="25" t="str">
        <f t="shared" si="4"/>
        <v/>
      </c>
      <c r="G50" s="47">
        <f t="shared" si="5"/>
        <v>0</v>
      </c>
      <c r="H50" s="52"/>
      <c r="I50" s="19"/>
      <c r="J50" s="15"/>
      <c r="K50"/>
      <c r="L50"/>
      <c r="M50"/>
      <c r="N50"/>
      <c r="O50"/>
      <c r="P50" s="15"/>
    </row>
    <row r="51" spans="1:16" x14ac:dyDescent="0.25">
      <c r="A51" s="17">
        <v>34</v>
      </c>
      <c r="B51" s="34" t="str">
        <f>IF(N(C51)=0,"",IF(ISNUMBER(MATCH(C51,C$26:C50,)),INDEX(B$26:B50,MATCH(C51,C$26:C50,)),MAX(B$26:B50)+1))</f>
        <v/>
      </c>
      <c r="C51" s="55"/>
      <c r="D51" s="7"/>
      <c r="E51" s="25" t="str">
        <f t="shared" si="3"/>
        <v/>
      </c>
      <c r="F51" s="25" t="str">
        <f t="shared" si="4"/>
        <v/>
      </c>
      <c r="G51" s="47">
        <f t="shared" si="5"/>
        <v>0</v>
      </c>
      <c r="H51" s="52"/>
      <c r="I51" s="19"/>
      <c r="J51" s="15"/>
      <c r="K51"/>
      <c r="L51"/>
      <c r="M51"/>
      <c r="N51"/>
      <c r="O51"/>
      <c r="P51" s="15"/>
    </row>
    <row r="52" spans="1:16" x14ac:dyDescent="0.25">
      <c r="A52" s="17">
        <v>35</v>
      </c>
      <c r="B52" s="34" t="str">
        <f>IF(N(C52)=0,"",IF(ISNUMBER(MATCH(C52,C$26:C51,)),INDEX(B$26:B51,MATCH(C52,C$26:C51,)),MAX(B$26:B51)+1))</f>
        <v/>
      </c>
      <c r="C52" s="55"/>
      <c r="D52" s="7"/>
      <c r="E52" s="25" t="str">
        <f t="shared" si="3"/>
        <v/>
      </c>
      <c r="F52" s="25" t="str">
        <f t="shared" si="4"/>
        <v/>
      </c>
      <c r="G52" s="47">
        <f t="shared" si="5"/>
        <v>0</v>
      </c>
      <c r="H52" s="52"/>
      <c r="I52" s="19"/>
      <c r="J52" s="15"/>
      <c r="K52"/>
      <c r="L52"/>
      <c r="M52"/>
      <c r="N52"/>
      <c r="O52"/>
      <c r="P52" s="15"/>
    </row>
    <row r="53" spans="1:16" x14ac:dyDescent="0.25">
      <c r="A53" s="17">
        <v>36</v>
      </c>
      <c r="B53" s="34" t="str">
        <f>IF(N(C53)=0,"",IF(ISNUMBER(MATCH(C53,C$26:C52,)),INDEX(B$26:B52,MATCH(C53,C$26:C52,)),MAX(B$26:B52)+1))</f>
        <v/>
      </c>
      <c r="C53" s="55"/>
      <c r="D53" s="7"/>
      <c r="E53" s="25" t="str">
        <f t="shared" si="3"/>
        <v/>
      </c>
      <c r="F53" s="25" t="str">
        <f t="shared" si="4"/>
        <v/>
      </c>
      <c r="G53" s="47">
        <f t="shared" si="5"/>
        <v>0</v>
      </c>
      <c r="H53" s="52"/>
      <c r="I53" s="19"/>
      <c r="J53" s="15"/>
      <c r="K53"/>
      <c r="L53"/>
      <c r="M53"/>
      <c r="N53"/>
      <c r="O53"/>
      <c r="P53" s="15"/>
    </row>
    <row r="54" spans="1:16" x14ac:dyDescent="0.25">
      <c r="A54" s="17">
        <v>37</v>
      </c>
      <c r="B54" s="34" t="str">
        <f>IF(N(C54)=0,"",IF(ISNUMBER(MATCH(C54,C$26:C53,)),INDEX(B$26:B53,MATCH(C54,C$26:C53,)),MAX(B$26:B53)+1))</f>
        <v/>
      </c>
      <c r="C54" s="55"/>
      <c r="D54" s="7"/>
      <c r="E54" s="25" t="str">
        <f t="shared" si="3"/>
        <v/>
      </c>
      <c r="F54" s="25" t="str">
        <f t="shared" si="4"/>
        <v/>
      </c>
      <c r="G54" s="47">
        <f t="shared" si="5"/>
        <v>0</v>
      </c>
      <c r="H54" s="52"/>
      <c r="I54" s="19"/>
      <c r="J54" s="15"/>
      <c r="K54"/>
      <c r="L54"/>
      <c r="M54"/>
      <c r="N54"/>
      <c r="O54"/>
      <c r="P54" s="15"/>
    </row>
    <row r="55" spans="1:16" x14ac:dyDescent="0.25">
      <c r="A55" s="17">
        <v>38</v>
      </c>
      <c r="B55" s="34" t="str">
        <f>IF(N(C55)=0,"",IF(ISNUMBER(MATCH(C55,C$26:C54,)),INDEX(B$26:B54,MATCH(C55,C$26:C54,)),MAX(B$26:B54)+1))</f>
        <v/>
      </c>
      <c r="C55" s="55"/>
      <c r="D55" s="7"/>
      <c r="E55" s="25" t="str">
        <f t="shared" si="3"/>
        <v/>
      </c>
      <c r="F55" s="25" t="str">
        <f t="shared" si="4"/>
        <v/>
      </c>
      <c r="G55" s="47">
        <f t="shared" si="5"/>
        <v>0</v>
      </c>
      <c r="H55" s="52"/>
      <c r="I55" s="19"/>
      <c r="J55" s="15"/>
      <c r="K55"/>
      <c r="L55"/>
      <c r="M55"/>
      <c r="N55"/>
      <c r="O55"/>
      <c r="P55" s="15"/>
    </row>
    <row r="56" spans="1:16" x14ac:dyDescent="0.25">
      <c r="A56" s="17">
        <v>39</v>
      </c>
      <c r="B56" s="34" t="str">
        <f>IF(N(C56)=0,"",IF(ISNUMBER(MATCH(C56,C$26:C55,)),INDEX(B$26:B55,MATCH(C56,C$26:C55,)),MAX(B$26:B55)+1))</f>
        <v/>
      </c>
      <c r="C56" s="55"/>
      <c r="D56" s="7"/>
      <c r="E56" s="25" t="str">
        <f t="shared" si="3"/>
        <v/>
      </c>
      <c r="F56" s="25" t="str">
        <f t="shared" si="4"/>
        <v/>
      </c>
      <c r="G56" s="47">
        <f t="shared" si="5"/>
        <v>0</v>
      </c>
      <c r="H56" s="52"/>
      <c r="I56" s="19"/>
      <c r="J56" s="15"/>
      <c r="K56"/>
      <c r="L56"/>
      <c r="M56"/>
      <c r="N56"/>
      <c r="O56"/>
      <c r="P56" s="15"/>
    </row>
    <row r="57" spans="1:16" x14ac:dyDescent="0.25">
      <c r="A57" s="17">
        <v>40</v>
      </c>
      <c r="B57" s="34" t="str">
        <f>IF(N(C57)=0,"",IF(ISNUMBER(MATCH(C57,C$26:C56,)),INDEX(B$26:B56,MATCH(C57,C$26:C56,)),MAX(B$26:B56)+1))</f>
        <v/>
      </c>
      <c r="C57" s="55"/>
      <c r="D57" s="7"/>
      <c r="E57" s="25" t="str">
        <f t="shared" si="3"/>
        <v/>
      </c>
      <c r="F57" s="25" t="str">
        <f t="shared" si="4"/>
        <v/>
      </c>
      <c r="G57" s="47">
        <f t="shared" si="5"/>
        <v>0</v>
      </c>
      <c r="H57" s="52"/>
      <c r="I57" s="19"/>
      <c r="J57" s="15"/>
      <c r="K57"/>
      <c r="L57"/>
      <c r="M57"/>
      <c r="N57"/>
      <c r="O57"/>
      <c r="P57" s="15"/>
    </row>
    <row r="58" spans="1:16" x14ac:dyDescent="0.25">
      <c r="A58" s="17">
        <v>41</v>
      </c>
      <c r="B58" s="34" t="str">
        <f>IF(N(C58)=0,"",IF(ISNUMBER(MATCH(C58,C$26:C57,)),INDEX(B$26:B57,MATCH(C58,C$26:C57,)),MAX(B$26:B57)+1))</f>
        <v/>
      </c>
      <c r="C58" s="55"/>
      <c r="D58" s="7"/>
      <c r="E58" s="25" t="str">
        <f t="shared" si="3"/>
        <v/>
      </c>
      <c r="F58" s="25" t="str">
        <f t="shared" si="4"/>
        <v/>
      </c>
      <c r="G58" s="47">
        <f t="shared" si="5"/>
        <v>0</v>
      </c>
      <c r="H58" s="52"/>
      <c r="I58" s="19"/>
      <c r="J58" s="15"/>
      <c r="K58"/>
      <c r="L58"/>
      <c r="M58"/>
      <c r="N58"/>
      <c r="O58"/>
      <c r="P58" s="15"/>
    </row>
    <row r="59" spans="1:16" x14ac:dyDescent="0.25">
      <c r="A59" s="17">
        <v>42</v>
      </c>
      <c r="B59" s="34" t="str">
        <f>IF(N(C59)=0,"",IF(ISNUMBER(MATCH(C59,C$26:C58,)),INDEX(B$26:B58,MATCH(C59,C$26:C58,)),MAX(B$26:B58)+1))</f>
        <v/>
      </c>
      <c r="C59" s="55"/>
      <c r="D59" s="7"/>
      <c r="E59" s="25" t="str">
        <f t="shared" si="3"/>
        <v/>
      </c>
      <c r="F59" s="25" t="str">
        <f t="shared" si="4"/>
        <v/>
      </c>
      <c r="G59" s="47">
        <f t="shared" si="5"/>
        <v>0</v>
      </c>
      <c r="H59" s="52"/>
      <c r="I59" s="19"/>
      <c r="J59" s="15"/>
      <c r="K59"/>
      <c r="L59"/>
      <c r="M59"/>
      <c r="N59"/>
      <c r="O59"/>
      <c r="P59" s="15"/>
    </row>
    <row r="60" spans="1:16" x14ac:dyDescent="0.25">
      <c r="A60" s="17">
        <v>43</v>
      </c>
      <c r="B60" s="34" t="str">
        <f>IF(N(C60)=0,"",IF(ISNUMBER(MATCH(C60,C$26:C59,)),INDEX(B$26:B59,MATCH(C60,C$26:C59,)),MAX(B$26:B59)+1))</f>
        <v/>
      </c>
      <c r="C60" s="55"/>
      <c r="D60" s="7"/>
      <c r="E60" s="25" t="str">
        <f t="shared" si="3"/>
        <v/>
      </c>
      <c r="F60" s="25" t="str">
        <f t="shared" si="4"/>
        <v/>
      </c>
      <c r="G60" s="47">
        <f t="shared" si="5"/>
        <v>0</v>
      </c>
      <c r="H60" s="52"/>
      <c r="I60" s="19"/>
      <c r="J60" s="15"/>
      <c r="K60"/>
      <c r="L60"/>
      <c r="M60"/>
      <c r="N60"/>
      <c r="O60"/>
      <c r="P60" s="15"/>
    </row>
    <row r="61" spans="1:16" x14ac:dyDescent="0.25">
      <c r="A61" s="17">
        <v>44</v>
      </c>
      <c r="B61" s="34" t="str">
        <f>IF(N(C61)=0,"",IF(ISNUMBER(MATCH(C61,C$26:C60,)),INDEX(B$26:B60,MATCH(C61,C$26:C60,)),MAX(B$26:B60)+1))</f>
        <v/>
      </c>
      <c r="C61" s="55"/>
      <c r="D61" s="7"/>
      <c r="E61" s="25" t="str">
        <f t="shared" si="3"/>
        <v/>
      </c>
      <c r="F61" s="25" t="str">
        <f t="shared" si="4"/>
        <v/>
      </c>
      <c r="G61" s="47">
        <f t="shared" si="5"/>
        <v>0</v>
      </c>
      <c r="H61" s="52"/>
      <c r="I61" s="19"/>
      <c r="J61" s="15"/>
      <c r="K61"/>
      <c r="L61"/>
      <c r="M61"/>
      <c r="N61"/>
      <c r="O61"/>
      <c r="P61" s="15"/>
    </row>
    <row r="62" spans="1:16" x14ac:dyDescent="0.25">
      <c r="A62" s="17">
        <v>45</v>
      </c>
      <c r="B62" s="34" t="str">
        <f>IF(N(C62)=0,"",IF(ISNUMBER(MATCH(C62,C$26:C61,)),INDEX(B$26:B61,MATCH(C62,C$26:C61,)),MAX(B$26:B61)+1))</f>
        <v/>
      </c>
      <c r="C62" s="55"/>
      <c r="D62" s="7"/>
      <c r="E62" s="25" t="str">
        <f t="shared" si="3"/>
        <v/>
      </c>
      <c r="F62" s="25" t="str">
        <f t="shared" si="4"/>
        <v/>
      </c>
      <c r="G62" s="47">
        <f t="shared" si="5"/>
        <v>0</v>
      </c>
      <c r="H62" s="52"/>
      <c r="I62" s="19"/>
      <c r="J62" s="15"/>
      <c r="K62"/>
      <c r="L62"/>
      <c r="M62"/>
      <c r="N62"/>
      <c r="O62"/>
      <c r="P62" s="15"/>
    </row>
    <row r="63" spans="1:16" x14ac:dyDescent="0.25">
      <c r="A63" s="17">
        <v>46</v>
      </c>
      <c r="B63" s="34" t="str">
        <f>IF(N(C63)=0,"",IF(ISNUMBER(MATCH(C63,C$26:C62,)),INDEX(B$26:B62,MATCH(C63,C$26:C62,)),MAX(B$26:B62)+1))</f>
        <v/>
      </c>
      <c r="C63" s="55"/>
      <c r="D63" s="7"/>
      <c r="E63" s="25" t="str">
        <f t="shared" si="3"/>
        <v/>
      </c>
      <c r="F63" s="25" t="str">
        <f t="shared" si="4"/>
        <v/>
      </c>
      <c r="G63" s="47">
        <f t="shared" si="5"/>
        <v>0</v>
      </c>
      <c r="H63" s="52"/>
      <c r="I63" s="19"/>
      <c r="J63" s="15"/>
      <c r="K63"/>
      <c r="L63"/>
      <c r="M63"/>
      <c r="N63"/>
      <c r="O63"/>
      <c r="P63" s="15"/>
    </row>
    <row r="64" spans="1:16" x14ac:dyDescent="0.25">
      <c r="A64" s="17">
        <v>47</v>
      </c>
      <c r="B64" s="34" t="str">
        <f>IF(N(C64)=0,"",IF(ISNUMBER(MATCH(C64,C$26:C63,)),INDEX(B$26:B63,MATCH(C64,C$26:C63,)),MAX(B$26:B63)+1))</f>
        <v/>
      </c>
      <c r="C64" s="55"/>
      <c r="D64" s="7"/>
      <c r="E64" s="25" t="str">
        <f t="shared" si="3"/>
        <v/>
      </c>
      <c r="F64" s="25" t="str">
        <f t="shared" si="4"/>
        <v/>
      </c>
      <c r="G64" s="47">
        <f t="shared" si="5"/>
        <v>0</v>
      </c>
      <c r="H64" s="52"/>
      <c r="I64" s="19"/>
      <c r="J64" s="15"/>
      <c r="K64"/>
      <c r="L64"/>
      <c r="M64"/>
      <c r="N64"/>
      <c r="O64"/>
      <c r="P64" s="15"/>
    </row>
    <row r="65" spans="1:16" x14ac:dyDescent="0.25">
      <c r="A65" s="17">
        <v>48</v>
      </c>
      <c r="B65" s="34" t="str">
        <f>IF(N(C65)=0,"",IF(ISNUMBER(MATCH(C65,C$26:C64,)),INDEX(B$26:B64,MATCH(C65,C$26:C64,)),MAX(B$26:B64)+1))</f>
        <v/>
      </c>
      <c r="C65" s="55"/>
      <c r="D65" s="7"/>
      <c r="E65" s="25" t="str">
        <f t="shared" si="3"/>
        <v/>
      </c>
      <c r="F65" s="25" t="str">
        <f t="shared" si="4"/>
        <v/>
      </c>
      <c r="G65" s="47">
        <f t="shared" si="5"/>
        <v>0</v>
      </c>
      <c r="H65" s="52"/>
      <c r="I65" s="19"/>
      <c r="J65" s="15"/>
      <c r="K65"/>
      <c r="L65"/>
      <c r="M65"/>
      <c r="N65"/>
      <c r="O65"/>
      <c r="P65" s="15"/>
    </row>
    <row r="66" spans="1:16" x14ac:dyDescent="0.25">
      <c r="A66" s="17">
        <v>49</v>
      </c>
      <c r="B66" s="34" t="str">
        <f>IF(N(C66)=0,"",IF(ISNUMBER(MATCH(C66,C$26:C65,)),INDEX(B$26:B65,MATCH(C66,C$26:C65,)),MAX(B$26:B65)+1))</f>
        <v/>
      </c>
      <c r="C66" s="55"/>
      <c r="D66" s="7"/>
      <c r="E66" s="25" t="str">
        <f t="shared" si="3"/>
        <v/>
      </c>
      <c r="F66" s="25" t="str">
        <f t="shared" si="4"/>
        <v/>
      </c>
      <c r="G66" s="47">
        <f t="shared" si="5"/>
        <v>0</v>
      </c>
      <c r="H66" s="52"/>
      <c r="I66" s="19"/>
      <c r="J66" s="15"/>
      <c r="K66"/>
      <c r="L66"/>
      <c r="M66"/>
      <c r="N66"/>
      <c r="O66"/>
      <c r="P66" s="15"/>
    </row>
    <row r="67" spans="1:16" x14ac:dyDescent="0.25">
      <c r="A67" s="17">
        <v>50</v>
      </c>
      <c r="B67" s="34" t="str">
        <f>IF(N(C67)=0,"",IF(ISNUMBER(MATCH(C67,C$26:C66,)),INDEX(B$26:B66,MATCH(C67,C$26:C66,)),MAX(B$26:B66)+1))</f>
        <v/>
      </c>
      <c r="C67" s="55"/>
      <c r="D67" s="7"/>
      <c r="E67" s="25" t="str">
        <f t="shared" si="3"/>
        <v/>
      </c>
      <c r="F67" s="25" t="str">
        <f t="shared" si="4"/>
        <v/>
      </c>
      <c r="G67" s="47">
        <f t="shared" si="5"/>
        <v>0</v>
      </c>
      <c r="H67" s="52"/>
      <c r="I67" s="19"/>
      <c r="J67" s="15"/>
      <c r="K67"/>
      <c r="L67"/>
      <c r="M67"/>
      <c r="N67"/>
      <c r="O67"/>
      <c r="P67" s="15"/>
    </row>
    <row r="68" spans="1:16" x14ac:dyDescent="0.25">
      <c r="A68" s="17">
        <v>51</v>
      </c>
      <c r="B68" s="34" t="str">
        <f>IF(N(C68)=0,"",IF(ISNUMBER(MATCH(C68,C$26:C67,)),INDEX(B$26:B67,MATCH(C68,C$26:C67,)),MAX(B$26:B67)+1))</f>
        <v/>
      </c>
      <c r="C68" s="55"/>
      <c r="D68" s="7"/>
      <c r="E68" s="25" t="str">
        <f t="shared" si="3"/>
        <v/>
      </c>
      <c r="F68" s="25" t="str">
        <f t="shared" si="4"/>
        <v/>
      </c>
      <c r="G68" s="47">
        <f t="shared" si="5"/>
        <v>0</v>
      </c>
      <c r="H68" s="52"/>
      <c r="I68" s="19"/>
      <c r="J68" s="15"/>
      <c r="K68"/>
      <c r="L68"/>
      <c r="M68"/>
      <c r="N68"/>
      <c r="O68"/>
      <c r="P68" s="15"/>
    </row>
    <row r="69" spans="1:16" x14ac:dyDescent="0.25">
      <c r="A69" s="17">
        <v>52</v>
      </c>
      <c r="B69" s="34" t="str">
        <f>IF(N(C69)=0,"",IF(ISNUMBER(MATCH(C69,C$26:C68,)),INDEX(B$26:B68,MATCH(C69,C$26:C68,)),MAX(B$26:B68)+1))</f>
        <v/>
      </c>
      <c r="C69" s="55"/>
      <c r="D69" s="7"/>
      <c r="E69" s="25" t="str">
        <f t="shared" si="3"/>
        <v/>
      </c>
      <c r="F69" s="25" t="str">
        <f t="shared" si="4"/>
        <v/>
      </c>
      <c r="G69" s="47">
        <f t="shared" si="5"/>
        <v>0</v>
      </c>
      <c r="H69" s="52"/>
      <c r="I69" s="19"/>
      <c r="J69" s="15"/>
      <c r="K69"/>
      <c r="L69"/>
      <c r="M69"/>
      <c r="N69"/>
      <c r="O69"/>
      <c r="P69" s="15"/>
    </row>
    <row r="70" spans="1:16" x14ac:dyDescent="0.25">
      <c r="A70" s="17">
        <v>53</v>
      </c>
      <c r="B70" s="34" t="str">
        <f>IF(N(C70)=0,"",IF(ISNUMBER(MATCH(C70,C$26:C69,)),INDEX(B$26:B69,MATCH(C70,C$26:C69,)),MAX(B$26:B69)+1))</f>
        <v/>
      </c>
      <c r="C70" s="55"/>
      <c r="D70" s="7"/>
      <c r="E70" s="25" t="str">
        <f t="shared" si="3"/>
        <v/>
      </c>
      <c r="F70" s="25" t="str">
        <f t="shared" si="4"/>
        <v/>
      </c>
      <c r="G70" s="47">
        <f t="shared" si="5"/>
        <v>0</v>
      </c>
      <c r="H70" s="52"/>
      <c r="I70" s="19"/>
      <c r="J70" s="15"/>
      <c r="K70"/>
      <c r="L70"/>
      <c r="M70"/>
      <c r="N70"/>
      <c r="O70"/>
      <c r="P70" s="15"/>
    </row>
    <row r="71" spans="1:16" x14ac:dyDescent="0.25">
      <c r="A71" s="17">
        <v>54</v>
      </c>
      <c r="B71" s="34" t="str">
        <f>IF(N(C71)=0,"",IF(ISNUMBER(MATCH(C71,C$26:C70,)),INDEX(B$26:B70,MATCH(C71,C$26:C70,)),MAX(B$26:B70)+1))</f>
        <v/>
      </c>
      <c r="C71" s="55"/>
      <c r="D71" s="7"/>
      <c r="E71" s="25" t="str">
        <f t="shared" si="3"/>
        <v/>
      </c>
      <c r="F71" s="25" t="str">
        <f t="shared" si="4"/>
        <v/>
      </c>
      <c r="G71" s="47">
        <f t="shared" si="5"/>
        <v>0</v>
      </c>
      <c r="H71" s="52"/>
      <c r="I71" s="19"/>
      <c r="J71" s="15"/>
      <c r="K71"/>
      <c r="L71"/>
      <c r="M71"/>
      <c r="N71"/>
      <c r="O71"/>
      <c r="P71" s="15"/>
    </row>
    <row r="72" spans="1:16" x14ac:dyDescent="0.25">
      <c r="A72" s="17">
        <v>55</v>
      </c>
      <c r="B72" s="34" t="str">
        <f>IF(N(C72)=0,"",IF(ISNUMBER(MATCH(C72,C$26:C71,)),INDEX(B$26:B71,MATCH(C72,C$26:C71,)),MAX(B$26:B71)+1))</f>
        <v/>
      </c>
      <c r="C72" s="55"/>
      <c r="D72" s="7"/>
      <c r="E72" s="25" t="str">
        <f t="shared" si="3"/>
        <v/>
      </c>
      <c r="F72" s="25" t="str">
        <f t="shared" si="4"/>
        <v/>
      </c>
      <c r="G72" s="47">
        <f t="shared" si="5"/>
        <v>0</v>
      </c>
      <c r="H72" s="52"/>
      <c r="I72" s="19"/>
      <c r="J72" s="15"/>
      <c r="K72"/>
      <c r="L72"/>
      <c r="M72"/>
      <c r="N72"/>
      <c r="O72"/>
      <c r="P72" s="15"/>
    </row>
    <row r="73" spans="1:16" x14ac:dyDescent="0.25">
      <c r="A73" s="17">
        <v>56</v>
      </c>
      <c r="B73" s="34" t="str">
        <f>IF(N(C73)=0,"",IF(ISNUMBER(MATCH(C73,C$26:C72,)),INDEX(B$26:B72,MATCH(C73,C$26:C72,)),MAX(B$26:B72)+1))</f>
        <v/>
      </c>
      <c r="C73" s="55"/>
      <c r="D73" s="7"/>
      <c r="E73" s="25" t="str">
        <f t="shared" si="3"/>
        <v/>
      </c>
      <c r="F73" s="25" t="str">
        <f t="shared" si="4"/>
        <v/>
      </c>
      <c r="G73" s="47">
        <f t="shared" si="5"/>
        <v>0</v>
      </c>
      <c r="H73" s="52"/>
      <c r="I73" s="19"/>
      <c r="J73" s="15"/>
      <c r="K73"/>
      <c r="L73"/>
      <c r="M73"/>
      <c r="N73"/>
      <c r="O73"/>
      <c r="P73" s="15"/>
    </row>
    <row r="74" spans="1:16" x14ac:dyDescent="0.25">
      <c r="A74" s="17">
        <v>57</v>
      </c>
      <c r="B74" s="34" t="str">
        <f>IF(N(C74)=0,"",IF(ISNUMBER(MATCH(C74,C$26:C73,)),INDEX(B$26:B73,MATCH(C74,C$26:C73,)),MAX(B$26:B73)+1))</f>
        <v/>
      </c>
      <c r="C74" s="55"/>
      <c r="D74" s="7"/>
      <c r="E74" s="25" t="str">
        <f t="shared" si="3"/>
        <v/>
      </c>
      <c r="F74" s="25" t="str">
        <f t="shared" si="4"/>
        <v/>
      </c>
      <c r="G74" s="47">
        <f t="shared" si="5"/>
        <v>0</v>
      </c>
      <c r="H74" s="52"/>
      <c r="I74" s="19"/>
      <c r="J74" s="15"/>
      <c r="K74"/>
      <c r="L74"/>
      <c r="M74"/>
      <c r="N74"/>
      <c r="O74"/>
      <c r="P74" s="15"/>
    </row>
    <row r="75" spans="1:16" x14ac:dyDescent="0.25">
      <c r="A75" s="17">
        <v>58</v>
      </c>
      <c r="B75" s="34" t="str">
        <f>IF(N(C75)=0,"",IF(ISNUMBER(MATCH(C75,C$26:C74,)),INDEX(B$26:B74,MATCH(C75,C$26:C74,)),MAX(B$26:B74)+1))</f>
        <v/>
      </c>
      <c r="C75" s="55"/>
      <c r="D75" s="7"/>
      <c r="E75" s="25" t="str">
        <f t="shared" si="3"/>
        <v/>
      </c>
      <c r="F75" s="25" t="str">
        <f t="shared" si="4"/>
        <v/>
      </c>
      <c r="G75" s="47">
        <f t="shared" si="5"/>
        <v>0</v>
      </c>
      <c r="H75" s="52"/>
      <c r="I75" s="19"/>
      <c r="J75" s="15"/>
      <c r="K75"/>
      <c r="L75"/>
      <c r="M75"/>
      <c r="N75"/>
      <c r="O75"/>
      <c r="P75" s="15"/>
    </row>
    <row r="76" spans="1:16" x14ac:dyDescent="0.25">
      <c r="A76" s="17">
        <v>59</v>
      </c>
      <c r="B76" s="34" t="str">
        <f>IF(N(C76)=0,"",IF(ISNUMBER(MATCH(C76,C$26:C75,)),INDEX(B$26:B75,MATCH(C76,C$26:C75,)),MAX(B$26:B75)+1))</f>
        <v/>
      </c>
      <c r="C76" s="55"/>
      <c r="D76" s="7"/>
      <c r="E76" s="25" t="str">
        <f t="shared" si="3"/>
        <v/>
      </c>
      <c r="F76" s="25" t="str">
        <f t="shared" si="4"/>
        <v/>
      </c>
      <c r="G76" s="47">
        <f t="shared" si="5"/>
        <v>0</v>
      </c>
      <c r="H76" s="52"/>
      <c r="I76" s="19"/>
      <c r="J76" s="15"/>
      <c r="K76"/>
      <c r="L76"/>
      <c r="M76"/>
      <c r="N76"/>
      <c r="O76"/>
      <c r="P76" s="15"/>
    </row>
    <row r="77" spans="1:16" x14ac:dyDescent="0.25">
      <c r="A77" s="17">
        <v>60</v>
      </c>
      <c r="B77" s="34" t="str">
        <f>IF(N(C77)=0,"",IF(ISNUMBER(MATCH(C77,C$26:C76,)),INDEX(B$26:B76,MATCH(C77,C$26:C76,)),MAX(B$26:B76)+1))</f>
        <v/>
      </c>
      <c r="C77" s="55"/>
      <c r="D77" s="7"/>
      <c r="E77" s="25" t="str">
        <f t="shared" si="3"/>
        <v/>
      </c>
      <c r="F77" s="25" t="str">
        <f t="shared" si="4"/>
        <v/>
      </c>
      <c r="G77" s="47">
        <f t="shared" si="5"/>
        <v>0</v>
      </c>
      <c r="H77" s="52"/>
      <c r="I77" s="19"/>
      <c r="J77" s="15"/>
      <c r="K77"/>
      <c r="L77"/>
      <c r="M77"/>
      <c r="N77"/>
      <c r="O77"/>
      <c r="P77" s="15"/>
    </row>
    <row r="78" spans="1:16" x14ac:dyDescent="0.25">
      <c r="A78" s="17">
        <v>61</v>
      </c>
      <c r="B78" s="34" t="str">
        <f>IF(N(C78)=0,"",IF(ISNUMBER(MATCH(C78,C$26:C77,)),INDEX(B$26:B77,MATCH(C78,C$26:C77,)),MAX(B$26:B77)+1))</f>
        <v/>
      </c>
      <c r="C78" s="55"/>
      <c r="D78" s="7"/>
      <c r="E78" s="25" t="str">
        <f t="shared" si="3"/>
        <v/>
      </c>
      <c r="F78" s="25" t="str">
        <f t="shared" si="4"/>
        <v/>
      </c>
      <c r="G78" s="47">
        <f t="shared" si="5"/>
        <v>0</v>
      </c>
      <c r="H78" s="52"/>
      <c r="I78" s="19"/>
      <c r="J78" s="15"/>
      <c r="K78"/>
      <c r="L78"/>
      <c r="M78"/>
      <c r="N78"/>
      <c r="O78"/>
      <c r="P78" s="15"/>
    </row>
    <row r="79" spans="1:16" x14ac:dyDescent="0.25">
      <c r="A79" s="17">
        <v>62</v>
      </c>
      <c r="B79" s="34" t="str">
        <f>IF(N(C79)=0,"",IF(ISNUMBER(MATCH(C79,C$26:C78,)),INDEX(B$26:B78,MATCH(C79,C$26:C78,)),MAX(B$26:B78)+1))</f>
        <v/>
      </c>
      <c r="C79" s="55"/>
      <c r="D79" s="7"/>
      <c r="E79" s="25" t="str">
        <f t="shared" si="3"/>
        <v/>
      </c>
      <c r="F79" s="25" t="str">
        <f t="shared" si="4"/>
        <v/>
      </c>
      <c r="G79" s="47">
        <f t="shared" si="5"/>
        <v>0</v>
      </c>
      <c r="H79" s="52"/>
      <c r="I79" s="19"/>
      <c r="J79" s="15"/>
      <c r="K79"/>
      <c r="L79"/>
      <c r="M79"/>
      <c r="N79"/>
      <c r="O79"/>
      <c r="P79" s="15"/>
    </row>
    <row r="80" spans="1:16" x14ac:dyDescent="0.25">
      <c r="A80" s="17">
        <v>63</v>
      </c>
      <c r="B80" s="34" t="str">
        <f>IF(N(C80)=0,"",IF(ISNUMBER(MATCH(C80,C$26:C79,)),INDEX(B$26:B79,MATCH(C80,C$26:C79,)),MAX(B$26:B79)+1))</f>
        <v/>
      </c>
      <c r="C80" s="55"/>
      <c r="D80" s="7"/>
      <c r="E80" s="25" t="str">
        <f t="shared" si="3"/>
        <v/>
      </c>
      <c r="F80" s="25" t="str">
        <f t="shared" si="4"/>
        <v/>
      </c>
      <c r="G80" s="47">
        <f t="shared" si="5"/>
        <v>0</v>
      </c>
      <c r="H80" s="52"/>
      <c r="I80" s="19"/>
      <c r="J80" s="15"/>
      <c r="K80"/>
      <c r="L80"/>
      <c r="M80"/>
      <c r="N80"/>
      <c r="O80"/>
      <c r="P80" s="15"/>
    </row>
    <row r="81" spans="1:16" x14ac:dyDescent="0.25">
      <c r="A81" s="17">
        <v>64</v>
      </c>
      <c r="B81" s="34" t="str">
        <f>IF(N(C81)=0,"",IF(ISNUMBER(MATCH(C81,C$26:C80,)),INDEX(B$26:B80,MATCH(C81,C$26:C80,)),MAX(B$26:B80)+1))</f>
        <v/>
      </c>
      <c r="C81" s="55"/>
      <c r="D81" s="7"/>
      <c r="E81" s="25" t="str">
        <f t="shared" si="3"/>
        <v/>
      </c>
      <c r="F81" s="25" t="str">
        <f t="shared" si="4"/>
        <v/>
      </c>
      <c r="G81" s="47">
        <f t="shared" si="5"/>
        <v>0</v>
      </c>
      <c r="H81" s="52"/>
      <c r="I81" s="19"/>
      <c r="J81" s="15"/>
      <c r="K81"/>
      <c r="L81"/>
      <c r="M81"/>
      <c r="N81"/>
      <c r="O81"/>
      <c r="P81" s="15"/>
    </row>
    <row r="82" spans="1:16" x14ac:dyDescent="0.25">
      <c r="A82" s="17">
        <v>65</v>
      </c>
      <c r="B82" s="34" t="str">
        <f>IF(N(C82)=0,"",IF(ISNUMBER(MATCH(C82,C$26:C81,)),INDEX(B$26:B81,MATCH(C82,C$26:C81,)),MAX(B$26:B81)+1))</f>
        <v/>
      </c>
      <c r="C82" s="55"/>
      <c r="D82" s="7"/>
      <c r="E82" s="25" t="str">
        <f t="shared" si="3"/>
        <v/>
      </c>
      <c r="F82" s="25" t="str">
        <f t="shared" si="4"/>
        <v/>
      </c>
      <c r="G82" s="47">
        <f t="shared" si="5"/>
        <v>0</v>
      </c>
      <c r="H82" s="52"/>
      <c r="I82" s="19"/>
      <c r="J82" s="15"/>
      <c r="K82"/>
      <c r="L82"/>
      <c r="M82"/>
      <c r="N82"/>
      <c r="O82"/>
      <c r="P82" s="15"/>
    </row>
    <row r="83" spans="1:16" x14ac:dyDescent="0.25">
      <c r="A83" s="17">
        <v>66</v>
      </c>
      <c r="B83" s="34" t="str">
        <f>IF(N(C83)=0,"",IF(ISNUMBER(MATCH(C83,C$26:C82,)),INDEX(B$26:B82,MATCH(C83,C$26:C82,)),MAX(B$26:B82)+1))</f>
        <v/>
      </c>
      <c r="C83" s="55"/>
      <c r="D83" s="7"/>
      <c r="E83" s="25" t="str">
        <f t="shared" si="3"/>
        <v/>
      </c>
      <c r="F83" s="25" t="str">
        <f t="shared" si="4"/>
        <v/>
      </c>
      <c r="G83" s="47">
        <f t="shared" si="5"/>
        <v>0</v>
      </c>
      <c r="H83" s="52"/>
      <c r="I83" s="19"/>
      <c r="J83" s="15"/>
      <c r="K83"/>
      <c r="L83"/>
      <c r="M83"/>
      <c r="N83"/>
      <c r="O83"/>
      <c r="P83" s="15"/>
    </row>
    <row r="84" spans="1:16" x14ac:dyDescent="0.25">
      <c r="A84" s="17">
        <v>67</v>
      </c>
      <c r="B84" s="34" t="str">
        <f>IF(N(C84)=0,"",IF(ISNUMBER(MATCH(C84,C$26:C83,)),INDEX(B$26:B83,MATCH(C84,C$26:C83,)),MAX(B$26:B83)+1))</f>
        <v/>
      </c>
      <c r="C84" s="55"/>
      <c r="D84" s="7"/>
      <c r="E84" s="25" t="str">
        <f t="shared" si="3"/>
        <v/>
      </c>
      <c r="F84" s="25" t="str">
        <f t="shared" si="4"/>
        <v/>
      </c>
      <c r="G84" s="47">
        <f t="shared" si="5"/>
        <v>0</v>
      </c>
      <c r="H84" s="52"/>
      <c r="I84" s="19"/>
      <c r="J84" s="15"/>
      <c r="K84"/>
      <c r="L84"/>
      <c r="M84"/>
      <c r="N84"/>
      <c r="O84"/>
      <c r="P84" s="15"/>
    </row>
    <row r="85" spans="1:16" x14ac:dyDescent="0.25">
      <c r="A85" s="17">
        <v>68</v>
      </c>
      <c r="B85" s="34" t="str">
        <f>IF(N(C85)=0,"",IF(ISNUMBER(MATCH(C85,C$26:C84,)),INDEX(B$26:B84,MATCH(C85,C$26:C84,)),MAX(B$26:B84)+1))</f>
        <v/>
      </c>
      <c r="C85" s="55"/>
      <c r="D85" s="7"/>
      <c r="E85" s="25" t="str">
        <f t="shared" si="3"/>
        <v/>
      </c>
      <c r="F85" s="25" t="str">
        <f t="shared" si="4"/>
        <v/>
      </c>
      <c r="G85" s="47">
        <f t="shared" si="5"/>
        <v>0</v>
      </c>
      <c r="H85" s="52"/>
      <c r="I85" s="19"/>
      <c r="J85" s="15"/>
      <c r="K85"/>
      <c r="L85"/>
      <c r="M85"/>
      <c r="N85"/>
      <c r="O85"/>
    </row>
    <row r="86" spans="1:16" x14ac:dyDescent="0.25">
      <c r="A86" s="17">
        <v>69</v>
      </c>
      <c r="B86" s="34" t="str">
        <f>IF(N(C86)=0,"",IF(ISNUMBER(MATCH(C86,C$26:C85,)),INDEX(B$26:B85,MATCH(C86,C$26:C85,)),MAX(B$26:B85)+1))</f>
        <v/>
      </c>
      <c r="C86" s="55"/>
      <c r="D86" s="7"/>
      <c r="E86" s="25" t="str">
        <f t="shared" si="3"/>
        <v/>
      </c>
      <c r="F86" s="25" t="str">
        <f t="shared" si="4"/>
        <v/>
      </c>
      <c r="G86" s="47">
        <f t="shared" si="5"/>
        <v>0</v>
      </c>
      <c r="H86" s="52"/>
      <c r="I86" s="19"/>
      <c r="J86" s="15"/>
      <c r="K86"/>
      <c r="L86"/>
      <c r="M86"/>
      <c r="N86"/>
      <c r="O86"/>
    </row>
    <row r="87" spans="1:16" x14ac:dyDescent="0.25">
      <c r="A87" s="17">
        <v>70</v>
      </c>
      <c r="B87" s="34" t="str">
        <f>IF(N(C87)=0,"",IF(ISNUMBER(MATCH(C87,C$26:C86,)),INDEX(B$26:B86,MATCH(C87,C$26:C86,)),MAX(B$26:B86)+1))</f>
        <v/>
      </c>
      <c r="C87" s="55"/>
      <c r="D87" s="7"/>
      <c r="E87" s="25" t="str">
        <f t="shared" si="3"/>
        <v/>
      </c>
      <c r="F87" s="25" t="str">
        <f t="shared" si="4"/>
        <v/>
      </c>
      <c r="G87" s="47">
        <f t="shared" si="5"/>
        <v>0</v>
      </c>
      <c r="H87" s="52"/>
      <c r="I87" s="19"/>
      <c r="J87" s="15"/>
      <c r="K87"/>
      <c r="L87"/>
      <c r="M87"/>
      <c r="N87"/>
      <c r="O87"/>
    </row>
    <row r="88" spans="1:16" x14ac:dyDescent="0.25">
      <c r="A88" s="17">
        <v>71</v>
      </c>
      <c r="B88" s="34" t="str">
        <f>IF(N(C88)=0,"",IF(ISNUMBER(MATCH(C88,C$26:C87,)),INDEX(B$26:B87,MATCH(C88,C$26:C87,)),MAX(B$26:B87)+1))</f>
        <v/>
      </c>
      <c r="C88" s="55"/>
      <c r="D88" s="7"/>
      <c r="E88" s="25" t="str">
        <f t="shared" si="3"/>
        <v/>
      </c>
      <c r="F88" s="25" t="str">
        <f t="shared" si="4"/>
        <v/>
      </c>
      <c r="G88" s="47">
        <f t="shared" si="5"/>
        <v>0</v>
      </c>
      <c r="H88" s="52"/>
      <c r="I88" s="19"/>
      <c r="J88" s="15"/>
      <c r="K88"/>
      <c r="L88"/>
      <c r="M88"/>
      <c r="N88"/>
      <c r="O88"/>
    </row>
    <row r="89" spans="1:16" x14ac:dyDescent="0.25">
      <c r="A89" s="17">
        <v>72</v>
      </c>
      <c r="B89" s="34" t="str">
        <f>IF(N(C89)=0,"",IF(ISNUMBER(MATCH(C89,C$26:C88,)),INDEX(B$26:B88,MATCH(C89,C$26:C88,)),MAX(B$26:B88)+1))</f>
        <v/>
      </c>
      <c r="C89" s="55"/>
      <c r="D89" s="7"/>
      <c r="E89" s="25" t="str">
        <f t="shared" si="3"/>
        <v/>
      </c>
      <c r="F89" s="25" t="str">
        <f t="shared" si="4"/>
        <v/>
      </c>
      <c r="G89" s="47">
        <f t="shared" si="5"/>
        <v>0</v>
      </c>
      <c r="H89" s="52"/>
      <c r="I89" s="19"/>
      <c r="J89" s="15"/>
      <c r="K89"/>
      <c r="L89"/>
      <c r="M89"/>
      <c r="N89"/>
      <c r="O89"/>
    </row>
    <row r="90" spans="1:16" x14ac:dyDescent="0.25">
      <c r="A90" s="17">
        <v>73</v>
      </c>
      <c r="B90" s="34" t="str">
        <f>IF(N(C90)=0,"",IF(ISNUMBER(MATCH(C90,C$26:C89,)),INDEX(B$26:B89,MATCH(C90,C$26:C89,)),MAX(B$26:B89)+1))</f>
        <v/>
      </c>
      <c r="C90" s="55"/>
      <c r="D90" s="7"/>
      <c r="E90" s="25" t="str">
        <f t="shared" ref="E90:E115" si="6">IF($K$3=0,0,IF(ISNA(VLOOKUP(C90,H$26:I$115,2,))*C90,D90,IF(C90="","",IF(D90="",TRUNC($C$3/C90)-VLOOKUP(C90,H$26:I$115,2,),D90-VLOOKUP(C90,H$26:I$115,2,)))))</f>
        <v/>
      </c>
      <c r="F90" s="25" t="str">
        <f t="shared" ref="F90:F115" si="7">IF($K$3=0,"",IF(AND(C90&lt;&gt;"",D90&lt;&gt;""),D90-E90,IF(D90="","",TRUNC($C$3/C90)-VLOOKUP(C90,H$26:I$115,2,))))</f>
        <v/>
      </c>
      <c r="G90" s="47">
        <f t="shared" si="5"/>
        <v>0</v>
      </c>
      <c r="H90" s="52"/>
      <c r="I90" s="19"/>
      <c r="J90" s="15"/>
      <c r="K90"/>
      <c r="L90"/>
      <c r="M90"/>
      <c r="N90"/>
      <c r="O90"/>
    </row>
    <row r="91" spans="1:16" x14ac:dyDescent="0.25">
      <c r="A91" s="17">
        <v>74</v>
      </c>
      <c r="B91" s="34" t="str">
        <f>IF(N(C91)=0,"",IF(ISNUMBER(MATCH(C91,C$26:C90,)),INDEX(B$26:B90,MATCH(C91,C$26:C90,)),MAX(B$26:B90)+1))</f>
        <v/>
      </c>
      <c r="C91" s="55"/>
      <c r="D91" s="7"/>
      <c r="E91" s="25" t="str">
        <f t="shared" si="6"/>
        <v/>
      </c>
      <c r="F91" s="25" t="str">
        <f t="shared" si="7"/>
        <v/>
      </c>
      <c r="G91" s="47">
        <f t="shared" ref="G91:G114" si="8">--(C91+H91+K91&gt;0)</f>
        <v>0</v>
      </c>
      <c r="H91" s="52"/>
      <c r="I91" s="19"/>
      <c r="J91" s="15"/>
      <c r="K91"/>
      <c r="L91"/>
      <c r="M91"/>
      <c r="N91"/>
      <c r="O91"/>
    </row>
    <row r="92" spans="1:16" x14ac:dyDescent="0.25">
      <c r="A92" s="17">
        <v>75</v>
      </c>
      <c r="B92" s="34" t="str">
        <f>IF(N(C92)=0,"",IF(ISNUMBER(MATCH(C92,C$26:C91,)),INDEX(B$26:B91,MATCH(C92,C$26:C91,)),MAX(B$26:B91)+1))</f>
        <v/>
      </c>
      <c r="C92" s="55"/>
      <c r="D92" s="7"/>
      <c r="E92" s="25" t="str">
        <f t="shared" si="6"/>
        <v/>
      </c>
      <c r="F92" s="25" t="str">
        <f t="shared" si="7"/>
        <v/>
      </c>
      <c r="G92" s="47">
        <f t="shared" si="8"/>
        <v>0</v>
      </c>
      <c r="H92" s="52"/>
      <c r="I92" s="19"/>
      <c r="J92" s="15"/>
      <c r="K92"/>
      <c r="L92"/>
      <c r="M92"/>
      <c r="N92"/>
      <c r="O92"/>
    </row>
    <row r="93" spans="1:16" x14ac:dyDescent="0.25">
      <c r="A93" s="17">
        <v>76</v>
      </c>
      <c r="B93" s="34" t="str">
        <f>IF(N(C93)=0,"",IF(ISNUMBER(MATCH(C93,C$26:C92,)),INDEX(B$26:B92,MATCH(C93,C$26:C92,)),MAX(B$26:B92)+1))</f>
        <v/>
      </c>
      <c r="C93" s="55"/>
      <c r="D93" s="7"/>
      <c r="E93" s="25" t="str">
        <f t="shared" si="6"/>
        <v/>
      </c>
      <c r="F93" s="25" t="str">
        <f t="shared" si="7"/>
        <v/>
      </c>
      <c r="G93" s="47">
        <f t="shared" si="8"/>
        <v>0</v>
      </c>
      <c r="H93" s="52"/>
      <c r="I93" s="19"/>
      <c r="J93" s="15"/>
      <c r="K93"/>
      <c r="L93"/>
      <c r="M93"/>
      <c r="N93"/>
      <c r="O93"/>
    </row>
    <row r="94" spans="1:16" x14ac:dyDescent="0.25">
      <c r="A94" s="17">
        <v>77</v>
      </c>
      <c r="B94" s="34" t="str">
        <f>IF(N(C94)=0,"",IF(ISNUMBER(MATCH(C94,C$26:C93,)),INDEX(B$26:B93,MATCH(C94,C$26:C93,)),MAX(B$26:B93)+1))</f>
        <v/>
      </c>
      <c r="C94" s="55"/>
      <c r="D94" s="7"/>
      <c r="E94" s="25" t="str">
        <f t="shared" si="6"/>
        <v/>
      </c>
      <c r="F94" s="25" t="str">
        <f t="shared" si="7"/>
        <v/>
      </c>
      <c r="G94" s="47">
        <f t="shared" si="8"/>
        <v>0</v>
      </c>
      <c r="H94" s="52"/>
      <c r="I94" s="19"/>
      <c r="J94" s="15"/>
      <c r="K94"/>
      <c r="L94"/>
      <c r="M94"/>
      <c r="N94"/>
      <c r="O94"/>
    </row>
    <row r="95" spans="1:16" x14ac:dyDescent="0.25">
      <c r="A95" s="17">
        <v>78</v>
      </c>
      <c r="B95" s="34" t="str">
        <f>IF(N(C95)=0,"",IF(ISNUMBER(MATCH(C95,C$26:C94,)),INDEX(B$26:B94,MATCH(C95,C$26:C94,)),MAX(B$26:B94)+1))</f>
        <v/>
      </c>
      <c r="C95" s="55"/>
      <c r="D95" s="7"/>
      <c r="E95" s="25" t="str">
        <f t="shared" si="6"/>
        <v/>
      </c>
      <c r="F95" s="25" t="str">
        <f t="shared" si="7"/>
        <v/>
      </c>
      <c r="G95" s="47">
        <f t="shared" si="8"/>
        <v>0</v>
      </c>
      <c r="H95" s="52"/>
      <c r="I95" s="19"/>
      <c r="J95" s="15"/>
      <c r="K95"/>
      <c r="L95"/>
      <c r="M95"/>
      <c r="N95"/>
      <c r="O95"/>
    </row>
    <row r="96" spans="1:16" x14ac:dyDescent="0.25">
      <c r="A96" s="17">
        <v>79</v>
      </c>
      <c r="B96" s="34" t="str">
        <f>IF(N(C96)=0,"",IF(ISNUMBER(MATCH(C96,C$26:C95,)),INDEX(B$26:B95,MATCH(C96,C$26:C95,)),MAX(B$26:B95)+1))</f>
        <v/>
      </c>
      <c r="C96" s="55"/>
      <c r="D96" s="7"/>
      <c r="E96" s="25" t="str">
        <f t="shared" si="6"/>
        <v/>
      </c>
      <c r="F96" s="25" t="str">
        <f t="shared" si="7"/>
        <v/>
      </c>
      <c r="G96" s="47">
        <f t="shared" si="8"/>
        <v>0</v>
      </c>
      <c r="H96" s="52"/>
      <c r="I96" s="19"/>
      <c r="J96" s="15"/>
      <c r="K96"/>
      <c r="L96"/>
      <c r="M96"/>
      <c r="N96"/>
      <c r="O96"/>
    </row>
    <row r="97" spans="1:15" x14ac:dyDescent="0.25">
      <c r="A97" s="17">
        <v>80</v>
      </c>
      <c r="B97" s="34" t="str">
        <f>IF(N(C97)=0,"",IF(ISNUMBER(MATCH(C97,C$26:C96,)),INDEX(B$26:B96,MATCH(C97,C$26:C96,)),MAX(B$26:B96)+1))</f>
        <v/>
      </c>
      <c r="C97" s="55"/>
      <c r="D97" s="7"/>
      <c r="E97" s="25" t="str">
        <f t="shared" si="6"/>
        <v/>
      </c>
      <c r="F97" s="25" t="str">
        <f t="shared" si="7"/>
        <v/>
      </c>
      <c r="G97" s="47">
        <f t="shared" si="8"/>
        <v>0</v>
      </c>
      <c r="H97" s="52"/>
      <c r="I97" s="19"/>
      <c r="J97" s="17" t="s">
        <v>15</v>
      </c>
      <c r="K97"/>
      <c r="L97"/>
      <c r="M97"/>
      <c r="N97"/>
      <c r="O97"/>
    </row>
    <row r="98" spans="1:15" x14ac:dyDescent="0.25">
      <c r="A98" s="17">
        <v>81</v>
      </c>
      <c r="B98" s="34" t="str">
        <f>IF(N(C98)=0,"",IF(ISNUMBER(MATCH(C98,C$26:C97,)),INDEX(B$26:B97,MATCH(C98,C$26:C97,)),MAX(B$26:B97)+1))</f>
        <v/>
      </c>
      <c r="C98" s="55"/>
      <c r="D98" s="7"/>
      <c r="E98" s="25" t="str">
        <f t="shared" si="6"/>
        <v/>
      </c>
      <c r="F98" s="25" t="str">
        <f t="shared" si="7"/>
        <v/>
      </c>
      <c r="G98" s="47">
        <f t="shared" si="8"/>
        <v>0</v>
      </c>
      <c r="H98" s="52"/>
      <c r="I98" s="19"/>
      <c r="J98" s="17" t="s">
        <v>16</v>
      </c>
      <c r="K98"/>
      <c r="L98"/>
      <c r="M98"/>
      <c r="N98"/>
      <c r="O98"/>
    </row>
    <row r="99" spans="1:15" x14ac:dyDescent="0.25">
      <c r="A99" s="17">
        <v>82</v>
      </c>
      <c r="B99" s="34" t="str">
        <f>IF(N(C99)=0,"",IF(ISNUMBER(MATCH(C99,C$26:C98,)),INDEX(B$26:B98,MATCH(C99,C$26:C98,)),MAX(B$26:B98)+1))</f>
        <v/>
      </c>
      <c r="C99" s="55"/>
      <c r="D99" s="7"/>
      <c r="E99" s="25" t="str">
        <f t="shared" si="6"/>
        <v/>
      </c>
      <c r="F99" s="25" t="str">
        <f t="shared" si="7"/>
        <v/>
      </c>
      <c r="G99" s="47">
        <f t="shared" si="8"/>
        <v>0</v>
      </c>
      <c r="H99" s="52"/>
      <c r="I99" s="19"/>
      <c r="J99" s="15"/>
      <c r="K99"/>
      <c r="L99"/>
      <c r="M99"/>
      <c r="N99"/>
      <c r="O99"/>
    </row>
    <row r="100" spans="1:15" x14ac:dyDescent="0.25">
      <c r="A100" s="17">
        <v>83</v>
      </c>
      <c r="B100" s="34" t="str">
        <f>IF(N(C100)=0,"",IF(ISNUMBER(MATCH(C100,C$26:C99,)),INDEX(B$26:B99,MATCH(C100,C$26:C99,)),MAX(B$26:B99)+1))</f>
        <v/>
      </c>
      <c r="C100" s="55"/>
      <c r="D100" s="7"/>
      <c r="E100" s="25" t="str">
        <f t="shared" si="6"/>
        <v/>
      </c>
      <c r="F100" s="25" t="str">
        <f t="shared" si="7"/>
        <v/>
      </c>
      <c r="G100" s="47">
        <f t="shared" si="8"/>
        <v>0</v>
      </c>
      <c r="H100" s="52"/>
      <c r="I100" s="19"/>
      <c r="J100" s="15"/>
      <c r="K100"/>
      <c r="L100"/>
      <c r="M100"/>
      <c r="N100"/>
      <c r="O100"/>
    </row>
    <row r="101" spans="1:15" x14ac:dyDescent="0.25">
      <c r="A101" s="17">
        <v>84</v>
      </c>
      <c r="B101" s="34" t="str">
        <f>IF(N(C101)=0,"",IF(ISNUMBER(MATCH(C101,C$26:C100,)),INDEX(B$26:B100,MATCH(C101,C$26:C100,)),MAX(B$26:B100)+1))</f>
        <v/>
      </c>
      <c r="C101" s="55"/>
      <c r="D101" s="7"/>
      <c r="E101" s="25" t="str">
        <f t="shared" si="6"/>
        <v/>
      </c>
      <c r="F101" s="25" t="str">
        <f t="shared" si="7"/>
        <v/>
      </c>
      <c r="G101" s="47">
        <f t="shared" si="8"/>
        <v>0</v>
      </c>
      <c r="H101" s="52"/>
      <c r="I101" s="19"/>
      <c r="J101" s="15"/>
      <c r="K101"/>
      <c r="L101"/>
      <c r="M101"/>
      <c r="N101"/>
      <c r="O101"/>
    </row>
    <row r="102" spans="1:15" x14ac:dyDescent="0.25">
      <c r="A102" s="17">
        <v>85</v>
      </c>
      <c r="B102" s="34" t="str">
        <f>IF(N(C102)=0,"",IF(ISNUMBER(MATCH(C102,C$26:C101,)),INDEX(B$26:B101,MATCH(C102,C$26:C101,)),MAX(B$26:B101)+1))</f>
        <v/>
      </c>
      <c r="C102" s="55"/>
      <c r="D102" s="7"/>
      <c r="E102" s="25" t="str">
        <f t="shared" si="6"/>
        <v/>
      </c>
      <c r="F102" s="25" t="str">
        <f t="shared" si="7"/>
        <v/>
      </c>
      <c r="G102" s="47">
        <f t="shared" si="8"/>
        <v>0</v>
      </c>
      <c r="H102" s="52"/>
      <c r="I102" s="19"/>
      <c r="J102" s="15"/>
      <c r="K102"/>
      <c r="L102"/>
      <c r="M102"/>
      <c r="N102"/>
      <c r="O102"/>
    </row>
    <row r="103" spans="1:15" x14ac:dyDescent="0.25">
      <c r="A103" s="17">
        <v>86</v>
      </c>
      <c r="B103" s="34" t="str">
        <f>IF(N(C103)=0,"",IF(ISNUMBER(MATCH(C103,C$26:C102,)),INDEX(B$26:B102,MATCH(C103,C$26:C102,)),MAX(B$26:B102)+1))</f>
        <v/>
      </c>
      <c r="C103" s="55"/>
      <c r="D103" s="7"/>
      <c r="E103" s="25" t="str">
        <f t="shared" si="6"/>
        <v/>
      </c>
      <c r="F103" s="25" t="str">
        <f t="shared" si="7"/>
        <v/>
      </c>
      <c r="G103" s="47">
        <f t="shared" si="8"/>
        <v>0</v>
      </c>
      <c r="H103" s="52"/>
      <c r="I103" s="19"/>
      <c r="J103" s="15"/>
      <c r="K103"/>
      <c r="L103"/>
      <c r="M103"/>
      <c r="N103"/>
      <c r="O103"/>
    </row>
    <row r="104" spans="1:15" x14ac:dyDescent="0.25">
      <c r="A104" s="17">
        <v>87</v>
      </c>
      <c r="B104" s="34" t="str">
        <f>IF(N(C104)=0,"",IF(ISNUMBER(MATCH(C104,C$26:C103,)),INDEX(B$26:B103,MATCH(C104,C$26:C103,)),MAX(B$26:B103)+1))</f>
        <v/>
      </c>
      <c r="C104" s="55"/>
      <c r="D104" s="7"/>
      <c r="E104" s="25" t="str">
        <f t="shared" si="6"/>
        <v/>
      </c>
      <c r="F104" s="25" t="str">
        <f t="shared" si="7"/>
        <v/>
      </c>
      <c r="G104" s="47">
        <f t="shared" si="8"/>
        <v>0</v>
      </c>
      <c r="H104" s="52"/>
      <c r="I104" s="19"/>
      <c r="K104"/>
      <c r="L104"/>
      <c r="M104"/>
      <c r="N104"/>
      <c r="O104"/>
    </row>
    <row r="105" spans="1:15" x14ac:dyDescent="0.25">
      <c r="A105" s="17">
        <v>88</v>
      </c>
      <c r="B105" s="34" t="str">
        <f>IF(N(C105)=0,"",IF(ISNUMBER(MATCH(C105,C$26:C104,)),INDEX(B$26:B104,MATCH(C105,C$26:C104,)),MAX(B$26:B104)+1))</f>
        <v/>
      </c>
      <c r="C105" s="55"/>
      <c r="D105" s="7"/>
      <c r="E105" s="25" t="str">
        <f t="shared" si="6"/>
        <v/>
      </c>
      <c r="F105" s="25" t="str">
        <f t="shared" si="7"/>
        <v/>
      </c>
      <c r="G105" s="47">
        <f t="shared" si="8"/>
        <v>0</v>
      </c>
      <c r="H105" s="52"/>
      <c r="I105" s="19"/>
      <c r="K105"/>
      <c r="L105"/>
      <c r="M105"/>
      <c r="N105"/>
      <c r="O105"/>
    </row>
    <row r="106" spans="1:15" x14ac:dyDescent="0.25">
      <c r="A106" s="17">
        <v>89</v>
      </c>
      <c r="B106" s="34" t="str">
        <f>IF(N(C106)=0,"",IF(ISNUMBER(MATCH(C106,C$26:C105,)),INDEX(B$26:B105,MATCH(C106,C$26:C105,)),MAX(B$26:B105)+1))</f>
        <v/>
      </c>
      <c r="C106" s="55"/>
      <c r="D106" s="7"/>
      <c r="E106" s="25" t="str">
        <f t="shared" si="6"/>
        <v/>
      </c>
      <c r="F106" s="25" t="str">
        <f t="shared" si="7"/>
        <v/>
      </c>
      <c r="G106" s="47">
        <f t="shared" si="8"/>
        <v>0</v>
      </c>
      <c r="H106" s="52"/>
      <c r="I106" s="19"/>
      <c r="K106"/>
      <c r="L106"/>
      <c r="M106"/>
      <c r="N106"/>
      <c r="O106"/>
    </row>
    <row r="107" spans="1:15" x14ac:dyDescent="0.25">
      <c r="A107" s="17">
        <v>90</v>
      </c>
      <c r="B107" s="34" t="str">
        <f>IF(N(C107)=0,"",IF(ISNUMBER(MATCH(C107,C$26:C106,)),INDEX(B$26:B106,MATCH(C107,C$26:C106,)),MAX(B$26:B106)+1))</f>
        <v/>
      </c>
      <c r="C107" s="55"/>
      <c r="D107" s="7"/>
      <c r="E107" s="25" t="str">
        <f t="shared" si="6"/>
        <v/>
      </c>
      <c r="F107" s="25" t="str">
        <f t="shared" si="7"/>
        <v/>
      </c>
      <c r="G107" s="47">
        <f t="shared" si="8"/>
        <v>0</v>
      </c>
      <c r="H107" s="52"/>
      <c r="I107" s="19"/>
      <c r="K107"/>
      <c r="L107"/>
      <c r="M107"/>
      <c r="N107"/>
      <c r="O107"/>
    </row>
    <row r="108" spans="1:15" x14ac:dyDescent="0.25">
      <c r="A108" s="17">
        <v>91</v>
      </c>
      <c r="B108" s="34" t="str">
        <f>IF(N(C108)=0,"",IF(ISNUMBER(MATCH(C108,C$26:C107,)),INDEX(B$26:B107,MATCH(C108,C$26:C107,)),MAX(B$26:B107)+1))</f>
        <v/>
      </c>
      <c r="C108" s="55"/>
      <c r="D108" s="7"/>
      <c r="E108" s="25" t="str">
        <f t="shared" si="6"/>
        <v/>
      </c>
      <c r="F108" s="25" t="str">
        <f t="shared" si="7"/>
        <v/>
      </c>
      <c r="G108" s="47">
        <f t="shared" si="8"/>
        <v>0</v>
      </c>
      <c r="H108" s="52"/>
      <c r="I108" s="19"/>
      <c r="K108"/>
      <c r="L108"/>
      <c r="M108"/>
      <c r="N108"/>
      <c r="O108"/>
    </row>
    <row r="109" spans="1:15" x14ac:dyDescent="0.25">
      <c r="A109" s="17">
        <v>92</v>
      </c>
      <c r="B109" s="34" t="str">
        <f>IF(N(C109)=0,"",IF(ISNUMBER(MATCH(C109,C$26:C108,)),INDEX(B$26:B108,MATCH(C109,C$26:C108,)),MAX(B$26:B108)+1))</f>
        <v/>
      </c>
      <c r="C109" s="55"/>
      <c r="D109" s="7"/>
      <c r="E109" s="25" t="str">
        <f t="shared" si="6"/>
        <v/>
      </c>
      <c r="F109" s="25" t="str">
        <f t="shared" si="7"/>
        <v/>
      </c>
      <c r="G109" s="47">
        <f t="shared" si="8"/>
        <v>0</v>
      </c>
      <c r="H109" s="52"/>
      <c r="I109" s="19"/>
      <c r="K109"/>
      <c r="L109"/>
      <c r="M109"/>
      <c r="N109"/>
      <c r="O109"/>
    </row>
    <row r="110" spans="1:15" x14ac:dyDescent="0.25">
      <c r="A110" s="17">
        <v>93</v>
      </c>
      <c r="B110" s="34" t="str">
        <f>IF(N(C110)=0,"",IF(ISNUMBER(MATCH(C110,C$26:C109,)),INDEX(B$26:B109,MATCH(C110,C$26:C109,)),MAX(B$26:B109)+1))</f>
        <v/>
      </c>
      <c r="C110" s="55"/>
      <c r="D110" s="7"/>
      <c r="E110" s="25" t="str">
        <f t="shared" si="6"/>
        <v/>
      </c>
      <c r="F110" s="25" t="str">
        <f t="shared" si="7"/>
        <v/>
      </c>
      <c r="G110" s="47">
        <f t="shared" si="8"/>
        <v>0</v>
      </c>
      <c r="H110" s="52"/>
      <c r="I110" s="19"/>
      <c r="K110"/>
      <c r="L110"/>
      <c r="M110"/>
      <c r="N110"/>
      <c r="O110"/>
    </row>
    <row r="111" spans="1:15" x14ac:dyDescent="0.25">
      <c r="A111" s="17">
        <v>94</v>
      </c>
      <c r="B111" s="34" t="str">
        <f>IF(N(C111)=0,"",IF(ISNUMBER(MATCH(C111,C$26:C110,)),INDEX(B$26:B110,MATCH(C111,C$26:C110,)),MAX(B$26:B110)+1))</f>
        <v/>
      </c>
      <c r="C111" s="55"/>
      <c r="D111" s="7"/>
      <c r="E111" s="25" t="str">
        <f t="shared" si="6"/>
        <v/>
      </c>
      <c r="F111" s="25" t="str">
        <f t="shared" si="7"/>
        <v/>
      </c>
      <c r="G111" s="47">
        <f t="shared" si="8"/>
        <v>0</v>
      </c>
      <c r="H111" s="52"/>
      <c r="I111" s="19"/>
      <c r="K111"/>
      <c r="L111"/>
      <c r="M111"/>
      <c r="N111"/>
      <c r="O111"/>
    </row>
    <row r="112" spans="1:15" x14ac:dyDescent="0.25">
      <c r="A112" s="17">
        <v>95</v>
      </c>
      <c r="B112" s="34" t="str">
        <f>IF(N(C112)=0,"",IF(ISNUMBER(MATCH(C112,C$26:C111,)),INDEX(B$26:B111,MATCH(C112,C$26:C111,)),MAX(B$26:B111)+1))</f>
        <v/>
      </c>
      <c r="C112" s="55"/>
      <c r="D112" s="7"/>
      <c r="E112" s="25" t="str">
        <f t="shared" si="6"/>
        <v/>
      </c>
      <c r="F112" s="25" t="str">
        <f t="shared" si="7"/>
        <v/>
      </c>
      <c r="G112" s="47">
        <f t="shared" si="8"/>
        <v>0</v>
      </c>
      <c r="H112" s="52"/>
      <c r="I112" s="19"/>
      <c r="K112"/>
      <c r="L112"/>
      <c r="M112"/>
      <c r="N112"/>
      <c r="O112"/>
    </row>
    <row r="113" spans="1:15" x14ac:dyDescent="0.25">
      <c r="A113" s="17">
        <v>96</v>
      </c>
      <c r="B113" s="34" t="str">
        <f>IF(N(C113)=0,"",IF(ISNUMBER(MATCH(C113,C$26:C112,)),INDEX(B$26:B112,MATCH(C113,C$26:C112,)),MAX(B$26:B112)+1))</f>
        <v/>
      </c>
      <c r="C113" s="55"/>
      <c r="D113" s="7"/>
      <c r="E113" s="25" t="str">
        <f t="shared" si="6"/>
        <v/>
      </c>
      <c r="F113" s="25" t="str">
        <f t="shared" si="7"/>
        <v/>
      </c>
      <c r="G113" s="47">
        <f t="shared" si="8"/>
        <v>0</v>
      </c>
      <c r="H113" s="52"/>
      <c r="I113" s="19"/>
      <c r="K113"/>
      <c r="L113"/>
      <c r="M113"/>
      <c r="N113"/>
      <c r="O113"/>
    </row>
    <row r="114" spans="1:15" x14ac:dyDescent="0.25">
      <c r="A114" s="17">
        <v>97</v>
      </c>
      <c r="B114" s="34" t="str">
        <f>IF(N(C114)=0,"",IF(ISNUMBER(MATCH(C114,C$26:C113,)),INDEX(B$26:B113,MATCH(C114,C$26:C113,)),MAX(B$26:B113)+1))</f>
        <v/>
      </c>
      <c r="C114" s="55"/>
      <c r="D114" s="7"/>
      <c r="E114" s="25" t="str">
        <f t="shared" si="6"/>
        <v/>
      </c>
      <c r="F114" s="25" t="str">
        <f t="shared" si="7"/>
        <v/>
      </c>
      <c r="G114" s="47">
        <f t="shared" si="8"/>
        <v>0</v>
      </c>
      <c r="H114" s="52"/>
      <c r="I114" s="19"/>
      <c r="K114"/>
      <c r="L114"/>
      <c r="M114"/>
      <c r="N114"/>
      <c r="O114"/>
    </row>
    <row r="115" spans="1:15" x14ac:dyDescent="0.25">
      <c r="A115" s="17">
        <v>98</v>
      </c>
      <c r="B115" s="35" t="str">
        <f>IF(N(C115)=0,"",IF(ISNUMBER(MATCH(C115,C$26:C114,)),INDEX(B$26:B114,MATCH(C115,C$26:C114,)),MAX(B$26:B114)+1))</f>
        <v/>
      </c>
      <c r="C115" s="56"/>
      <c r="D115" s="8"/>
      <c r="E115" s="26" t="str">
        <f t="shared" si="6"/>
        <v/>
      </c>
      <c r="F115" s="26" t="str">
        <f t="shared" si="7"/>
        <v/>
      </c>
      <c r="G115" s="47">
        <v>1</v>
      </c>
      <c r="H115" s="53"/>
      <c r="I115" s="20"/>
      <c r="K115"/>
      <c r="L115"/>
      <c r="M115"/>
      <c r="N115"/>
      <c r="O115"/>
    </row>
    <row r="116" spans="1:15" x14ac:dyDescent="0.25">
      <c r="K116"/>
      <c r="L116"/>
      <c r="M116"/>
      <c r="N116"/>
      <c r="O116"/>
    </row>
    <row r="117" spans="1:15" x14ac:dyDescent="0.25">
      <c r="K117"/>
      <c r="L117"/>
      <c r="M117"/>
      <c r="N117"/>
      <c r="O117"/>
    </row>
    <row r="118" spans="1:15" x14ac:dyDescent="0.25">
      <c r="K118"/>
      <c r="L118"/>
      <c r="M118"/>
      <c r="N118"/>
      <c r="O118"/>
    </row>
    <row r="119" spans="1:15" x14ac:dyDescent="0.25">
      <c r="K119"/>
      <c r="L119"/>
      <c r="M119"/>
      <c r="N119"/>
      <c r="O119"/>
    </row>
    <row r="120" spans="1:15" x14ac:dyDescent="0.25">
      <c r="K120"/>
      <c r="L120"/>
      <c r="M120"/>
      <c r="N120"/>
      <c r="O120"/>
    </row>
    <row r="121" spans="1:15" x14ac:dyDescent="0.25">
      <c r="K121"/>
      <c r="L121"/>
      <c r="M121"/>
      <c r="N121"/>
      <c r="O121"/>
    </row>
    <row r="122" spans="1:15" x14ac:dyDescent="0.25">
      <c r="K122"/>
      <c r="L122"/>
      <c r="M122"/>
      <c r="N122"/>
      <c r="O122"/>
    </row>
    <row r="123" spans="1:15" x14ac:dyDescent="0.25">
      <c r="K123"/>
      <c r="L123"/>
      <c r="M123"/>
      <c r="N123"/>
      <c r="O123"/>
    </row>
    <row r="124" spans="1:15" x14ac:dyDescent="0.25">
      <c r="K124"/>
      <c r="L124"/>
      <c r="M124"/>
      <c r="N124"/>
      <c r="O124"/>
    </row>
    <row r="125" spans="1:15" x14ac:dyDescent="0.25">
      <c r="K125"/>
      <c r="L125"/>
      <c r="M125"/>
      <c r="N125"/>
      <c r="O125"/>
    </row>
    <row r="126" spans="1:15" x14ac:dyDescent="0.25">
      <c r="K126"/>
      <c r="L126"/>
      <c r="M126"/>
      <c r="N126"/>
      <c r="O126"/>
    </row>
    <row r="127" spans="1:15" x14ac:dyDescent="0.25">
      <c r="K127"/>
      <c r="L127"/>
      <c r="M127"/>
      <c r="N127"/>
      <c r="O127"/>
    </row>
    <row r="128" spans="1:15" x14ac:dyDescent="0.25">
      <c r="K128"/>
      <c r="L128"/>
      <c r="M128"/>
      <c r="N128"/>
      <c r="O128"/>
    </row>
    <row r="129" spans="11:15" x14ac:dyDescent="0.25">
      <c r="K129"/>
      <c r="L129"/>
      <c r="M129"/>
      <c r="N129"/>
      <c r="O129"/>
    </row>
    <row r="130" spans="11:15" x14ac:dyDescent="0.25">
      <c r="K130"/>
      <c r="L130"/>
      <c r="M130"/>
      <c r="N130"/>
      <c r="O130"/>
    </row>
    <row r="131" spans="11:15" x14ac:dyDescent="0.25">
      <c r="K131"/>
      <c r="L131"/>
      <c r="M131"/>
      <c r="N131"/>
      <c r="O131"/>
    </row>
    <row r="132" spans="11:15" x14ac:dyDescent="0.25">
      <c r="K132"/>
      <c r="L132"/>
      <c r="M132"/>
      <c r="N132"/>
      <c r="O132"/>
    </row>
    <row r="133" spans="11:15" x14ac:dyDescent="0.25">
      <c r="K133"/>
      <c r="L133"/>
      <c r="M133"/>
      <c r="N133"/>
      <c r="O133"/>
    </row>
    <row r="134" spans="11:15" x14ac:dyDescent="0.25">
      <c r="K134"/>
      <c r="L134"/>
      <c r="M134"/>
      <c r="N134"/>
      <c r="O134"/>
    </row>
    <row r="135" spans="11:15" x14ac:dyDescent="0.25">
      <c r="K135"/>
      <c r="L135"/>
      <c r="M135"/>
      <c r="N135"/>
      <c r="O135"/>
    </row>
    <row r="136" spans="11:15" x14ac:dyDescent="0.25">
      <c r="K136"/>
      <c r="L136"/>
      <c r="M136"/>
      <c r="N136"/>
      <c r="O136"/>
    </row>
    <row r="137" spans="11:15" x14ac:dyDescent="0.25">
      <c r="K137"/>
      <c r="L137"/>
      <c r="M137"/>
      <c r="N137"/>
      <c r="O137"/>
    </row>
    <row r="138" spans="11:15" x14ac:dyDescent="0.25">
      <c r="K138"/>
      <c r="L138"/>
      <c r="M138"/>
      <c r="N138"/>
      <c r="O138"/>
    </row>
    <row r="139" spans="11:15" x14ac:dyDescent="0.25">
      <c r="K139"/>
      <c r="L139"/>
      <c r="M139"/>
      <c r="N139"/>
      <c r="O139"/>
    </row>
    <row r="140" spans="11:15" x14ac:dyDescent="0.25">
      <c r="K140"/>
      <c r="L140"/>
      <c r="M140"/>
      <c r="N140"/>
      <c r="O140"/>
    </row>
    <row r="141" spans="11:15" x14ac:dyDescent="0.25">
      <c r="K141"/>
      <c r="L141"/>
      <c r="M141"/>
      <c r="N141"/>
      <c r="O141"/>
    </row>
    <row r="142" spans="11:15" x14ac:dyDescent="0.25">
      <c r="K142"/>
      <c r="L142"/>
      <c r="M142"/>
      <c r="N142"/>
      <c r="O142"/>
    </row>
    <row r="143" spans="11:15" x14ac:dyDescent="0.25">
      <c r="K143"/>
      <c r="L143"/>
      <c r="M143"/>
      <c r="N143"/>
      <c r="O143"/>
    </row>
    <row r="144" spans="11:15" x14ac:dyDescent="0.25">
      <c r="K144"/>
      <c r="L144"/>
      <c r="M144"/>
      <c r="N144"/>
      <c r="O144"/>
    </row>
    <row r="145" spans="11:15" x14ac:dyDescent="0.25">
      <c r="K145"/>
      <c r="L145"/>
      <c r="M145"/>
      <c r="N145"/>
      <c r="O145"/>
    </row>
    <row r="146" spans="11:15" x14ac:dyDescent="0.25">
      <c r="K146"/>
      <c r="L146"/>
      <c r="M146"/>
      <c r="N146"/>
      <c r="O146"/>
    </row>
    <row r="147" spans="11:15" x14ac:dyDescent="0.25">
      <c r="K147"/>
      <c r="L147"/>
      <c r="M147"/>
      <c r="N147"/>
      <c r="O147"/>
    </row>
    <row r="148" spans="11:15" x14ac:dyDescent="0.25">
      <c r="K148"/>
      <c r="L148"/>
      <c r="M148"/>
      <c r="N148"/>
      <c r="O148"/>
    </row>
    <row r="149" spans="11:15" x14ac:dyDescent="0.25">
      <c r="K149"/>
      <c r="L149"/>
      <c r="M149"/>
      <c r="N149"/>
      <c r="O149"/>
    </row>
    <row r="150" spans="11:15" x14ac:dyDescent="0.25">
      <c r="K150"/>
      <c r="L150"/>
      <c r="M150"/>
      <c r="N150"/>
      <c r="O150"/>
    </row>
    <row r="151" spans="11:15" x14ac:dyDescent="0.25">
      <c r="K151"/>
      <c r="L151"/>
      <c r="M151"/>
      <c r="N151"/>
      <c r="O151"/>
    </row>
    <row r="152" spans="11:15" x14ac:dyDescent="0.25">
      <c r="K152"/>
      <c r="L152"/>
      <c r="M152"/>
      <c r="N152"/>
      <c r="O152"/>
    </row>
    <row r="153" spans="11:15" x14ac:dyDescent="0.25">
      <c r="K153"/>
      <c r="L153"/>
      <c r="M153"/>
      <c r="N153"/>
      <c r="O153"/>
    </row>
    <row r="154" spans="11:15" x14ac:dyDescent="0.25">
      <c r="K154"/>
      <c r="L154"/>
      <c r="M154"/>
      <c r="N154"/>
      <c r="O154"/>
    </row>
    <row r="155" spans="11:15" x14ac:dyDescent="0.25">
      <c r="K155"/>
      <c r="L155"/>
      <c r="M155"/>
      <c r="N155"/>
      <c r="O155"/>
    </row>
    <row r="156" spans="11:15" x14ac:dyDescent="0.25">
      <c r="K156"/>
      <c r="L156"/>
      <c r="M156"/>
      <c r="N156"/>
      <c r="O156"/>
    </row>
    <row r="157" spans="11:15" x14ac:dyDescent="0.25">
      <c r="K157"/>
      <c r="L157"/>
      <c r="M157"/>
      <c r="N157"/>
      <c r="O157"/>
    </row>
    <row r="158" spans="11:15" x14ac:dyDescent="0.25">
      <c r="K158"/>
      <c r="L158"/>
      <c r="M158"/>
      <c r="N158"/>
      <c r="O158"/>
    </row>
    <row r="159" spans="11:15" x14ac:dyDescent="0.25">
      <c r="K159"/>
      <c r="L159"/>
      <c r="M159"/>
      <c r="N159"/>
      <c r="O159"/>
    </row>
    <row r="160" spans="11:15" x14ac:dyDescent="0.25">
      <c r="K160"/>
      <c r="L160"/>
      <c r="M160"/>
      <c r="N160"/>
      <c r="O160"/>
    </row>
    <row r="161" spans="11:15" x14ac:dyDescent="0.25">
      <c r="K161"/>
      <c r="L161"/>
      <c r="M161"/>
      <c r="N161"/>
      <c r="O161"/>
    </row>
    <row r="162" spans="11:15" x14ac:dyDescent="0.25">
      <c r="K162"/>
      <c r="L162"/>
      <c r="M162"/>
      <c r="N162"/>
      <c r="O162"/>
    </row>
    <row r="163" spans="11:15" x14ac:dyDescent="0.25">
      <c r="K163"/>
      <c r="L163"/>
      <c r="M163"/>
      <c r="N163"/>
      <c r="O163"/>
    </row>
    <row r="164" spans="11:15" x14ac:dyDescent="0.25">
      <c r="K164"/>
      <c r="L164"/>
      <c r="M164"/>
      <c r="N164"/>
      <c r="O164"/>
    </row>
    <row r="165" spans="11:15" x14ac:dyDescent="0.25">
      <c r="K165"/>
      <c r="L165"/>
      <c r="M165"/>
      <c r="N165"/>
      <c r="O165"/>
    </row>
    <row r="166" spans="11:15" x14ac:dyDescent="0.25">
      <c r="K166"/>
      <c r="L166"/>
      <c r="M166"/>
      <c r="N166"/>
      <c r="O166"/>
    </row>
    <row r="167" spans="11:15" x14ac:dyDescent="0.25">
      <c r="K167"/>
      <c r="L167"/>
      <c r="M167"/>
      <c r="N167"/>
      <c r="O167"/>
    </row>
    <row r="168" spans="11:15" x14ac:dyDescent="0.25">
      <c r="K168"/>
      <c r="L168"/>
      <c r="M168"/>
      <c r="N168"/>
      <c r="O168"/>
    </row>
    <row r="169" spans="11:15" x14ac:dyDescent="0.25">
      <c r="K169"/>
      <c r="L169"/>
      <c r="M169"/>
      <c r="N169"/>
      <c r="O169"/>
    </row>
    <row r="170" spans="11:15" x14ac:dyDescent="0.25">
      <c r="K170"/>
      <c r="L170"/>
      <c r="M170"/>
      <c r="N170"/>
      <c r="O170"/>
    </row>
    <row r="171" spans="11:15" x14ac:dyDescent="0.25">
      <c r="K171"/>
      <c r="L171"/>
      <c r="M171"/>
      <c r="N171"/>
      <c r="O171"/>
    </row>
    <row r="172" spans="11:15" x14ac:dyDescent="0.25">
      <c r="K172"/>
      <c r="L172"/>
      <c r="M172"/>
      <c r="N172"/>
      <c r="O172"/>
    </row>
    <row r="173" spans="11:15" x14ac:dyDescent="0.25">
      <c r="K173"/>
      <c r="L173"/>
      <c r="M173"/>
      <c r="N173"/>
      <c r="O173"/>
    </row>
    <row r="174" spans="11:15" x14ac:dyDescent="0.25">
      <c r="K174"/>
      <c r="L174"/>
      <c r="M174"/>
      <c r="N174"/>
      <c r="O174"/>
    </row>
    <row r="175" spans="11:15" x14ac:dyDescent="0.25">
      <c r="K175"/>
      <c r="L175"/>
      <c r="M175"/>
      <c r="N175"/>
      <c r="O175"/>
    </row>
    <row r="176" spans="11:15" x14ac:dyDescent="0.25">
      <c r="K176"/>
      <c r="L176"/>
      <c r="M176"/>
      <c r="N176"/>
      <c r="O176"/>
    </row>
    <row r="177" spans="11:15" x14ac:dyDescent="0.25">
      <c r="K177"/>
      <c r="L177"/>
      <c r="M177"/>
      <c r="N177"/>
      <c r="O177"/>
    </row>
    <row r="178" spans="11:15" x14ac:dyDescent="0.25">
      <c r="K178"/>
      <c r="L178"/>
      <c r="M178"/>
      <c r="N178"/>
      <c r="O178"/>
    </row>
    <row r="179" spans="11:15" x14ac:dyDescent="0.25">
      <c r="K179"/>
      <c r="L179"/>
      <c r="M179"/>
      <c r="N179"/>
      <c r="O179"/>
    </row>
    <row r="180" spans="11:15" x14ac:dyDescent="0.25">
      <c r="K180"/>
      <c r="L180"/>
      <c r="M180"/>
      <c r="N180"/>
      <c r="O180"/>
    </row>
    <row r="181" spans="11:15" x14ac:dyDescent="0.25">
      <c r="K181"/>
      <c r="L181"/>
      <c r="M181"/>
      <c r="N181"/>
      <c r="O181"/>
    </row>
    <row r="182" spans="11:15" x14ac:dyDescent="0.25">
      <c r="K182"/>
      <c r="L182"/>
      <c r="M182"/>
      <c r="N182"/>
      <c r="O182"/>
    </row>
    <row r="183" spans="11:15" x14ac:dyDescent="0.25">
      <c r="K183"/>
      <c r="L183"/>
      <c r="M183"/>
      <c r="N183"/>
      <c r="O183"/>
    </row>
    <row r="184" spans="11:15" x14ac:dyDescent="0.25">
      <c r="K184"/>
      <c r="L184"/>
      <c r="M184"/>
      <c r="N184"/>
      <c r="O184"/>
    </row>
    <row r="185" spans="11:15" x14ac:dyDescent="0.25">
      <c r="K185"/>
      <c r="L185"/>
      <c r="M185"/>
      <c r="N185"/>
      <c r="O185"/>
    </row>
    <row r="186" spans="11:15" x14ac:dyDescent="0.25">
      <c r="K186"/>
      <c r="L186"/>
      <c r="M186"/>
      <c r="N186"/>
      <c r="O186"/>
    </row>
    <row r="187" spans="11:15" x14ac:dyDescent="0.25">
      <c r="K187"/>
      <c r="L187"/>
      <c r="M187"/>
      <c r="N187"/>
      <c r="O187"/>
    </row>
    <row r="188" spans="11:15" x14ac:dyDescent="0.25">
      <c r="K188"/>
      <c r="L188"/>
      <c r="M188"/>
      <c r="N188"/>
      <c r="O188"/>
    </row>
    <row r="189" spans="11:15" x14ac:dyDescent="0.25">
      <c r="K189"/>
      <c r="L189"/>
      <c r="M189"/>
      <c r="N189"/>
      <c r="O189"/>
    </row>
    <row r="190" spans="11:15" x14ac:dyDescent="0.25">
      <c r="K190"/>
      <c r="L190"/>
      <c r="M190"/>
      <c r="N190"/>
      <c r="O190"/>
    </row>
    <row r="191" spans="11:15" x14ac:dyDescent="0.25">
      <c r="K191"/>
      <c r="L191"/>
      <c r="M191"/>
      <c r="N191"/>
      <c r="O191"/>
    </row>
    <row r="192" spans="11:15" x14ac:dyDescent="0.25">
      <c r="K192"/>
      <c r="L192"/>
      <c r="M192"/>
      <c r="N192"/>
      <c r="O192"/>
    </row>
    <row r="193" spans="11:15" x14ac:dyDescent="0.25">
      <c r="K193"/>
      <c r="L193"/>
      <c r="M193"/>
      <c r="N193"/>
      <c r="O193"/>
    </row>
    <row r="194" spans="11:15" x14ac:dyDescent="0.25">
      <c r="K194"/>
      <c r="L194"/>
      <c r="M194"/>
      <c r="N194"/>
      <c r="O194"/>
    </row>
    <row r="195" spans="11:15" x14ac:dyDescent="0.25">
      <c r="K195"/>
      <c r="L195"/>
      <c r="M195"/>
      <c r="N195"/>
      <c r="O195"/>
    </row>
    <row r="196" spans="11:15" x14ac:dyDescent="0.25">
      <c r="K196"/>
      <c r="L196"/>
      <c r="M196"/>
      <c r="N196"/>
      <c r="O196"/>
    </row>
    <row r="197" spans="11:15" x14ac:dyDescent="0.25">
      <c r="K197"/>
      <c r="L197"/>
      <c r="M197"/>
      <c r="N197"/>
      <c r="O197"/>
    </row>
    <row r="198" spans="11:15" x14ac:dyDescent="0.25">
      <c r="K198"/>
      <c r="L198"/>
      <c r="M198"/>
      <c r="N198"/>
      <c r="O198"/>
    </row>
    <row r="199" spans="11:15" x14ac:dyDescent="0.25">
      <c r="K199"/>
      <c r="L199"/>
      <c r="M199"/>
      <c r="N199"/>
      <c r="O199"/>
    </row>
    <row r="200" spans="11:15" x14ac:dyDescent="0.25">
      <c r="K200"/>
      <c r="L200"/>
      <c r="M200"/>
      <c r="N200"/>
      <c r="O200"/>
    </row>
    <row r="201" spans="11:15" x14ac:dyDescent="0.25">
      <c r="K201"/>
      <c r="L201"/>
      <c r="M201"/>
      <c r="N201"/>
      <c r="O201"/>
    </row>
    <row r="202" spans="11:15" x14ac:dyDescent="0.25">
      <c r="K202"/>
      <c r="L202"/>
      <c r="M202"/>
      <c r="N202"/>
      <c r="O202"/>
    </row>
    <row r="203" spans="11:15" x14ac:dyDescent="0.25">
      <c r="K203"/>
      <c r="L203"/>
      <c r="M203"/>
      <c r="N203"/>
      <c r="O203"/>
    </row>
    <row r="204" spans="11:15" x14ac:dyDescent="0.25">
      <c r="K204"/>
      <c r="L204"/>
      <c r="M204"/>
      <c r="N204"/>
      <c r="O204"/>
    </row>
    <row r="205" spans="11:15" x14ac:dyDescent="0.25">
      <c r="K205"/>
      <c r="L205"/>
      <c r="M205"/>
      <c r="N205"/>
      <c r="O205"/>
    </row>
    <row r="206" spans="11:15" x14ac:dyDescent="0.25">
      <c r="K206"/>
      <c r="L206"/>
      <c r="M206"/>
      <c r="N206"/>
      <c r="O206"/>
    </row>
    <row r="207" spans="11:15" x14ac:dyDescent="0.25">
      <c r="K207"/>
      <c r="L207"/>
      <c r="M207"/>
      <c r="N207"/>
      <c r="O207"/>
    </row>
    <row r="208" spans="11:15" x14ac:dyDescent="0.25">
      <c r="K208"/>
      <c r="L208"/>
      <c r="M208"/>
      <c r="N208"/>
      <c r="O208"/>
    </row>
    <row r="209" spans="11:15" x14ac:dyDescent="0.25">
      <c r="K209"/>
      <c r="L209"/>
      <c r="M209"/>
      <c r="N209"/>
      <c r="O209"/>
    </row>
    <row r="210" spans="11:15" x14ac:dyDescent="0.25">
      <c r="K210"/>
      <c r="L210"/>
      <c r="M210"/>
      <c r="N210"/>
      <c r="O210"/>
    </row>
    <row r="211" spans="11:15" x14ac:dyDescent="0.25">
      <c r="K211"/>
      <c r="L211"/>
      <c r="M211"/>
      <c r="N211"/>
      <c r="O211"/>
    </row>
    <row r="212" spans="11:15" x14ac:dyDescent="0.25">
      <c r="K212"/>
      <c r="L212"/>
      <c r="M212"/>
      <c r="N212"/>
      <c r="O212"/>
    </row>
    <row r="213" spans="11:15" x14ac:dyDescent="0.25">
      <c r="K213"/>
      <c r="L213"/>
      <c r="M213"/>
      <c r="N213"/>
      <c r="O213"/>
    </row>
    <row r="214" spans="11:15" x14ac:dyDescent="0.25">
      <c r="K214"/>
      <c r="L214"/>
      <c r="M214"/>
      <c r="N214"/>
      <c r="O214"/>
    </row>
    <row r="215" spans="11:15" x14ac:dyDescent="0.25">
      <c r="K215"/>
      <c r="L215"/>
      <c r="M215"/>
      <c r="N215"/>
      <c r="O215"/>
    </row>
    <row r="216" spans="11:15" x14ac:dyDescent="0.25">
      <c r="K216"/>
      <c r="L216"/>
      <c r="M216"/>
      <c r="N216"/>
      <c r="O216"/>
    </row>
    <row r="217" spans="11:15" x14ac:dyDescent="0.25">
      <c r="K217"/>
      <c r="L217"/>
      <c r="M217"/>
      <c r="N217"/>
      <c r="O217"/>
    </row>
    <row r="218" spans="11:15" x14ac:dyDescent="0.25">
      <c r="K218"/>
      <c r="L218"/>
      <c r="M218"/>
      <c r="N218"/>
      <c r="O218"/>
    </row>
    <row r="219" spans="11:15" x14ac:dyDescent="0.25">
      <c r="K219"/>
      <c r="L219"/>
      <c r="M219"/>
      <c r="N219"/>
      <c r="O219"/>
    </row>
    <row r="220" spans="11:15" x14ac:dyDescent="0.25">
      <c r="K220"/>
      <c r="L220"/>
      <c r="M220"/>
      <c r="N220"/>
      <c r="O220"/>
    </row>
    <row r="221" spans="11:15" x14ac:dyDescent="0.25">
      <c r="K221"/>
      <c r="L221"/>
      <c r="M221"/>
      <c r="N221"/>
      <c r="O221"/>
    </row>
    <row r="222" spans="11:15" x14ac:dyDescent="0.25">
      <c r="K222"/>
      <c r="L222"/>
      <c r="M222"/>
      <c r="N222"/>
      <c r="O222"/>
    </row>
    <row r="223" spans="11:15" x14ac:dyDescent="0.25">
      <c r="K223"/>
      <c r="L223"/>
      <c r="M223"/>
      <c r="N223"/>
      <c r="O223"/>
    </row>
    <row r="224" spans="11:15" x14ac:dyDescent="0.25">
      <c r="K224"/>
      <c r="L224"/>
      <c r="M224"/>
      <c r="N224"/>
      <c r="O224"/>
    </row>
    <row r="225" spans="11:15" x14ac:dyDescent="0.25">
      <c r="K225"/>
      <c r="L225"/>
      <c r="M225"/>
      <c r="N225"/>
      <c r="O225"/>
    </row>
    <row r="226" spans="11:15" x14ac:dyDescent="0.25">
      <c r="K226"/>
      <c r="L226"/>
      <c r="M226"/>
      <c r="N226"/>
      <c r="O226"/>
    </row>
    <row r="227" spans="11:15" x14ac:dyDescent="0.25">
      <c r="K227"/>
      <c r="L227"/>
      <c r="M227"/>
      <c r="N227"/>
      <c r="O227"/>
    </row>
    <row r="228" spans="11:15" x14ac:dyDescent="0.25">
      <c r="K228"/>
      <c r="L228"/>
      <c r="M228"/>
      <c r="N228"/>
      <c r="O228"/>
    </row>
    <row r="229" spans="11:15" x14ac:dyDescent="0.25">
      <c r="K229"/>
      <c r="L229"/>
      <c r="M229"/>
      <c r="N229"/>
      <c r="O229"/>
    </row>
    <row r="230" spans="11:15" x14ac:dyDescent="0.25">
      <c r="K230"/>
      <c r="L230"/>
      <c r="M230"/>
      <c r="N230"/>
      <c r="O230"/>
    </row>
    <row r="231" spans="11:15" x14ac:dyDescent="0.25">
      <c r="K231"/>
      <c r="L231"/>
      <c r="M231"/>
      <c r="N231"/>
      <c r="O231"/>
    </row>
    <row r="232" spans="11:15" x14ac:dyDescent="0.25">
      <c r="K232"/>
      <c r="L232"/>
      <c r="M232"/>
      <c r="N232"/>
      <c r="O232"/>
    </row>
    <row r="233" spans="11:15" x14ac:dyDescent="0.25">
      <c r="K233"/>
      <c r="L233"/>
      <c r="M233"/>
      <c r="N233"/>
      <c r="O233"/>
    </row>
    <row r="234" spans="11:15" x14ac:dyDescent="0.25">
      <c r="K234"/>
      <c r="L234"/>
      <c r="M234"/>
      <c r="N234"/>
      <c r="O234"/>
    </row>
    <row r="235" spans="11:15" x14ac:dyDescent="0.25">
      <c r="K235"/>
      <c r="L235"/>
      <c r="M235"/>
      <c r="N235"/>
      <c r="O235"/>
    </row>
    <row r="236" spans="11:15" x14ac:dyDescent="0.25">
      <c r="K236"/>
      <c r="L236"/>
      <c r="M236"/>
      <c r="N236"/>
      <c r="O236"/>
    </row>
    <row r="237" spans="11:15" x14ac:dyDescent="0.25">
      <c r="K237"/>
      <c r="L237"/>
      <c r="M237"/>
      <c r="N237"/>
      <c r="O237"/>
    </row>
    <row r="238" spans="11:15" x14ac:dyDescent="0.25">
      <c r="K238"/>
      <c r="L238"/>
      <c r="M238"/>
      <c r="N238"/>
      <c r="O238"/>
    </row>
    <row r="239" spans="11:15" x14ac:dyDescent="0.25">
      <c r="K239"/>
      <c r="L239"/>
      <c r="M239"/>
      <c r="N239"/>
      <c r="O239"/>
    </row>
    <row r="240" spans="11:15" x14ac:dyDescent="0.25">
      <c r="K240"/>
      <c r="L240"/>
      <c r="M240"/>
      <c r="N240"/>
      <c r="O240"/>
    </row>
    <row r="241" spans="11:15" x14ac:dyDescent="0.25">
      <c r="K241"/>
      <c r="L241"/>
      <c r="M241"/>
      <c r="N241"/>
      <c r="O241"/>
    </row>
    <row r="242" spans="11:15" x14ac:dyDescent="0.25">
      <c r="K242"/>
      <c r="L242"/>
      <c r="M242"/>
      <c r="N242"/>
      <c r="O242"/>
    </row>
    <row r="243" spans="11:15" x14ac:dyDescent="0.25">
      <c r="K243"/>
      <c r="L243"/>
      <c r="M243"/>
      <c r="N243"/>
      <c r="O243"/>
    </row>
    <row r="244" spans="11:15" x14ac:dyDescent="0.25">
      <c r="K244"/>
      <c r="L244"/>
      <c r="M244"/>
      <c r="N244"/>
      <c r="O244"/>
    </row>
    <row r="245" spans="11:15" x14ac:dyDescent="0.25">
      <c r="K245"/>
      <c r="L245"/>
      <c r="M245"/>
      <c r="N245"/>
      <c r="O245"/>
    </row>
    <row r="246" spans="11:15" x14ac:dyDescent="0.25">
      <c r="K246"/>
      <c r="L246"/>
      <c r="M246"/>
      <c r="N246"/>
      <c r="O246"/>
    </row>
    <row r="247" spans="11:15" x14ac:dyDescent="0.25">
      <c r="K247"/>
      <c r="L247"/>
      <c r="M247"/>
      <c r="N247"/>
      <c r="O247"/>
    </row>
    <row r="248" spans="11:15" x14ac:dyDescent="0.25">
      <c r="K248"/>
      <c r="L248"/>
      <c r="M248"/>
      <c r="N248"/>
      <c r="O248"/>
    </row>
    <row r="249" spans="11:15" x14ac:dyDescent="0.25">
      <c r="K249"/>
      <c r="L249"/>
      <c r="M249"/>
      <c r="N249"/>
      <c r="O249"/>
    </row>
    <row r="250" spans="11:15" x14ac:dyDescent="0.25">
      <c r="K250"/>
      <c r="L250"/>
      <c r="M250"/>
      <c r="N250"/>
      <c r="O250"/>
    </row>
    <row r="251" spans="11:15" x14ac:dyDescent="0.25">
      <c r="K251"/>
      <c r="L251"/>
      <c r="M251"/>
      <c r="N251"/>
      <c r="O251"/>
    </row>
    <row r="252" spans="11:15" x14ac:dyDescent="0.25">
      <c r="K252"/>
      <c r="L252"/>
      <c r="M252"/>
      <c r="N252"/>
      <c r="O252"/>
    </row>
    <row r="253" spans="11:15" x14ac:dyDescent="0.25">
      <c r="K253"/>
      <c r="L253"/>
      <c r="M253"/>
      <c r="N253"/>
      <c r="O253"/>
    </row>
    <row r="254" spans="11:15" x14ac:dyDescent="0.25">
      <c r="K254"/>
      <c r="L254"/>
      <c r="M254"/>
      <c r="N254"/>
      <c r="O254"/>
    </row>
    <row r="255" spans="11:15" x14ac:dyDescent="0.25">
      <c r="K255"/>
      <c r="L255"/>
      <c r="M255"/>
      <c r="N255"/>
      <c r="O255"/>
    </row>
    <row r="256" spans="11:15" x14ac:dyDescent="0.25">
      <c r="K256"/>
      <c r="L256"/>
      <c r="M256"/>
      <c r="N256"/>
      <c r="O256"/>
    </row>
    <row r="257" spans="11:15" x14ac:dyDescent="0.25">
      <c r="K257"/>
      <c r="L257"/>
      <c r="M257"/>
      <c r="N257"/>
      <c r="O257"/>
    </row>
    <row r="258" spans="11:15" x14ac:dyDescent="0.25">
      <c r="K258"/>
      <c r="L258"/>
      <c r="M258"/>
      <c r="N258"/>
      <c r="O258"/>
    </row>
    <row r="259" spans="11:15" x14ac:dyDescent="0.25">
      <c r="K259"/>
      <c r="L259"/>
      <c r="M259"/>
      <c r="N259"/>
      <c r="O259"/>
    </row>
    <row r="260" spans="11:15" x14ac:dyDescent="0.25">
      <c r="K260"/>
      <c r="L260"/>
      <c r="M260"/>
      <c r="N260"/>
      <c r="O260"/>
    </row>
    <row r="261" spans="11:15" x14ac:dyDescent="0.25">
      <c r="K261"/>
      <c r="L261"/>
      <c r="M261"/>
      <c r="N261"/>
      <c r="O261"/>
    </row>
    <row r="262" spans="11:15" x14ac:dyDescent="0.25">
      <c r="K262"/>
      <c r="L262"/>
      <c r="M262"/>
      <c r="N262"/>
      <c r="O262"/>
    </row>
    <row r="263" spans="11:15" x14ac:dyDescent="0.25">
      <c r="K263"/>
      <c r="L263"/>
      <c r="M263"/>
      <c r="N263"/>
      <c r="O263"/>
    </row>
    <row r="264" spans="11:15" x14ac:dyDescent="0.25">
      <c r="K264"/>
      <c r="L264"/>
      <c r="M264"/>
      <c r="N264"/>
      <c r="O264"/>
    </row>
    <row r="265" spans="11:15" x14ac:dyDescent="0.25">
      <c r="K265"/>
      <c r="L265"/>
      <c r="M265"/>
      <c r="N265"/>
      <c r="O265"/>
    </row>
    <row r="266" spans="11:15" x14ac:dyDescent="0.25">
      <c r="K266"/>
      <c r="L266"/>
      <c r="M266"/>
      <c r="N266"/>
      <c r="O266"/>
    </row>
    <row r="267" spans="11:15" x14ac:dyDescent="0.25">
      <c r="K267"/>
      <c r="L267"/>
      <c r="M267"/>
      <c r="N267"/>
      <c r="O267"/>
    </row>
    <row r="268" spans="11:15" x14ac:dyDescent="0.25">
      <c r="K268"/>
      <c r="L268"/>
      <c r="M268"/>
      <c r="N268"/>
      <c r="O268"/>
    </row>
    <row r="269" spans="11:15" x14ac:dyDescent="0.25">
      <c r="K269"/>
      <c r="L269"/>
      <c r="M269"/>
      <c r="N269"/>
      <c r="O269"/>
    </row>
    <row r="270" spans="11:15" x14ac:dyDescent="0.25">
      <c r="K270"/>
      <c r="L270"/>
      <c r="M270"/>
      <c r="N270"/>
      <c r="O270"/>
    </row>
    <row r="271" spans="11:15" x14ac:dyDescent="0.25">
      <c r="K271"/>
      <c r="L271"/>
      <c r="M271"/>
      <c r="N271"/>
      <c r="O271"/>
    </row>
    <row r="272" spans="11:15" x14ac:dyDescent="0.25">
      <c r="K272"/>
      <c r="L272"/>
      <c r="M272"/>
      <c r="N272"/>
      <c r="O272"/>
    </row>
    <row r="273" spans="11:15" x14ac:dyDescent="0.25">
      <c r="K273"/>
      <c r="L273"/>
      <c r="M273"/>
      <c r="N273"/>
      <c r="O273"/>
    </row>
    <row r="274" spans="11:15" x14ac:dyDescent="0.25">
      <c r="K274"/>
      <c r="L274"/>
      <c r="M274"/>
      <c r="N274"/>
      <c r="O274"/>
    </row>
    <row r="275" spans="11:15" x14ac:dyDescent="0.25">
      <c r="K275"/>
      <c r="L275"/>
      <c r="M275"/>
      <c r="N275"/>
      <c r="O275"/>
    </row>
    <row r="276" spans="11:15" x14ac:dyDescent="0.25">
      <c r="K276"/>
      <c r="L276"/>
      <c r="M276"/>
      <c r="N276"/>
      <c r="O276"/>
    </row>
    <row r="277" spans="11:15" x14ac:dyDescent="0.25">
      <c r="K277"/>
      <c r="L277"/>
      <c r="M277"/>
      <c r="N277"/>
      <c r="O277"/>
    </row>
    <row r="278" spans="11:15" x14ac:dyDescent="0.25">
      <c r="K278"/>
      <c r="L278"/>
      <c r="M278"/>
      <c r="N278"/>
      <c r="O278"/>
    </row>
    <row r="279" spans="11:15" x14ac:dyDescent="0.25">
      <c r="K279"/>
      <c r="L279"/>
      <c r="M279"/>
      <c r="N279"/>
      <c r="O279"/>
    </row>
    <row r="280" spans="11:15" x14ac:dyDescent="0.25">
      <c r="K280"/>
      <c r="L280"/>
      <c r="M280"/>
      <c r="N280"/>
      <c r="O280"/>
    </row>
    <row r="281" spans="11:15" x14ac:dyDescent="0.25">
      <c r="K281"/>
      <c r="L281"/>
      <c r="M281"/>
      <c r="N281"/>
      <c r="O281"/>
    </row>
    <row r="282" spans="11:15" x14ac:dyDescent="0.25">
      <c r="K282"/>
      <c r="L282"/>
      <c r="M282"/>
      <c r="N282"/>
      <c r="O282"/>
    </row>
    <row r="283" spans="11:15" x14ac:dyDescent="0.25">
      <c r="K283"/>
      <c r="L283"/>
      <c r="M283"/>
      <c r="N283"/>
      <c r="O283"/>
    </row>
    <row r="284" spans="11:15" x14ac:dyDescent="0.25">
      <c r="K284"/>
      <c r="L284"/>
      <c r="M284"/>
      <c r="N284"/>
      <c r="O284"/>
    </row>
    <row r="285" spans="11:15" x14ac:dyDescent="0.25">
      <c r="K285"/>
      <c r="L285"/>
      <c r="M285"/>
      <c r="N285"/>
      <c r="O285"/>
    </row>
    <row r="286" spans="11:15" x14ac:dyDescent="0.25">
      <c r="K286"/>
      <c r="L286"/>
      <c r="M286"/>
      <c r="N286"/>
      <c r="O286"/>
    </row>
    <row r="287" spans="11:15" x14ac:dyDescent="0.25">
      <c r="K287"/>
      <c r="L287"/>
      <c r="M287"/>
      <c r="N287"/>
      <c r="O287"/>
    </row>
    <row r="288" spans="11:15" x14ac:dyDescent="0.25">
      <c r="K288"/>
      <c r="L288"/>
      <c r="M288"/>
      <c r="N288"/>
      <c r="O288"/>
    </row>
    <row r="289" spans="11:15" x14ac:dyDescent="0.25">
      <c r="K289"/>
      <c r="L289"/>
      <c r="M289"/>
      <c r="N289"/>
      <c r="O289"/>
    </row>
    <row r="290" spans="11:15" x14ac:dyDescent="0.25">
      <c r="K290"/>
      <c r="L290"/>
      <c r="M290"/>
      <c r="N290"/>
      <c r="O290"/>
    </row>
    <row r="291" spans="11:15" x14ac:dyDescent="0.25">
      <c r="K291"/>
      <c r="L291"/>
      <c r="M291"/>
      <c r="N291"/>
      <c r="O291"/>
    </row>
    <row r="292" spans="11:15" x14ac:dyDescent="0.25">
      <c r="K292"/>
      <c r="L292"/>
      <c r="M292"/>
      <c r="N292"/>
      <c r="O292"/>
    </row>
    <row r="293" spans="11:15" x14ac:dyDescent="0.25">
      <c r="K293"/>
      <c r="L293"/>
      <c r="M293"/>
      <c r="N293"/>
      <c r="O293"/>
    </row>
    <row r="294" spans="11:15" x14ac:dyDescent="0.25">
      <c r="K294"/>
      <c r="L294"/>
      <c r="M294"/>
      <c r="N294"/>
      <c r="O294"/>
    </row>
    <row r="295" spans="11:15" x14ac:dyDescent="0.25">
      <c r="K295"/>
      <c r="L295"/>
      <c r="M295"/>
      <c r="N295"/>
      <c r="O295"/>
    </row>
    <row r="296" spans="11:15" x14ac:dyDescent="0.25">
      <c r="K296"/>
      <c r="L296"/>
      <c r="M296"/>
      <c r="N296"/>
      <c r="O296"/>
    </row>
    <row r="297" spans="11:15" x14ac:dyDescent="0.25">
      <c r="K297"/>
      <c r="L297"/>
      <c r="M297"/>
      <c r="N297"/>
      <c r="O297"/>
    </row>
    <row r="298" spans="11:15" x14ac:dyDescent="0.25">
      <c r="K298"/>
      <c r="L298"/>
      <c r="M298"/>
      <c r="N298"/>
      <c r="O298"/>
    </row>
    <row r="299" spans="11:15" x14ac:dyDescent="0.25">
      <c r="K299"/>
      <c r="L299"/>
      <c r="M299"/>
      <c r="N299"/>
      <c r="O299"/>
    </row>
    <row r="300" spans="11:15" x14ac:dyDescent="0.25">
      <c r="K300"/>
      <c r="L300"/>
      <c r="M300"/>
      <c r="N300"/>
      <c r="O300"/>
    </row>
    <row r="301" spans="11:15" x14ac:dyDescent="0.25">
      <c r="K301"/>
      <c r="L301"/>
      <c r="M301"/>
      <c r="N301"/>
      <c r="O301"/>
    </row>
    <row r="302" spans="11:15" x14ac:dyDescent="0.25">
      <c r="K302"/>
      <c r="L302"/>
      <c r="M302"/>
      <c r="N302"/>
      <c r="O302"/>
    </row>
    <row r="303" spans="11:15" x14ac:dyDescent="0.25">
      <c r="K303"/>
      <c r="L303"/>
      <c r="M303"/>
      <c r="N303"/>
      <c r="O303"/>
    </row>
    <row r="304" spans="11:15" x14ac:dyDescent="0.25">
      <c r="K304"/>
      <c r="L304"/>
      <c r="M304"/>
      <c r="N304"/>
      <c r="O304"/>
    </row>
    <row r="305" spans="11:15" x14ac:dyDescent="0.25">
      <c r="K305"/>
      <c r="L305"/>
      <c r="M305"/>
      <c r="N305"/>
      <c r="O305"/>
    </row>
    <row r="306" spans="11:15" x14ac:dyDescent="0.25">
      <c r="K306"/>
      <c r="L306"/>
      <c r="M306"/>
      <c r="N306"/>
      <c r="O306"/>
    </row>
    <row r="307" spans="11:15" x14ac:dyDescent="0.25">
      <c r="K307"/>
      <c r="L307"/>
      <c r="M307"/>
      <c r="N307"/>
      <c r="O307"/>
    </row>
    <row r="308" spans="11:15" x14ac:dyDescent="0.25">
      <c r="K308"/>
      <c r="L308"/>
      <c r="M308"/>
      <c r="N308"/>
      <c r="O308"/>
    </row>
    <row r="309" spans="11:15" x14ac:dyDescent="0.25">
      <c r="K309"/>
      <c r="L309"/>
      <c r="M309"/>
      <c r="N309"/>
      <c r="O309"/>
    </row>
    <row r="310" spans="11:15" x14ac:dyDescent="0.25">
      <c r="K310"/>
      <c r="L310"/>
      <c r="M310"/>
      <c r="N310"/>
      <c r="O310"/>
    </row>
    <row r="311" spans="11:15" x14ac:dyDescent="0.25">
      <c r="K311"/>
      <c r="L311"/>
      <c r="M311"/>
      <c r="N311"/>
      <c r="O311"/>
    </row>
    <row r="312" spans="11:15" x14ac:dyDescent="0.25">
      <c r="K312"/>
      <c r="L312"/>
      <c r="M312"/>
      <c r="N312"/>
      <c r="O312"/>
    </row>
    <row r="313" spans="11:15" x14ac:dyDescent="0.25">
      <c r="K313"/>
      <c r="L313"/>
      <c r="M313"/>
      <c r="N313"/>
      <c r="O313"/>
    </row>
    <row r="314" spans="11:15" x14ac:dyDescent="0.25">
      <c r="K314"/>
      <c r="L314"/>
      <c r="M314"/>
      <c r="N314"/>
      <c r="O314"/>
    </row>
    <row r="315" spans="11:15" x14ac:dyDescent="0.25">
      <c r="K315"/>
      <c r="L315"/>
      <c r="M315"/>
      <c r="N315"/>
      <c r="O315"/>
    </row>
    <row r="316" spans="11:15" x14ac:dyDescent="0.25">
      <c r="K316"/>
      <c r="L316"/>
      <c r="M316"/>
      <c r="N316"/>
      <c r="O316"/>
    </row>
    <row r="317" spans="11:15" x14ac:dyDescent="0.25">
      <c r="K317"/>
      <c r="L317"/>
      <c r="M317"/>
      <c r="N317"/>
      <c r="O317"/>
    </row>
    <row r="318" spans="11:15" x14ac:dyDescent="0.25">
      <c r="K318"/>
      <c r="L318"/>
      <c r="M318"/>
      <c r="N318"/>
      <c r="O318"/>
    </row>
    <row r="319" spans="11:15" x14ac:dyDescent="0.25">
      <c r="K319"/>
      <c r="L319"/>
      <c r="M319"/>
      <c r="N319"/>
      <c r="O319"/>
    </row>
    <row r="320" spans="11:15" x14ac:dyDescent="0.25">
      <c r="K320"/>
      <c r="L320"/>
      <c r="M320"/>
      <c r="N320"/>
      <c r="O320"/>
    </row>
    <row r="321" spans="11:15" x14ac:dyDescent="0.25">
      <c r="K321"/>
      <c r="L321"/>
      <c r="M321"/>
      <c r="N321"/>
      <c r="O321"/>
    </row>
    <row r="322" spans="11:15" x14ac:dyDescent="0.25">
      <c r="K322"/>
      <c r="L322"/>
      <c r="M322"/>
      <c r="N322"/>
      <c r="O322"/>
    </row>
    <row r="323" spans="11:15" x14ac:dyDescent="0.25">
      <c r="K323"/>
      <c r="L323"/>
      <c r="M323"/>
      <c r="N323"/>
      <c r="O323"/>
    </row>
    <row r="324" spans="11:15" x14ac:dyDescent="0.25">
      <c r="K324"/>
      <c r="L324"/>
      <c r="M324"/>
      <c r="N324"/>
      <c r="O324"/>
    </row>
    <row r="325" spans="11:15" x14ac:dyDescent="0.25">
      <c r="K325"/>
      <c r="L325"/>
      <c r="M325"/>
      <c r="N325"/>
      <c r="O325"/>
    </row>
    <row r="326" spans="11:15" x14ac:dyDescent="0.25">
      <c r="K326"/>
      <c r="L326"/>
      <c r="M326"/>
      <c r="N326"/>
      <c r="O326"/>
    </row>
    <row r="327" spans="11:15" x14ac:dyDescent="0.25">
      <c r="K327"/>
      <c r="L327"/>
      <c r="M327"/>
      <c r="N327"/>
      <c r="O327"/>
    </row>
    <row r="328" spans="11:15" x14ac:dyDescent="0.25">
      <c r="K328"/>
      <c r="L328"/>
      <c r="M328"/>
      <c r="N328"/>
      <c r="O328"/>
    </row>
    <row r="329" spans="11:15" x14ac:dyDescent="0.25">
      <c r="K329"/>
      <c r="L329"/>
      <c r="M329"/>
      <c r="N329"/>
      <c r="O329"/>
    </row>
    <row r="330" spans="11:15" x14ac:dyDescent="0.25">
      <c r="K330"/>
      <c r="L330"/>
      <c r="M330"/>
      <c r="N330"/>
      <c r="O330"/>
    </row>
    <row r="331" spans="11:15" x14ac:dyDescent="0.25">
      <c r="K331"/>
      <c r="L331"/>
      <c r="M331"/>
      <c r="N331"/>
      <c r="O331"/>
    </row>
    <row r="332" spans="11:15" x14ac:dyDescent="0.25">
      <c r="K332"/>
      <c r="L332"/>
      <c r="M332"/>
      <c r="N332"/>
      <c r="O332"/>
    </row>
    <row r="333" spans="11:15" x14ac:dyDescent="0.25">
      <c r="K333"/>
      <c r="L333"/>
      <c r="M333"/>
      <c r="N333"/>
      <c r="O333"/>
    </row>
    <row r="334" spans="11:15" x14ac:dyDescent="0.25">
      <c r="K334"/>
      <c r="L334"/>
      <c r="M334"/>
      <c r="N334"/>
      <c r="O334"/>
    </row>
    <row r="335" spans="11:15" x14ac:dyDescent="0.25">
      <c r="K335"/>
      <c r="L335"/>
      <c r="M335"/>
      <c r="N335"/>
      <c r="O335"/>
    </row>
    <row r="336" spans="11:15" x14ac:dyDescent="0.25">
      <c r="K336"/>
      <c r="L336"/>
      <c r="M336"/>
      <c r="N336"/>
      <c r="O336"/>
    </row>
    <row r="337" spans="11:15" x14ac:dyDescent="0.25">
      <c r="K337"/>
      <c r="L337"/>
      <c r="M337"/>
      <c r="N337"/>
      <c r="O337"/>
    </row>
    <row r="338" spans="11:15" x14ac:dyDescent="0.25">
      <c r="K338"/>
      <c r="L338"/>
      <c r="M338"/>
      <c r="N338"/>
      <c r="O338"/>
    </row>
    <row r="339" spans="11:15" x14ac:dyDescent="0.25">
      <c r="K339"/>
      <c r="L339"/>
      <c r="M339"/>
      <c r="N339"/>
      <c r="O339"/>
    </row>
    <row r="340" spans="11:15" x14ac:dyDescent="0.25">
      <c r="K340"/>
      <c r="L340"/>
      <c r="M340"/>
      <c r="N340"/>
      <c r="O340"/>
    </row>
    <row r="341" spans="11:15" x14ac:dyDescent="0.25">
      <c r="K341"/>
      <c r="L341"/>
      <c r="M341"/>
      <c r="N341"/>
      <c r="O341"/>
    </row>
    <row r="342" spans="11:15" x14ac:dyDescent="0.25">
      <c r="K342"/>
      <c r="L342"/>
      <c r="M342"/>
      <c r="N342"/>
      <c r="O342"/>
    </row>
    <row r="343" spans="11:15" x14ac:dyDescent="0.25">
      <c r="K343"/>
      <c r="L343"/>
      <c r="M343"/>
      <c r="N343"/>
      <c r="O343"/>
    </row>
    <row r="344" spans="11:15" x14ac:dyDescent="0.25">
      <c r="K344"/>
      <c r="L344"/>
      <c r="M344"/>
      <c r="N344"/>
      <c r="O344"/>
    </row>
    <row r="345" spans="11:15" x14ac:dyDescent="0.25">
      <c r="K345"/>
      <c r="L345"/>
      <c r="M345"/>
      <c r="N345"/>
      <c r="O345"/>
    </row>
    <row r="346" spans="11:15" x14ac:dyDescent="0.25">
      <c r="K346"/>
      <c r="L346"/>
      <c r="M346"/>
      <c r="N346"/>
      <c r="O346"/>
    </row>
    <row r="347" spans="11:15" x14ac:dyDescent="0.25">
      <c r="K347"/>
      <c r="L347"/>
      <c r="M347"/>
      <c r="N347"/>
      <c r="O347"/>
    </row>
    <row r="348" spans="11:15" x14ac:dyDescent="0.25">
      <c r="K348"/>
      <c r="L348"/>
      <c r="M348"/>
      <c r="N348"/>
      <c r="O348"/>
    </row>
    <row r="349" spans="11:15" x14ac:dyDescent="0.25">
      <c r="K349"/>
      <c r="L349"/>
      <c r="M349"/>
      <c r="N349"/>
      <c r="O349"/>
    </row>
    <row r="350" spans="11:15" x14ac:dyDescent="0.25">
      <c r="K350"/>
      <c r="L350"/>
      <c r="M350"/>
      <c r="N350"/>
      <c r="O350"/>
    </row>
    <row r="351" spans="11:15" x14ac:dyDescent="0.25">
      <c r="K351"/>
      <c r="L351"/>
      <c r="M351"/>
      <c r="N351"/>
      <c r="O351"/>
    </row>
    <row r="352" spans="11:15" x14ac:dyDescent="0.25">
      <c r="K352"/>
      <c r="L352"/>
      <c r="M352"/>
      <c r="N352"/>
      <c r="O352"/>
    </row>
    <row r="353" spans="11:15" x14ac:dyDescent="0.25">
      <c r="K353"/>
      <c r="L353"/>
      <c r="M353"/>
      <c r="N353"/>
      <c r="O353"/>
    </row>
    <row r="354" spans="11:15" x14ac:dyDescent="0.25">
      <c r="K354"/>
      <c r="L354"/>
      <c r="M354"/>
      <c r="N354"/>
      <c r="O354"/>
    </row>
    <row r="355" spans="11:15" x14ac:dyDescent="0.25">
      <c r="K355"/>
      <c r="L355"/>
      <c r="M355"/>
      <c r="N355"/>
      <c r="O355"/>
    </row>
    <row r="356" spans="11:15" x14ac:dyDescent="0.25">
      <c r="K356"/>
      <c r="L356"/>
      <c r="M356"/>
      <c r="N356"/>
      <c r="O356"/>
    </row>
    <row r="357" spans="11:15" x14ac:dyDescent="0.25">
      <c r="K357"/>
      <c r="L357"/>
      <c r="M357"/>
      <c r="N357"/>
      <c r="O357"/>
    </row>
    <row r="358" spans="11:15" x14ac:dyDescent="0.25">
      <c r="K358"/>
      <c r="L358"/>
      <c r="M358"/>
      <c r="N358"/>
      <c r="O358"/>
    </row>
    <row r="359" spans="11:15" x14ac:dyDescent="0.25">
      <c r="K359"/>
      <c r="L359"/>
      <c r="M359"/>
      <c r="N359"/>
      <c r="O359"/>
    </row>
    <row r="360" spans="11:15" x14ac:dyDescent="0.25">
      <c r="K360"/>
      <c r="L360"/>
      <c r="M360"/>
      <c r="N360"/>
      <c r="O360"/>
    </row>
    <row r="361" spans="11:15" x14ac:dyDescent="0.25">
      <c r="K361"/>
      <c r="L361"/>
      <c r="M361"/>
      <c r="N361"/>
      <c r="O361"/>
    </row>
    <row r="362" spans="11:15" x14ac:dyDescent="0.25">
      <c r="K362"/>
      <c r="L362"/>
      <c r="M362"/>
      <c r="N362"/>
      <c r="O362"/>
    </row>
    <row r="363" spans="11:15" x14ac:dyDescent="0.25">
      <c r="K363"/>
      <c r="L363"/>
      <c r="M363"/>
      <c r="N363"/>
      <c r="O363"/>
    </row>
    <row r="364" spans="11:15" x14ac:dyDescent="0.25">
      <c r="K364"/>
      <c r="L364"/>
      <c r="M364"/>
      <c r="N364"/>
      <c r="O364"/>
    </row>
    <row r="365" spans="11:15" x14ac:dyDescent="0.25">
      <c r="K365"/>
      <c r="L365"/>
      <c r="M365"/>
      <c r="N365"/>
      <c r="O365"/>
    </row>
    <row r="366" spans="11:15" x14ac:dyDescent="0.25">
      <c r="K366"/>
      <c r="L366"/>
      <c r="M366"/>
      <c r="N366"/>
      <c r="O366"/>
    </row>
    <row r="367" spans="11:15" x14ac:dyDescent="0.25">
      <c r="K367"/>
      <c r="L367"/>
      <c r="M367"/>
      <c r="N367"/>
      <c r="O367"/>
    </row>
    <row r="368" spans="11:15" x14ac:dyDescent="0.25">
      <c r="K368"/>
      <c r="L368"/>
      <c r="M368"/>
      <c r="N368"/>
      <c r="O368"/>
    </row>
    <row r="369" spans="11:15" x14ac:dyDescent="0.25">
      <c r="K369"/>
      <c r="L369"/>
      <c r="M369"/>
      <c r="N369"/>
      <c r="O369"/>
    </row>
    <row r="370" spans="11:15" x14ac:dyDescent="0.25">
      <c r="K370"/>
      <c r="L370"/>
      <c r="M370"/>
      <c r="N370"/>
      <c r="O370"/>
    </row>
    <row r="371" spans="11:15" x14ac:dyDescent="0.25">
      <c r="K371"/>
      <c r="L371"/>
      <c r="M371"/>
      <c r="N371"/>
      <c r="O371"/>
    </row>
    <row r="372" spans="11:15" x14ac:dyDescent="0.25">
      <c r="K372"/>
      <c r="L372"/>
      <c r="M372"/>
      <c r="N372"/>
      <c r="O372"/>
    </row>
    <row r="373" spans="11:15" x14ac:dyDescent="0.25">
      <c r="K373"/>
      <c r="L373"/>
      <c r="M373"/>
      <c r="N373"/>
      <c r="O373"/>
    </row>
    <row r="374" spans="11:15" x14ac:dyDescent="0.25">
      <c r="K374"/>
      <c r="L374"/>
      <c r="M374"/>
      <c r="N374"/>
      <c r="O374"/>
    </row>
    <row r="375" spans="11:15" x14ac:dyDescent="0.25">
      <c r="K375"/>
      <c r="L375"/>
      <c r="M375"/>
      <c r="N375"/>
      <c r="O375"/>
    </row>
    <row r="376" spans="11:15" x14ac:dyDescent="0.25">
      <c r="K376"/>
      <c r="L376"/>
      <c r="M376"/>
      <c r="N376"/>
      <c r="O376"/>
    </row>
    <row r="377" spans="11:15" x14ac:dyDescent="0.25">
      <c r="K377"/>
      <c r="L377"/>
      <c r="M377"/>
      <c r="N377"/>
      <c r="O377"/>
    </row>
    <row r="378" spans="11:15" x14ac:dyDescent="0.25">
      <c r="K378"/>
      <c r="L378"/>
      <c r="M378"/>
      <c r="N378"/>
      <c r="O378"/>
    </row>
    <row r="379" spans="11:15" x14ac:dyDescent="0.25">
      <c r="K379"/>
      <c r="L379"/>
      <c r="M379"/>
      <c r="N379"/>
      <c r="O379"/>
    </row>
    <row r="380" spans="11:15" x14ac:dyDescent="0.25">
      <c r="K380"/>
      <c r="L380"/>
      <c r="M380"/>
      <c r="N380"/>
      <c r="O380"/>
    </row>
    <row r="381" spans="11:15" x14ac:dyDescent="0.25">
      <c r="K381"/>
      <c r="L381"/>
      <c r="M381"/>
      <c r="N381"/>
      <c r="O381"/>
    </row>
    <row r="382" spans="11:15" x14ac:dyDescent="0.25">
      <c r="K382"/>
      <c r="L382"/>
      <c r="M382"/>
      <c r="N382"/>
      <c r="O382"/>
    </row>
    <row r="383" spans="11:15" x14ac:dyDescent="0.25">
      <c r="K383"/>
      <c r="L383"/>
      <c r="M383"/>
      <c r="N383"/>
      <c r="O383"/>
    </row>
    <row r="384" spans="11:15" x14ac:dyDescent="0.25">
      <c r="K384"/>
      <c r="L384"/>
      <c r="M384"/>
      <c r="N384"/>
      <c r="O384"/>
    </row>
    <row r="385" spans="11:15" x14ac:dyDescent="0.25">
      <c r="K385"/>
      <c r="L385"/>
      <c r="M385"/>
      <c r="N385"/>
      <c r="O385"/>
    </row>
    <row r="386" spans="11:15" x14ac:dyDescent="0.25">
      <c r="K386"/>
      <c r="L386"/>
      <c r="M386"/>
      <c r="N386"/>
      <c r="O386"/>
    </row>
    <row r="387" spans="11:15" x14ac:dyDescent="0.25">
      <c r="K387"/>
      <c r="L387"/>
      <c r="M387"/>
      <c r="N387"/>
      <c r="O387"/>
    </row>
    <row r="388" spans="11:15" x14ac:dyDescent="0.25">
      <c r="K388"/>
      <c r="L388"/>
      <c r="M388"/>
      <c r="N388"/>
      <c r="O388"/>
    </row>
    <row r="389" spans="11:15" x14ac:dyDescent="0.25">
      <c r="K389"/>
      <c r="L389"/>
      <c r="M389"/>
      <c r="N389"/>
      <c r="O389"/>
    </row>
    <row r="390" spans="11:15" x14ac:dyDescent="0.25">
      <c r="K390"/>
      <c r="L390"/>
      <c r="M390"/>
      <c r="N390"/>
      <c r="O390"/>
    </row>
    <row r="391" spans="11:15" x14ac:dyDescent="0.25">
      <c r="K391"/>
      <c r="L391"/>
      <c r="M391"/>
      <c r="N391"/>
      <c r="O391"/>
    </row>
    <row r="392" spans="11:15" x14ac:dyDescent="0.25">
      <c r="K392"/>
      <c r="L392"/>
      <c r="M392"/>
      <c r="N392"/>
      <c r="O392"/>
    </row>
    <row r="393" spans="11:15" x14ac:dyDescent="0.25">
      <c r="K393"/>
      <c r="L393"/>
      <c r="M393"/>
      <c r="N393"/>
      <c r="O393"/>
    </row>
    <row r="394" spans="11:15" x14ac:dyDescent="0.25">
      <c r="K394"/>
      <c r="L394"/>
      <c r="M394"/>
      <c r="N394"/>
      <c r="O394"/>
    </row>
    <row r="395" spans="11:15" x14ac:dyDescent="0.25">
      <c r="K395"/>
      <c r="L395"/>
      <c r="M395"/>
      <c r="N395"/>
      <c r="O395"/>
    </row>
    <row r="396" spans="11:15" x14ac:dyDescent="0.25">
      <c r="K396"/>
      <c r="L396"/>
      <c r="M396"/>
      <c r="N396"/>
      <c r="O396"/>
    </row>
    <row r="397" spans="11:15" x14ac:dyDescent="0.25">
      <c r="K397"/>
      <c r="L397"/>
      <c r="M397"/>
      <c r="N397"/>
      <c r="O397"/>
    </row>
    <row r="398" spans="11:15" x14ac:dyDescent="0.25">
      <c r="K398"/>
      <c r="L398"/>
      <c r="M398"/>
      <c r="N398"/>
      <c r="O398"/>
    </row>
    <row r="399" spans="11:15" x14ac:dyDescent="0.25">
      <c r="K399"/>
      <c r="L399"/>
      <c r="M399"/>
      <c r="N399"/>
      <c r="O399"/>
    </row>
    <row r="400" spans="11:15" x14ac:dyDescent="0.25">
      <c r="K400"/>
      <c r="L400"/>
      <c r="M400"/>
      <c r="N400"/>
      <c r="O400"/>
    </row>
    <row r="401" spans="11:15" x14ac:dyDescent="0.25">
      <c r="K401"/>
      <c r="L401"/>
      <c r="M401"/>
      <c r="N401"/>
      <c r="O401"/>
    </row>
    <row r="402" spans="11:15" x14ac:dyDescent="0.25">
      <c r="K402"/>
      <c r="L402"/>
      <c r="M402"/>
      <c r="N402"/>
      <c r="O402"/>
    </row>
    <row r="403" spans="11:15" x14ac:dyDescent="0.25">
      <c r="K403"/>
      <c r="L403"/>
      <c r="M403"/>
      <c r="N403"/>
      <c r="O403"/>
    </row>
    <row r="404" spans="11:15" x14ac:dyDescent="0.25">
      <c r="K404"/>
      <c r="L404"/>
      <c r="M404"/>
      <c r="N404"/>
      <c r="O404"/>
    </row>
    <row r="405" spans="11:15" x14ac:dyDescent="0.25">
      <c r="K405"/>
      <c r="L405"/>
      <c r="M405"/>
      <c r="N405"/>
      <c r="O405"/>
    </row>
    <row r="406" spans="11:15" x14ac:dyDescent="0.25">
      <c r="K406"/>
      <c r="L406"/>
      <c r="M406"/>
      <c r="N406"/>
      <c r="O406"/>
    </row>
    <row r="407" spans="11:15" x14ac:dyDescent="0.25">
      <c r="K407"/>
      <c r="L407"/>
      <c r="M407"/>
      <c r="N407"/>
      <c r="O407"/>
    </row>
    <row r="408" spans="11:15" x14ac:dyDescent="0.25">
      <c r="K408"/>
      <c r="L408"/>
      <c r="M408"/>
      <c r="N408"/>
      <c r="O408"/>
    </row>
    <row r="409" spans="11:15" x14ac:dyDescent="0.25">
      <c r="K409"/>
      <c r="L409"/>
      <c r="M409"/>
      <c r="N409"/>
      <c r="O409"/>
    </row>
    <row r="410" spans="11:15" x14ac:dyDescent="0.25">
      <c r="K410"/>
      <c r="L410"/>
      <c r="M410"/>
      <c r="N410"/>
      <c r="O410"/>
    </row>
    <row r="411" spans="11:15" x14ac:dyDescent="0.25">
      <c r="K411"/>
      <c r="L411"/>
      <c r="M411"/>
      <c r="N411"/>
      <c r="O411"/>
    </row>
    <row r="412" spans="11:15" x14ac:dyDescent="0.25">
      <c r="K412"/>
      <c r="L412"/>
      <c r="M412"/>
      <c r="N412"/>
      <c r="O412"/>
    </row>
    <row r="413" spans="11:15" x14ac:dyDescent="0.25">
      <c r="K413"/>
      <c r="L413"/>
      <c r="M413"/>
      <c r="N413"/>
      <c r="O413"/>
    </row>
    <row r="414" spans="11:15" x14ac:dyDescent="0.25">
      <c r="K414"/>
      <c r="L414"/>
      <c r="M414"/>
      <c r="N414"/>
      <c r="O414"/>
    </row>
    <row r="415" spans="11:15" x14ac:dyDescent="0.25">
      <c r="K415"/>
      <c r="L415"/>
      <c r="M415"/>
      <c r="N415"/>
      <c r="O415"/>
    </row>
    <row r="416" spans="11:15" x14ac:dyDescent="0.25">
      <c r="K416"/>
      <c r="L416"/>
      <c r="M416"/>
      <c r="N416"/>
      <c r="O416"/>
    </row>
    <row r="417" spans="11:15" x14ac:dyDescent="0.25">
      <c r="K417"/>
      <c r="L417"/>
      <c r="M417"/>
      <c r="N417"/>
      <c r="O417"/>
    </row>
    <row r="418" spans="11:15" x14ac:dyDescent="0.25">
      <c r="K418"/>
      <c r="L418"/>
      <c r="M418"/>
      <c r="N418"/>
      <c r="O418"/>
    </row>
    <row r="419" spans="11:15" x14ac:dyDescent="0.25">
      <c r="K419"/>
      <c r="L419"/>
      <c r="M419"/>
      <c r="N419"/>
      <c r="O419"/>
    </row>
    <row r="420" spans="11:15" x14ac:dyDescent="0.25">
      <c r="K420"/>
      <c r="L420"/>
      <c r="M420"/>
      <c r="N420"/>
      <c r="O420"/>
    </row>
    <row r="421" spans="11:15" x14ac:dyDescent="0.25">
      <c r="K421"/>
      <c r="L421"/>
      <c r="M421"/>
      <c r="N421"/>
      <c r="O421"/>
    </row>
    <row r="422" spans="11:15" x14ac:dyDescent="0.25">
      <c r="K422"/>
      <c r="L422"/>
      <c r="M422"/>
      <c r="N422"/>
      <c r="O422"/>
    </row>
    <row r="423" spans="11:15" x14ac:dyDescent="0.25">
      <c r="K423"/>
      <c r="L423"/>
      <c r="M423"/>
      <c r="N423"/>
      <c r="O423"/>
    </row>
    <row r="424" spans="11:15" x14ac:dyDescent="0.25">
      <c r="K424"/>
      <c r="L424"/>
      <c r="M424"/>
      <c r="N424"/>
      <c r="O424"/>
    </row>
    <row r="425" spans="11:15" x14ac:dyDescent="0.25">
      <c r="K425"/>
      <c r="L425"/>
      <c r="M425"/>
      <c r="N425"/>
      <c r="O425"/>
    </row>
    <row r="426" spans="11:15" x14ac:dyDescent="0.25">
      <c r="K426"/>
      <c r="L426"/>
      <c r="M426"/>
      <c r="N426"/>
      <c r="O426"/>
    </row>
    <row r="427" spans="11:15" x14ac:dyDescent="0.25">
      <c r="K427"/>
      <c r="L427"/>
      <c r="M427"/>
      <c r="N427"/>
      <c r="O427"/>
    </row>
    <row r="428" spans="11:15" x14ac:dyDescent="0.25">
      <c r="K428"/>
      <c r="L428"/>
      <c r="M428"/>
      <c r="N428"/>
      <c r="O428"/>
    </row>
    <row r="429" spans="11:15" x14ac:dyDescent="0.25">
      <c r="K429"/>
      <c r="L429"/>
      <c r="M429"/>
      <c r="N429"/>
      <c r="O429"/>
    </row>
    <row r="430" spans="11:15" x14ac:dyDescent="0.25">
      <c r="K430"/>
      <c r="L430"/>
      <c r="M430"/>
      <c r="N430"/>
      <c r="O430"/>
    </row>
    <row r="431" spans="11:15" x14ac:dyDescent="0.25">
      <c r="K431"/>
      <c r="L431"/>
      <c r="M431"/>
      <c r="N431"/>
      <c r="O431"/>
    </row>
    <row r="432" spans="11:15" x14ac:dyDescent="0.25">
      <c r="K432"/>
      <c r="L432"/>
      <c r="M432"/>
      <c r="N432"/>
      <c r="O432"/>
    </row>
    <row r="433" spans="11:15" x14ac:dyDescent="0.25">
      <c r="K433"/>
      <c r="L433"/>
      <c r="M433"/>
      <c r="N433"/>
      <c r="O433"/>
    </row>
    <row r="434" spans="11:15" x14ac:dyDescent="0.25">
      <c r="K434"/>
      <c r="L434"/>
      <c r="M434"/>
      <c r="N434"/>
      <c r="O434"/>
    </row>
    <row r="435" spans="11:15" x14ac:dyDescent="0.25">
      <c r="K435"/>
      <c r="L435"/>
      <c r="M435"/>
      <c r="N435"/>
      <c r="O435"/>
    </row>
    <row r="436" spans="11:15" x14ac:dyDescent="0.25">
      <c r="K436"/>
      <c r="L436"/>
      <c r="M436"/>
      <c r="N436"/>
      <c r="O436"/>
    </row>
    <row r="437" spans="11:15" x14ac:dyDescent="0.25">
      <c r="K437"/>
      <c r="L437"/>
      <c r="M437"/>
      <c r="N437"/>
      <c r="O437"/>
    </row>
    <row r="438" spans="11:15" x14ac:dyDescent="0.25">
      <c r="K438"/>
      <c r="L438"/>
      <c r="M438"/>
      <c r="N438"/>
      <c r="O438"/>
    </row>
    <row r="439" spans="11:15" x14ac:dyDescent="0.25">
      <c r="K439"/>
      <c r="L439"/>
      <c r="M439"/>
      <c r="N439"/>
      <c r="O439"/>
    </row>
    <row r="440" spans="11:15" x14ac:dyDescent="0.25">
      <c r="K440"/>
      <c r="L440"/>
      <c r="M440"/>
      <c r="N440"/>
      <c r="O440"/>
    </row>
    <row r="441" spans="11:15" x14ac:dyDescent="0.25">
      <c r="K441"/>
      <c r="L441"/>
      <c r="M441"/>
      <c r="N441"/>
      <c r="O441"/>
    </row>
    <row r="442" spans="11:15" x14ac:dyDescent="0.25">
      <c r="K442"/>
      <c r="L442"/>
      <c r="M442"/>
      <c r="N442"/>
      <c r="O442"/>
    </row>
    <row r="443" spans="11:15" x14ac:dyDescent="0.25">
      <c r="K443"/>
      <c r="L443"/>
      <c r="M443"/>
      <c r="N443"/>
      <c r="O443"/>
    </row>
    <row r="444" spans="11:15" x14ac:dyDescent="0.25">
      <c r="K444"/>
      <c r="L444"/>
      <c r="M444"/>
      <c r="N444"/>
      <c r="O444"/>
    </row>
    <row r="445" spans="11:15" x14ac:dyDescent="0.25">
      <c r="K445"/>
      <c r="L445"/>
      <c r="M445"/>
      <c r="N445"/>
      <c r="O445"/>
    </row>
    <row r="446" spans="11:15" x14ac:dyDescent="0.25">
      <c r="K446"/>
      <c r="L446"/>
      <c r="M446"/>
      <c r="N446"/>
      <c r="O446"/>
    </row>
    <row r="447" spans="11:15" x14ac:dyDescent="0.25">
      <c r="K447"/>
      <c r="L447"/>
      <c r="M447"/>
      <c r="N447"/>
      <c r="O447"/>
    </row>
    <row r="448" spans="11:15" x14ac:dyDescent="0.25">
      <c r="K448"/>
      <c r="L448"/>
      <c r="M448"/>
      <c r="N448"/>
      <c r="O448"/>
    </row>
    <row r="449" spans="11:15" x14ac:dyDescent="0.25">
      <c r="K449"/>
      <c r="L449"/>
      <c r="M449"/>
      <c r="N449"/>
      <c r="O449"/>
    </row>
    <row r="450" spans="11:15" x14ac:dyDescent="0.25">
      <c r="K450"/>
      <c r="L450"/>
      <c r="M450"/>
      <c r="N450"/>
      <c r="O450"/>
    </row>
    <row r="451" spans="11:15" x14ac:dyDescent="0.25">
      <c r="K451"/>
      <c r="L451"/>
      <c r="M451"/>
      <c r="N451"/>
      <c r="O451"/>
    </row>
    <row r="452" spans="11:15" x14ac:dyDescent="0.25">
      <c r="K452"/>
      <c r="L452"/>
      <c r="M452"/>
      <c r="N452"/>
      <c r="O452"/>
    </row>
    <row r="453" spans="11:15" x14ac:dyDescent="0.25">
      <c r="K453"/>
      <c r="L453"/>
      <c r="M453"/>
      <c r="N453"/>
      <c r="O453"/>
    </row>
    <row r="454" spans="11:15" x14ac:dyDescent="0.25">
      <c r="K454"/>
      <c r="L454"/>
      <c r="M454"/>
      <c r="N454"/>
      <c r="O454"/>
    </row>
    <row r="455" spans="11:15" x14ac:dyDescent="0.25">
      <c r="K455"/>
      <c r="L455"/>
      <c r="M455"/>
      <c r="N455"/>
      <c r="O455"/>
    </row>
    <row r="456" spans="11:15" x14ac:dyDescent="0.25">
      <c r="K456"/>
      <c r="L456"/>
      <c r="M456"/>
      <c r="N456"/>
      <c r="O456"/>
    </row>
    <row r="457" spans="11:15" x14ac:dyDescent="0.25">
      <c r="K457"/>
      <c r="L457"/>
      <c r="M457"/>
      <c r="N457"/>
      <c r="O457"/>
    </row>
    <row r="458" spans="11:15" x14ac:dyDescent="0.25">
      <c r="K458"/>
      <c r="L458"/>
      <c r="M458"/>
      <c r="N458"/>
      <c r="O458"/>
    </row>
    <row r="459" spans="11:15" x14ac:dyDescent="0.25">
      <c r="K459"/>
      <c r="L459"/>
      <c r="M459"/>
      <c r="N459"/>
      <c r="O459"/>
    </row>
    <row r="460" spans="11:15" x14ac:dyDescent="0.25">
      <c r="K460"/>
      <c r="L460"/>
      <c r="M460"/>
      <c r="N460"/>
      <c r="O460"/>
    </row>
    <row r="461" spans="11:15" x14ac:dyDescent="0.25">
      <c r="K461"/>
      <c r="L461"/>
      <c r="M461"/>
      <c r="N461"/>
      <c r="O461"/>
    </row>
    <row r="462" spans="11:15" x14ac:dyDescent="0.25">
      <c r="K462"/>
      <c r="L462"/>
      <c r="M462"/>
      <c r="N462"/>
      <c r="O462"/>
    </row>
    <row r="463" spans="11:15" x14ac:dyDescent="0.25">
      <c r="K463"/>
      <c r="L463"/>
      <c r="M463"/>
      <c r="N463"/>
      <c r="O463"/>
    </row>
    <row r="464" spans="11:15" x14ac:dyDescent="0.25">
      <c r="K464"/>
      <c r="L464"/>
      <c r="M464"/>
      <c r="N464"/>
      <c r="O464"/>
    </row>
    <row r="465" spans="11:15" x14ac:dyDescent="0.25">
      <c r="K465"/>
      <c r="L465"/>
      <c r="M465"/>
      <c r="N465"/>
      <c r="O465"/>
    </row>
    <row r="466" spans="11:15" x14ac:dyDescent="0.25">
      <c r="K466"/>
      <c r="L466"/>
      <c r="M466"/>
      <c r="N466"/>
      <c r="O466"/>
    </row>
    <row r="467" spans="11:15" x14ac:dyDescent="0.25">
      <c r="K467"/>
      <c r="L467"/>
      <c r="M467"/>
      <c r="N467"/>
      <c r="O467"/>
    </row>
    <row r="468" spans="11:15" x14ac:dyDescent="0.25">
      <c r="K468"/>
      <c r="L468"/>
      <c r="M468"/>
      <c r="N468"/>
      <c r="O468"/>
    </row>
    <row r="469" spans="11:15" x14ac:dyDescent="0.25">
      <c r="K469"/>
      <c r="L469"/>
      <c r="M469"/>
      <c r="N469"/>
      <c r="O469"/>
    </row>
    <row r="470" spans="11:15" x14ac:dyDescent="0.25">
      <c r="K470"/>
      <c r="L470"/>
      <c r="M470"/>
      <c r="N470"/>
      <c r="O470"/>
    </row>
    <row r="471" spans="11:15" x14ac:dyDescent="0.25">
      <c r="K471"/>
      <c r="L471"/>
      <c r="M471"/>
      <c r="N471"/>
      <c r="O471"/>
    </row>
    <row r="472" spans="11:15" x14ac:dyDescent="0.25">
      <c r="K472"/>
      <c r="L472"/>
      <c r="M472"/>
      <c r="N472"/>
      <c r="O472"/>
    </row>
    <row r="473" spans="11:15" x14ac:dyDescent="0.25">
      <c r="K473"/>
      <c r="L473"/>
      <c r="M473"/>
      <c r="N473"/>
      <c r="O473"/>
    </row>
    <row r="474" spans="11:15" x14ac:dyDescent="0.25">
      <c r="K474"/>
      <c r="L474"/>
      <c r="M474"/>
      <c r="N474"/>
      <c r="O474"/>
    </row>
    <row r="475" spans="11:15" x14ac:dyDescent="0.25">
      <c r="K475"/>
      <c r="L475"/>
      <c r="M475"/>
      <c r="N475"/>
      <c r="O475"/>
    </row>
    <row r="476" spans="11:15" x14ac:dyDescent="0.25">
      <c r="K476"/>
      <c r="L476"/>
      <c r="M476"/>
      <c r="N476"/>
      <c r="O476"/>
    </row>
    <row r="477" spans="11:15" x14ac:dyDescent="0.25">
      <c r="K477"/>
      <c r="L477"/>
      <c r="M477"/>
      <c r="N477"/>
      <c r="O477"/>
    </row>
    <row r="478" spans="11:15" x14ac:dyDescent="0.25">
      <c r="K478"/>
      <c r="L478"/>
      <c r="M478"/>
      <c r="N478"/>
      <c r="O478"/>
    </row>
    <row r="479" spans="11:15" x14ac:dyDescent="0.25">
      <c r="K479"/>
      <c r="L479"/>
      <c r="M479"/>
      <c r="N479"/>
      <c r="O479"/>
    </row>
    <row r="480" spans="11:15" x14ac:dyDescent="0.25">
      <c r="K480"/>
      <c r="L480"/>
      <c r="M480"/>
      <c r="N480"/>
      <c r="O480"/>
    </row>
    <row r="481" spans="11:15" x14ac:dyDescent="0.25">
      <c r="K481"/>
      <c r="L481"/>
      <c r="M481"/>
      <c r="N481"/>
      <c r="O481"/>
    </row>
    <row r="482" spans="11:15" x14ac:dyDescent="0.25">
      <c r="K482"/>
      <c r="L482"/>
      <c r="M482"/>
      <c r="N482"/>
      <c r="O482"/>
    </row>
    <row r="483" spans="11:15" x14ac:dyDescent="0.25">
      <c r="K483"/>
      <c r="L483"/>
      <c r="M483"/>
      <c r="N483"/>
      <c r="O483"/>
    </row>
    <row r="484" spans="11:15" x14ac:dyDescent="0.25">
      <c r="K484"/>
      <c r="L484"/>
      <c r="M484"/>
      <c r="N484"/>
      <c r="O484"/>
    </row>
    <row r="485" spans="11:15" x14ac:dyDescent="0.25">
      <c r="K485"/>
      <c r="L485"/>
      <c r="M485"/>
      <c r="N485"/>
      <c r="O485"/>
    </row>
    <row r="486" spans="11:15" x14ac:dyDescent="0.25">
      <c r="K486"/>
      <c r="L486"/>
      <c r="M486"/>
      <c r="N486"/>
      <c r="O486"/>
    </row>
    <row r="487" spans="11:15" x14ac:dyDescent="0.25">
      <c r="K487"/>
      <c r="L487"/>
      <c r="M487"/>
      <c r="N487"/>
      <c r="O487"/>
    </row>
    <row r="488" spans="11:15" x14ac:dyDescent="0.25">
      <c r="K488"/>
      <c r="L488"/>
      <c r="M488"/>
      <c r="N488"/>
      <c r="O488"/>
    </row>
    <row r="489" spans="11:15" x14ac:dyDescent="0.25">
      <c r="K489"/>
      <c r="L489"/>
      <c r="M489"/>
      <c r="N489"/>
      <c r="O489"/>
    </row>
    <row r="490" spans="11:15" x14ac:dyDescent="0.25">
      <c r="K490"/>
      <c r="L490"/>
      <c r="M490"/>
      <c r="N490"/>
      <c r="O490"/>
    </row>
    <row r="491" spans="11:15" x14ac:dyDescent="0.25">
      <c r="K491"/>
      <c r="L491"/>
      <c r="M491"/>
      <c r="N491"/>
      <c r="O491"/>
    </row>
    <row r="492" spans="11:15" x14ac:dyDescent="0.25">
      <c r="K492"/>
      <c r="L492"/>
      <c r="M492"/>
      <c r="N492"/>
      <c r="O492"/>
    </row>
    <row r="493" spans="11:15" x14ac:dyDescent="0.25">
      <c r="K493"/>
      <c r="L493"/>
      <c r="M493"/>
      <c r="N493"/>
      <c r="O493"/>
    </row>
    <row r="494" spans="11:15" x14ac:dyDescent="0.25">
      <c r="K494"/>
      <c r="L494"/>
      <c r="M494"/>
      <c r="N494"/>
      <c r="O494"/>
    </row>
    <row r="495" spans="11:15" x14ac:dyDescent="0.25">
      <c r="K495"/>
      <c r="L495"/>
      <c r="M495"/>
      <c r="N495"/>
      <c r="O495"/>
    </row>
    <row r="496" spans="11:15" x14ac:dyDescent="0.25">
      <c r="K496"/>
      <c r="L496"/>
      <c r="M496"/>
      <c r="N496"/>
      <c r="O496"/>
    </row>
    <row r="497" spans="11:15" x14ac:dyDescent="0.25">
      <c r="K497"/>
      <c r="L497"/>
      <c r="M497"/>
      <c r="N497"/>
      <c r="O497"/>
    </row>
    <row r="498" spans="11:15" x14ac:dyDescent="0.25">
      <c r="K498"/>
      <c r="L498"/>
      <c r="M498"/>
      <c r="N498"/>
      <c r="O498"/>
    </row>
    <row r="499" spans="11:15" x14ac:dyDescent="0.25">
      <c r="K499"/>
      <c r="L499"/>
      <c r="M499"/>
      <c r="N499"/>
      <c r="O499"/>
    </row>
    <row r="500" spans="11:15" x14ac:dyDescent="0.25">
      <c r="K500"/>
      <c r="L500"/>
      <c r="M500"/>
      <c r="N500"/>
      <c r="O500"/>
    </row>
    <row r="501" spans="11:15" x14ac:dyDescent="0.25">
      <c r="K501"/>
      <c r="L501"/>
      <c r="M501"/>
      <c r="N501"/>
      <c r="O501"/>
    </row>
    <row r="502" spans="11:15" x14ac:dyDescent="0.25">
      <c r="K502"/>
      <c r="L502"/>
      <c r="M502"/>
      <c r="N502"/>
      <c r="O502"/>
    </row>
    <row r="503" spans="11:15" x14ac:dyDescent="0.25">
      <c r="K503"/>
      <c r="L503"/>
      <c r="M503"/>
      <c r="N503"/>
      <c r="O503"/>
    </row>
    <row r="504" spans="11:15" x14ac:dyDescent="0.25">
      <c r="K504"/>
      <c r="L504"/>
      <c r="M504"/>
      <c r="N504"/>
      <c r="O504"/>
    </row>
    <row r="505" spans="11:15" x14ac:dyDescent="0.25">
      <c r="K505"/>
      <c r="L505"/>
      <c r="M505"/>
      <c r="N505"/>
      <c r="O505"/>
    </row>
    <row r="506" spans="11:15" x14ac:dyDescent="0.25">
      <c r="K506"/>
      <c r="L506"/>
      <c r="M506"/>
      <c r="N506"/>
      <c r="O506"/>
    </row>
    <row r="507" spans="11:15" x14ac:dyDescent="0.25">
      <c r="K507"/>
      <c r="L507"/>
      <c r="M507"/>
      <c r="N507"/>
      <c r="O507"/>
    </row>
    <row r="508" spans="11:15" x14ac:dyDescent="0.25">
      <c r="K508"/>
      <c r="L508"/>
      <c r="M508"/>
      <c r="N508"/>
      <c r="O508"/>
    </row>
    <row r="509" spans="11:15" x14ac:dyDescent="0.25">
      <c r="K509"/>
      <c r="L509"/>
      <c r="M509"/>
      <c r="N509"/>
      <c r="O509"/>
    </row>
    <row r="510" spans="11:15" x14ac:dyDescent="0.25">
      <c r="K510"/>
      <c r="L510"/>
      <c r="M510"/>
      <c r="N510"/>
      <c r="O510"/>
    </row>
    <row r="511" spans="11:15" x14ac:dyDescent="0.25">
      <c r="K511"/>
      <c r="L511"/>
      <c r="M511"/>
      <c r="N511"/>
      <c r="O511"/>
    </row>
    <row r="512" spans="11:15" x14ac:dyDescent="0.25">
      <c r="K512"/>
      <c r="L512"/>
      <c r="M512"/>
      <c r="N512"/>
      <c r="O512"/>
    </row>
    <row r="513" spans="11:15" x14ac:dyDescent="0.25">
      <c r="K513"/>
      <c r="L513"/>
      <c r="M513"/>
      <c r="N513"/>
      <c r="O513"/>
    </row>
    <row r="514" spans="11:15" x14ac:dyDescent="0.25">
      <c r="K514"/>
      <c r="L514"/>
      <c r="M514"/>
      <c r="N514"/>
      <c r="O514"/>
    </row>
    <row r="515" spans="11:15" x14ac:dyDescent="0.25">
      <c r="K515"/>
      <c r="L515"/>
      <c r="M515"/>
      <c r="N515"/>
      <c r="O515"/>
    </row>
    <row r="516" spans="11:15" x14ac:dyDescent="0.25">
      <c r="K516"/>
      <c r="L516"/>
      <c r="M516"/>
      <c r="N516"/>
      <c r="O516"/>
    </row>
    <row r="517" spans="11:15" x14ac:dyDescent="0.25">
      <c r="K517"/>
      <c r="L517"/>
      <c r="M517"/>
      <c r="N517"/>
      <c r="O517"/>
    </row>
    <row r="518" spans="11:15" x14ac:dyDescent="0.25">
      <c r="K518"/>
      <c r="L518"/>
      <c r="M518"/>
      <c r="N518"/>
      <c r="O518"/>
    </row>
    <row r="519" spans="11:15" x14ac:dyDescent="0.25">
      <c r="K519"/>
      <c r="L519"/>
      <c r="M519"/>
      <c r="N519"/>
      <c r="O519"/>
    </row>
    <row r="520" spans="11:15" x14ac:dyDescent="0.25">
      <c r="K520"/>
      <c r="L520"/>
      <c r="M520"/>
      <c r="N520"/>
      <c r="O520"/>
    </row>
    <row r="521" spans="11:15" x14ac:dyDescent="0.25">
      <c r="K521"/>
      <c r="L521"/>
      <c r="M521"/>
      <c r="N521"/>
      <c r="O521"/>
    </row>
    <row r="522" spans="11:15" x14ac:dyDescent="0.25">
      <c r="K522"/>
      <c r="L522"/>
      <c r="M522"/>
      <c r="N522"/>
      <c r="O522"/>
    </row>
    <row r="523" spans="11:15" x14ac:dyDescent="0.25">
      <c r="K523"/>
      <c r="L523"/>
      <c r="M523"/>
      <c r="N523"/>
      <c r="O523"/>
    </row>
    <row r="524" spans="11:15" x14ac:dyDescent="0.25">
      <c r="K524"/>
      <c r="L524"/>
      <c r="M524"/>
      <c r="N524"/>
      <c r="O524"/>
    </row>
    <row r="525" spans="11:15" x14ac:dyDescent="0.25">
      <c r="K525"/>
      <c r="L525"/>
      <c r="M525"/>
      <c r="N525"/>
      <c r="O525"/>
    </row>
    <row r="526" spans="11:15" x14ac:dyDescent="0.25">
      <c r="K526"/>
      <c r="L526"/>
      <c r="M526"/>
      <c r="N526"/>
      <c r="O526"/>
    </row>
    <row r="527" spans="11:15" x14ac:dyDescent="0.25">
      <c r="K527"/>
      <c r="L527"/>
      <c r="M527"/>
      <c r="N527"/>
      <c r="O527"/>
    </row>
    <row r="528" spans="11:15" x14ac:dyDescent="0.25">
      <c r="K528"/>
      <c r="L528"/>
      <c r="M528"/>
      <c r="N528"/>
      <c r="O528"/>
    </row>
    <row r="529" spans="11:15" x14ac:dyDescent="0.25">
      <c r="K529"/>
      <c r="L529"/>
      <c r="M529"/>
      <c r="N529"/>
      <c r="O529"/>
    </row>
    <row r="530" spans="11:15" x14ac:dyDescent="0.25">
      <c r="K530"/>
      <c r="L530"/>
      <c r="M530"/>
      <c r="N530"/>
      <c r="O530"/>
    </row>
    <row r="531" spans="11:15" x14ac:dyDescent="0.25">
      <c r="K531"/>
      <c r="L531"/>
      <c r="M531"/>
      <c r="N531"/>
      <c r="O531"/>
    </row>
    <row r="532" spans="11:15" x14ac:dyDescent="0.25">
      <c r="K532"/>
      <c r="L532"/>
      <c r="M532"/>
      <c r="N532"/>
      <c r="O532"/>
    </row>
    <row r="533" spans="11:15" x14ac:dyDescent="0.25">
      <c r="K533"/>
      <c r="L533"/>
      <c r="M533"/>
      <c r="N533"/>
      <c r="O533"/>
    </row>
    <row r="534" spans="11:15" x14ac:dyDescent="0.25">
      <c r="K534"/>
      <c r="L534"/>
      <c r="M534"/>
      <c r="N534"/>
      <c r="O534"/>
    </row>
    <row r="535" spans="11:15" x14ac:dyDescent="0.25">
      <c r="K535"/>
      <c r="L535"/>
      <c r="M535"/>
      <c r="N535"/>
      <c r="O535"/>
    </row>
    <row r="536" spans="11:15" x14ac:dyDescent="0.25">
      <c r="K536"/>
      <c r="L536"/>
      <c r="M536"/>
      <c r="N536"/>
      <c r="O536"/>
    </row>
    <row r="537" spans="11:15" x14ac:dyDescent="0.25">
      <c r="K537"/>
      <c r="L537"/>
      <c r="M537"/>
      <c r="N537"/>
      <c r="O537"/>
    </row>
    <row r="538" spans="11:15" x14ac:dyDescent="0.25">
      <c r="K538"/>
      <c r="L538"/>
      <c r="M538"/>
      <c r="N538"/>
      <c r="O538"/>
    </row>
    <row r="539" spans="11:15" x14ac:dyDescent="0.25">
      <c r="K539"/>
      <c r="L539"/>
      <c r="M539"/>
      <c r="N539"/>
      <c r="O539"/>
    </row>
    <row r="540" spans="11:15" x14ac:dyDescent="0.25">
      <c r="K540"/>
      <c r="L540"/>
      <c r="M540"/>
      <c r="N540"/>
      <c r="O540"/>
    </row>
    <row r="541" spans="11:15" x14ac:dyDescent="0.25">
      <c r="K541"/>
      <c r="L541"/>
      <c r="M541"/>
      <c r="N541"/>
      <c r="O541"/>
    </row>
    <row r="542" spans="11:15" x14ac:dyDescent="0.25">
      <c r="K542"/>
      <c r="L542"/>
      <c r="M542"/>
      <c r="N542"/>
      <c r="O542"/>
    </row>
    <row r="543" spans="11:15" x14ac:dyDescent="0.25">
      <c r="K543"/>
      <c r="L543"/>
      <c r="M543"/>
      <c r="N543"/>
      <c r="O543"/>
    </row>
    <row r="544" spans="11:15" x14ac:dyDescent="0.25">
      <c r="K544"/>
      <c r="L544"/>
      <c r="M544"/>
      <c r="N544"/>
      <c r="O544"/>
    </row>
    <row r="545" spans="11:15" x14ac:dyDescent="0.25">
      <c r="K545"/>
      <c r="L545"/>
      <c r="M545"/>
      <c r="N545"/>
      <c r="O545"/>
    </row>
    <row r="546" spans="11:15" x14ac:dyDescent="0.25">
      <c r="K546"/>
      <c r="L546"/>
      <c r="M546"/>
      <c r="N546"/>
      <c r="O546"/>
    </row>
    <row r="547" spans="11:15" x14ac:dyDescent="0.25">
      <c r="K547"/>
      <c r="L547"/>
      <c r="M547"/>
      <c r="N547"/>
      <c r="O547"/>
    </row>
    <row r="548" spans="11:15" x14ac:dyDescent="0.25">
      <c r="K548"/>
      <c r="L548"/>
      <c r="M548"/>
      <c r="N548"/>
      <c r="O548"/>
    </row>
    <row r="549" spans="11:15" x14ac:dyDescent="0.25">
      <c r="K549"/>
      <c r="L549"/>
      <c r="M549"/>
      <c r="N549"/>
      <c r="O549"/>
    </row>
    <row r="550" spans="11:15" x14ac:dyDescent="0.25">
      <c r="K550"/>
      <c r="L550"/>
      <c r="M550"/>
      <c r="N550"/>
      <c r="O550"/>
    </row>
    <row r="551" spans="11:15" x14ac:dyDescent="0.25">
      <c r="K551"/>
      <c r="L551"/>
      <c r="M551"/>
      <c r="N551"/>
      <c r="O551"/>
    </row>
    <row r="552" spans="11:15" x14ac:dyDescent="0.25">
      <c r="K552"/>
      <c r="L552"/>
      <c r="M552"/>
      <c r="N552"/>
      <c r="O552"/>
    </row>
    <row r="553" spans="11:15" x14ac:dyDescent="0.25">
      <c r="K553"/>
      <c r="L553"/>
      <c r="M553"/>
      <c r="N553"/>
      <c r="O553"/>
    </row>
    <row r="554" spans="11:15" x14ac:dyDescent="0.25">
      <c r="K554"/>
      <c r="L554"/>
      <c r="M554"/>
      <c r="N554"/>
      <c r="O554"/>
    </row>
    <row r="555" spans="11:15" x14ac:dyDescent="0.25">
      <c r="K555"/>
      <c r="L555"/>
      <c r="M555"/>
      <c r="N555"/>
      <c r="O555"/>
    </row>
    <row r="556" spans="11:15" x14ac:dyDescent="0.25">
      <c r="K556"/>
      <c r="L556"/>
      <c r="M556"/>
      <c r="N556"/>
      <c r="O556"/>
    </row>
    <row r="557" spans="11:15" x14ac:dyDescent="0.25">
      <c r="K557"/>
      <c r="L557"/>
      <c r="M557"/>
      <c r="N557"/>
      <c r="O557"/>
    </row>
    <row r="558" spans="11:15" x14ac:dyDescent="0.25">
      <c r="K558"/>
      <c r="L558"/>
      <c r="M558"/>
      <c r="N558"/>
      <c r="O558"/>
    </row>
    <row r="559" spans="11:15" x14ac:dyDescent="0.25">
      <c r="K559"/>
      <c r="L559"/>
      <c r="M559"/>
      <c r="N559"/>
      <c r="O559"/>
    </row>
    <row r="560" spans="11:15" x14ac:dyDescent="0.25">
      <c r="K560"/>
      <c r="L560"/>
      <c r="M560"/>
      <c r="N560"/>
      <c r="O560"/>
    </row>
    <row r="561" spans="11:15" x14ac:dyDescent="0.25">
      <c r="K561"/>
      <c r="L561"/>
      <c r="M561"/>
      <c r="N561"/>
      <c r="O561"/>
    </row>
    <row r="562" spans="11:15" x14ac:dyDescent="0.25">
      <c r="K562"/>
      <c r="L562"/>
      <c r="M562"/>
      <c r="N562"/>
      <c r="O562"/>
    </row>
    <row r="563" spans="11:15" x14ac:dyDescent="0.25">
      <c r="K563"/>
      <c r="L563"/>
      <c r="M563"/>
      <c r="N563"/>
      <c r="O563"/>
    </row>
    <row r="564" spans="11:15" x14ac:dyDescent="0.25">
      <c r="K564"/>
      <c r="L564"/>
      <c r="M564"/>
      <c r="N564"/>
      <c r="O564"/>
    </row>
    <row r="565" spans="11:15" x14ac:dyDescent="0.25">
      <c r="K565"/>
      <c r="L565"/>
      <c r="M565"/>
      <c r="N565"/>
      <c r="O565"/>
    </row>
    <row r="566" spans="11:15" x14ac:dyDescent="0.25">
      <c r="K566"/>
      <c r="L566"/>
      <c r="M566"/>
      <c r="N566"/>
      <c r="O566"/>
    </row>
    <row r="567" spans="11:15" x14ac:dyDescent="0.25">
      <c r="K567"/>
      <c r="L567"/>
      <c r="M567"/>
      <c r="N567"/>
      <c r="O567"/>
    </row>
    <row r="568" spans="11:15" x14ac:dyDescent="0.25">
      <c r="K568"/>
      <c r="L568"/>
      <c r="M568"/>
      <c r="N568"/>
      <c r="O568"/>
    </row>
    <row r="569" spans="11:15" x14ac:dyDescent="0.25">
      <c r="K569"/>
      <c r="L569"/>
      <c r="M569"/>
      <c r="N569"/>
      <c r="O569"/>
    </row>
    <row r="570" spans="11:15" x14ac:dyDescent="0.25">
      <c r="K570"/>
      <c r="L570"/>
      <c r="M570"/>
      <c r="N570"/>
      <c r="O570"/>
    </row>
    <row r="571" spans="11:15" x14ac:dyDescent="0.25">
      <c r="K571"/>
      <c r="L571"/>
      <c r="M571"/>
      <c r="N571"/>
      <c r="O571"/>
    </row>
    <row r="572" spans="11:15" x14ac:dyDescent="0.25">
      <c r="K572"/>
      <c r="L572"/>
      <c r="M572"/>
      <c r="N572"/>
      <c r="O572"/>
    </row>
    <row r="573" spans="11:15" x14ac:dyDescent="0.25">
      <c r="K573"/>
      <c r="L573"/>
      <c r="M573"/>
      <c r="N573"/>
      <c r="O573"/>
    </row>
    <row r="574" spans="11:15" x14ac:dyDescent="0.25">
      <c r="K574"/>
      <c r="L574"/>
      <c r="M574"/>
      <c r="N574"/>
      <c r="O574"/>
    </row>
    <row r="575" spans="11:15" x14ac:dyDescent="0.25">
      <c r="K575"/>
      <c r="L575"/>
      <c r="M575"/>
      <c r="N575"/>
      <c r="O575"/>
    </row>
    <row r="576" spans="11:15" x14ac:dyDescent="0.25">
      <c r="K576"/>
      <c r="L576"/>
      <c r="M576"/>
      <c r="N576"/>
      <c r="O576"/>
    </row>
    <row r="577" spans="11:15" x14ac:dyDescent="0.25">
      <c r="K577"/>
      <c r="L577"/>
      <c r="M577"/>
      <c r="N577"/>
      <c r="O577"/>
    </row>
    <row r="578" spans="11:15" x14ac:dyDescent="0.25">
      <c r="K578"/>
      <c r="L578"/>
      <c r="M578"/>
      <c r="N578"/>
      <c r="O578"/>
    </row>
    <row r="579" spans="11:15" x14ac:dyDescent="0.25">
      <c r="K579"/>
      <c r="L579"/>
      <c r="M579"/>
      <c r="N579"/>
      <c r="O579"/>
    </row>
    <row r="580" spans="11:15" x14ac:dyDescent="0.25">
      <c r="K580"/>
      <c r="L580"/>
      <c r="M580"/>
      <c r="N580"/>
      <c r="O580"/>
    </row>
    <row r="581" spans="11:15" x14ac:dyDescent="0.25">
      <c r="K581"/>
      <c r="L581"/>
      <c r="M581"/>
      <c r="N581"/>
      <c r="O581"/>
    </row>
    <row r="582" spans="11:15" x14ac:dyDescent="0.25">
      <c r="K582"/>
      <c r="L582"/>
      <c r="M582"/>
      <c r="N582"/>
      <c r="O582"/>
    </row>
    <row r="583" spans="11:15" x14ac:dyDescent="0.25">
      <c r="K583"/>
      <c r="L583"/>
      <c r="M583"/>
      <c r="N583"/>
      <c r="O583"/>
    </row>
    <row r="584" spans="11:15" x14ac:dyDescent="0.25">
      <c r="K584"/>
      <c r="L584"/>
      <c r="M584"/>
      <c r="N584"/>
      <c r="O584"/>
    </row>
    <row r="585" spans="11:15" x14ac:dyDescent="0.25">
      <c r="K585"/>
      <c r="L585"/>
      <c r="M585"/>
      <c r="N585"/>
      <c r="O585"/>
    </row>
    <row r="586" spans="11:15" x14ac:dyDescent="0.25">
      <c r="K586"/>
      <c r="L586"/>
      <c r="M586"/>
      <c r="N586"/>
      <c r="O586"/>
    </row>
    <row r="587" spans="11:15" x14ac:dyDescent="0.25">
      <c r="K587"/>
      <c r="L587"/>
      <c r="M587"/>
      <c r="N587"/>
      <c r="O587"/>
    </row>
    <row r="588" spans="11:15" x14ac:dyDescent="0.25">
      <c r="K588"/>
      <c r="L588"/>
      <c r="M588"/>
      <c r="N588"/>
      <c r="O588"/>
    </row>
    <row r="589" spans="11:15" x14ac:dyDescent="0.25">
      <c r="K589"/>
      <c r="L589"/>
      <c r="M589"/>
      <c r="N589"/>
      <c r="O589"/>
    </row>
    <row r="590" spans="11:15" x14ac:dyDescent="0.25">
      <c r="K590"/>
      <c r="L590"/>
      <c r="M590"/>
      <c r="N590"/>
      <c r="O590"/>
    </row>
    <row r="591" spans="11:15" x14ac:dyDescent="0.25">
      <c r="K591"/>
      <c r="L591"/>
      <c r="M591"/>
      <c r="N591"/>
      <c r="O591"/>
    </row>
    <row r="592" spans="11:15" x14ac:dyDescent="0.25">
      <c r="K592"/>
      <c r="L592"/>
      <c r="M592"/>
      <c r="N592"/>
      <c r="O592"/>
    </row>
    <row r="593" spans="11:15" x14ac:dyDescent="0.25">
      <c r="K593"/>
      <c r="L593"/>
      <c r="M593"/>
      <c r="N593"/>
      <c r="O593"/>
    </row>
    <row r="594" spans="11:15" x14ac:dyDescent="0.25">
      <c r="K594"/>
      <c r="L594"/>
      <c r="M594"/>
      <c r="N594"/>
      <c r="O594"/>
    </row>
    <row r="595" spans="11:15" x14ac:dyDescent="0.25">
      <c r="K595"/>
      <c r="L595"/>
      <c r="M595"/>
      <c r="N595"/>
      <c r="O595"/>
    </row>
    <row r="596" spans="11:15" x14ac:dyDescent="0.25">
      <c r="K596"/>
      <c r="L596"/>
      <c r="M596"/>
      <c r="N596"/>
      <c r="O596"/>
    </row>
    <row r="597" spans="11:15" x14ac:dyDescent="0.25">
      <c r="K597"/>
      <c r="L597"/>
      <c r="M597"/>
      <c r="N597"/>
      <c r="O597"/>
    </row>
    <row r="598" spans="11:15" x14ac:dyDescent="0.25">
      <c r="K598"/>
      <c r="L598"/>
      <c r="M598"/>
      <c r="N598"/>
      <c r="O598"/>
    </row>
    <row r="599" spans="11:15" x14ac:dyDescent="0.25">
      <c r="K599"/>
      <c r="L599"/>
      <c r="M599"/>
      <c r="N599"/>
      <c r="O599"/>
    </row>
    <row r="600" spans="11:15" x14ac:dyDescent="0.25">
      <c r="K600"/>
      <c r="L600"/>
      <c r="M600"/>
      <c r="N600"/>
      <c r="O600"/>
    </row>
    <row r="601" spans="11:15" x14ac:dyDescent="0.25">
      <c r="K601"/>
      <c r="L601"/>
      <c r="M601"/>
      <c r="N601"/>
      <c r="O601"/>
    </row>
    <row r="602" spans="11:15" x14ac:dyDescent="0.25">
      <c r="K602"/>
      <c r="L602"/>
      <c r="M602"/>
      <c r="N602"/>
      <c r="O602"/>
    </row>
    <row r="603" spans="11:15" x14ac:dyDescent="0.25">
      <c r="K603"/>
      <c r="L603"/>
      <c r="M603"/>
      <c r="N603"/>
      <c r="O603"/>
    </row>
    <row r="604" spans="11:15" x14ac:dyDescent="0.25">
      <c r="K604"/>
      <c r="L604"/>
      <c r="M604"/>
      <c r="N604"/>
      <c r="O604"/>
    </row>
    <row r="605" spans="11:15" x14ac:dyDescent="0.25">
      <c r="K605"/>
      <c r="L605"/>
      <c r="M605"/>
      <c r="N605"/>
      <c r="O605"/>
    </row>
    <row r="606" spans="11:15" x14ac:dyDescent="0.25">
      <c r="K606"/>
      <c r="L606"/>
      <c r="M606"/>
      <c r="N606"/>
      <c r="O606"/>
    </row>
    <row r="607" spans="11:15" x14ac:dyDescent="0.25">
      <c r="K607"/>
      <c r="L607"/>
      <c r="M607"/>
      <c r="N607"/>
      <c r="O607"/>
    </row>
    <row r="608" spans="11:15" x14ac:dyDescent="0.25">
      <c r="K608"/>
      <c r="L608"/>
      <c r="M608"/>
      <c r="N608"/>
      <c r="O608"/>
    </row>
    <row r="609" spans="11:15" x14ac:dyDescent="0.25">
      <c r="K609"/>
      <c r="L609"/>
      <c r="M609"/>
      <c r="N609"/>
      <c r="O609"/>
    </row>
    <row r="610" spans="11:15" x14ac:dyDescent="0.25">
      <c r="K610"/>
      <c r="L610"/>
      <c r="M610"/>
      <c r="N610"/>
      <c r="O610"/>
    </row>
    <row r="611" spans="11:15" x14ac:dyDescent="0.25">
      <c r="K611"/>
      <c r="L611"/>
      <c r="M611"/>
      <c r="N611"/>
      <c r="O611"/>
    </row>
    <row r="612" spans="11:15" x14ac:dyDescent="0.25">
      <c r="K612"/>
      <c r="L612"/>
      <c r="M612"/>
      <c r="N612"/>
      <c r="O612"/>
    </row>
    <row r="613" spans="11:15" x14ac:dyDescent="0.25">
      <c r="K613"/>
      <c r="L613"/>
      <c r="M613"/>
      <c r="N613"/>
      <c r="O613"/>
    </row>
    <row r="614" spans="11:15" x14ac:dyDescent="0.25">
      <c r="K614"/>
      <c r="L614"/>
      <c r="M614"/>
      <c r="N614"/>
      <c r="O614"/>
    </row>
    <row r="615" spans="11:15" x14ac:dyDescent="0.25">
      <c r="K615"/>
      <c r="L615"/>
      <c r="M615"/>
      <c r="N615"/>
      <c r="O615"/>
    </row>
    <row r="616" spans="11:15" x14ac:dyDescent="0.25">
      <c r="K616"/>
      <c r="L616"/>
      <c r="M616"/>
      <c r="N616"/>
      <c r="O616"/>
    </row>
    <row r="617" spans="11:15" x14ac:dyDescent="0.25">
      <c r="K617"/>
      <c r="L617"/>
      <c r="M617"/>
      <c r="N617"/>
      <c r="O617"/>
    </row>
    <row r="618" spans="11:15" x14ac:dyDescent="0.25">
      <c r="K618"/>
      <c r="L618"/>
      <c r="M618"/>
      <c r="N618"/>
      <c r="O618"/>
    </row>
    <row r="619" spans="11:15" x14ac:dyDescent="0.25">
      <c r="K619"/>
      <c r="L619"/>
      <c r="M619"/>
      <c r="N619"/>
      <c r="O619"/>
    </row>
    <row r="620" spans="11:15" x14ac:dyDescent="0.25">
      <c r="K620"/>
      <c r="L620"/>
      <c r="M620"/>
      <c r="N620"/>
      <c r="O620"/>
    </row>
    <row r="621" spans="11:15" x14ac:dyDescent="0.25">
      <c r="K621"/>
      <c r="L621"/>
      <c r="M621"/>
      <c r="N621"/>
      <c r="O621"/>
    </row>
    <row r="622" spans="11:15" x14ac:dyDescent="0.25">
      <c r="K622"/>
      <c r="L622"/>
      <c r="M622"/>
      <c r="N622"/>
      <c r="O622"/>
    </row>
    <row r="623" spans="11:15" x14ac:dyDescent="0.25">
      <c r="K623"/>
      <c r="L623"/>
      <c r="M623"/>
      <c r="N623"/>
      <c r="O623"/>
    </row>
    <row r="624" spans="11:15" x14ac:dyDescent="0.25">
      <c r="K624"/>
      <c r="L624"/>
      <c r="M624"/>
      <c r="N624"/>
      <c r="O624"/>
    </row>
    <row r="625" spans="11:15" x14ac:dyDescent="0.25">
      <c r="K625"/>
      <c r="L625"/>
      <c r="M625"/>
      <c r="N625"/>
      <c r="O625"/>
    </row>
    <row r="626" spans="11:15" x14ac:dyDescent="0.25">
      <c r="K626"/>
      <c r="L626"/>
      <c r="M626"/>
      <c r="N626"/>
      <c r="O626"/>
    </row>
    <row r="627" spans="11:15" x14ac:dyDescent="0.25">
      <c r="K627"/>
      <c r="L627"/>
      <c r="M627"/>
      <c r="N627"/>
      <c r="O627"/>
    </row>
    <row r="628" spans="11:15" x14ac:dyDescent="0.25">
      <c r="K628"/>
      <c r="L628"/>
      <c r="M628"/>
      <c r="N628"/>
      <c r="O628"/>
    </row>
    <row r="629" spans="11:15" x14ac:dyDescent="0.25">
      <c r="K629"/>
      <c r="L629"/>
      <c r="M629"/>
      <c r="N629"/>
      <c r="O629"/>
    </row>
    <row r="630" spans="11:15" x14ac:dyDescent="0.25">
      <c r="K630"/>
      <c r="L630"/>
      <c r="M630"/>
      <c r="N630"/>
      <c r="O630"/>
    </row>
    <row r="631" spans="11:15" x14ac:dyDescent="0.25">
      <c r="K631"/>
      <c r="L631"/>
      <c r="M631"/>
      <c r="N631"/>
      <c r="O631"/>
    </row>
    <row r="632" spans="11:15" x14ac:dyDescent="0.25">
      <c r="K632"/>
      <c r="L632"/>
      <c r="M632"/>
      <c r="N632"/>
      <c r="O632"/>
    </row>
    <row r="633" spans="11:15" x14ac:dyDescent="0.25">
      <c r="K633"/>
      <c r="L633"/>
      <c r="M633"/>
      <c r="N633"/>
      <c r="O633"/>
    </row>
    <row r="634" spans="11:15" x14ac:dyDescent="0.25">
      <c r="K634"/>
      <c r="L634"/>
      <c r="M634"/>
      <c r="N634"/>
      <c r="O634"/>
    </row>
    <row r="635" spans="11:15" x14ac:dyDescent="0.25">
      <c r="K635"/>
      <c r="L635"/>
      <c r="M635"/>
      <c r="N635"/>
      <c r="O635"/>
    </row>
    <row r="636" spans="11:15" x14ac:dyDescent="0.25">
      <c r="K636"/>
      <c r="L636"/>
      <c r="M636"/>
      <c r="N636"/>
      <c r="O636"/>
    </row>
    <row r="637" spans="11:15" x14ac:dyDescent="0.25">
      <c r="K637"/>
      <c r="L637"/>
      <c r="M637"/>
      <c r="N637"/>
      <c r="O637"/>
    </row>
    <row r="638" spans="11:15" x14ac:dyDescent="0.25">
      <c r="K638"/>
      <c r="L638"/>
      <c r="M638"/>
      <c r="N638"/>
      <c r="O638"/>
    </row>
    <row r="639" spans="11:15" x14ac:dyDescent="0.25">
      <c r="K639"/>
      <c r="L639"/>
      <c r="M639"/>
      <c r="N639"/>
      <c r="O639"/>
    </row>
    <row r="640" spans="11:15" x14ac:dyDescent="0.25">
      <c r="K640"/>
      <c r="L640"/>
      <c r="M640"/>
      <c r="N640"/>
      <c r="O640"/>
    </row>
    <row r="641" spans="11:15" x14ac:dyDescent="0.25">
      <c r="K641"/>
      <c r="L641"/>
      <c r="M641"/>
      <c r="N641"/>
      <c r="O641"/>
    </row>
    <row r="642" spans="11:15" x14ac:dyDescent="0.25">
      <c r="K642"/>
      <c r="L642"/>
      <c r="M642"/>
      <c r="N642"/>
      <c r="O642"/>
    </row>
    <row r="643" spans="11:15" x14ac:dyDescent="0.25">
      <c r="K643"/>
      <c r="L643"/>
      <c r="M643"/>
      <c r="N643"/>
      <c r="O643"/>
    </row>
    <row r="644" spans="11:15" x14ac:dyDescent="0.25">
      <c r="K644"/>
      <c r="L644"/>
      <c r="M644"/>
      <c r="N644"/>
      <c r="O644"/>
    </row>
    <row r="645" spans="11:15" x14ac:dyDescent="0.25">
      <c r="K645"/>
      <c r="L645"/>
      <c r="M645"/>
      <c r="N645"/>
      <c r="O645"/>
    </row>
    <row r="646" spans="11:15" x14ac:dyDescent="0.25">
      <c r="K646"/>
      <c r="L646"/>
      <c r="M646"/>
      <c r="N646"/>
      <c r="O646"/>
    </row>
    <row r="647" spans="11:15" x14ac:dyDescent="0.25">
      <c r="K647"/>
      <c r="L647"/>
      <c r="M647"/>
      <c r="N647"/>
      <c r="O647"/>
    </row>
    <row r="648" spans="11:15" x14ac:dyDescent="0.25">
      <c r="K648"/>
      <c r="L648"/>
      <c r="M648"/>
      <c r="N648"/>
      <c r="O648"/>
    </row>
    <row r="649" spans="11:15" x14ac:dyDescent="0.25">
      <c r="K649"/>
      <c r="L649"/>
      <c r="M649"/>
      <c r="N649"/>
      <c r="O649"/>
    </row>
    <row r="650" spans="11:15" x14ac:dyDescent="0.25">
      <c r="K650"/>
      <c r="L650"/>
      <c r="M650"/>
      <c r="N650"/>
      <c r="O650"/>
    </row>
    <row r="651" spans="11:15" x14ac:dyDescent="0.25">
      <c r="K651"/>
      <c r="L651"/>
      <c r="M651"/>
      <c r="N651"/>
      <c r="O651"/>
    </row>
    <row r="652" spans="11:15" x14ac:dyDescent="0.25">
      <c r="K652"/>
      <c r="L652"/>
      <c r="M652"/>
      <c r="N652"/>
      <c r="O652"/>
    </row>
    <row r="653" spans="11:15" x14ac:dyDescent="0.25">
      <c r="K653"/>
      <c r="L653"/>
      <c r="M653"/>
      <c r="N653"/>
      <c r="O653"/>
    </row>
    <row r="654" spans="11:15" x14ac:dyDescent="0.25">
      <c r="K654"/>
      <c r="L654"/>
      <c r="M654"/>
      <c r="N654"/>
      <c r="O654"/>
    </row>
    <row r="655" spans="11:15" x14ac:dyDescent="0.25">
      <c r="K655"/>
      <c r="L655"/>
      <c r="M655"/>
      <c r="N655"/>
      <c r="O655"/>
    </row>
    <row r="656" spans="11:15" x14ac:dyDescent="0.25">
      <c r="K656"/>
      <c r="L656"/>
      <c r="M656"/>
      <c r="N656"/>
      <c r="O656"/>
    </row>
    <row r="657" spans="11:15" x14ac:dyDescent="0.25">
      <c r="K657"/>
      <c r="L657"/>
      <c r="M657"/>
      <c r="N657"/>
      <c r="O657"/>
    </row>
    <row r="658" spans="11:15" x14ac:dyDescent="0.25">
      <c r="K658"/>
      <c r="L658"/>
      <c r="M658"/>
      <c r="N658"/>
      <c r="O658"/>
    </row>
    <row r="659" spans="11:15" x14ac:dyDescent="0.25">
      <c r="K659"/>
      <c r="L659"/>
      <c r="M659"/>
      <c r="N659"/>
      <c r="O659"/>
    </row>
    <row r="660" spans="11:15" x14ac:dyDescent="0.25">
      <c r="K660"/>
      <c r="L660"/>
      <c r="M660"/>
      <c r="N660"/>
      <c r="O660"/>
    </row>
    <row r="661" spans="11:15" x14ac:dyDescent="0.25">
      <c r="K661"/>
      <c r="L661"/>
      <c r="M661"/>
      <c r="N661"/>
      <c r="O661"/>
    </row>
    <row r="662" spans="11:15" x14ac:dyDescent="0.25">
      <c r="K662"/>
      <c r="L662"/>
      <c r="M662"/>
      <c r="N662"/>
      <c r="O662"/>
    </row>
    <row r="663" spans="11:15" x14ac:dyDescent="0.25">
      <c r="K663"/>
      <c r="L663"/>
      <c r="M663"/>
      <c r="N663"/>
      <c r="O663"/>
    </row>
    <row r="664" spans="11:15" x14ac:dyDescent="0.25">
      <c r="K664"/>
      <c r="L664"/>
      <c r="M664"/>
      <c r="N664"/>
      <c r="O664"/>
    </row>
    <row r="665" spans="11:15" x14ac:dyDescent="0.25">
      <c r="K665"/>
      <c r="L665"/>
      <c r="M665"/>
      <c r="N665"/>
      <c r="O665"/>
    </row>
    <row r="666" spans="11:15" x14ac:dyDescent="0.25">
      <c r="K666"/>
      <c r="L666"/>
      <c r="M666"/>
      <c r="N666"/>
      <c r="O666"/>
    </row>
    <row r="667" spans="11:15" x14ac:dyDescent="0.25">
      <c r="K667"/>
      <c r="L667"/>
      <c r="M667"/>
      <c r="N667"/>
      <c r="O667"/>
    </row>
    <row r="668" spans="11:15" x14ac:dyDescent="0.25">
      <c r="K668"/>
      <c r="L668"/>
      <c r="M668"/>
      <c r="N668"/>
      <c r="O668"/>
    </row>
    <row r="669" spans="11:15" x14ac:dyDescent="0.25">
      <c r="K669"/>
      <c r="L669"/>
      <c r="M669"/>
      <c r="N669"/>
      <c r="O669"/>
    </row>
    <row r="670" spans="11:15" x14ac:dyDescent="0.25">
      <c r="K670"/>
      <c r="L670"/>
      <c r="M670"/>
      <c r="N670"/>
      <c r="O670"/>
    </row>
    <row r="671" spans="11:15" x14ac:dyDescent="0.25">
      <c r="K671"/>
      <c r="L671"/>
      <c r="M671"/>
      <c r="N671"/>
      <c r="O671"/>
    </row>
    <row r="672" spans="11:15" x14ac:dyDescent="0.25">
      <c r="K672"/>
      <c r="L672"/>
      <c r="M672"/>
      <c r="N672"/>
      <c r="O672"/>
    </row>
    <row r="673" spans="11:15" x14ac:dyDescent="0.25">
      <c r="K673"/>
      <c r="L673"/>
      <c r="M673"/>
      <c r="N673"/>
      <c r="O673"/>
    </row>
    <row r="674" spans="11:15" x14ac:dyDescent="0.25">
      <c r="K674"/>
      <c r="L674"/>
      <c r="M674"/>
      <c r="N674"/>
      <c r="O674"/>
    </row>
    <row r="675" spans="11:15" x14ac:dyDescent="0.25">
      <c r="K675"/>
      <c r="L675"/>
      <c r="M675"/>
      <c r="N675"/>
      <c r="O675"/>
    </row>
    <row r="676" spans="11:15" x14ac:dyDescent="0.25">
      <c r="K676"/>
      <c r="L676"/>
      <c r="M676"/>
      <c r="N676"/>
      <c r="O676"/>
    </row>
    <row r="677" spans="11:15" x14ac:dyDescent="0.25">
      <c r="K677"/>
      <c r="L677"/>
      <c r="M677"/>
      <c r="N677"/>
      <c r="O677"/>
    </row>
    <row r="678" spans="11:15" x14ac:dyDescent="0.25">
      <c r="K678"/>
      <c r="L678"/>
      <c r="M678"/>
      <c r="N678"/>
      <c r="O678"/>
    </row>
    <row r="679" spans="11:15" x14ac:dyDescent="0.25">
      <c r="K679"/>
      <c r="L679"/>
      <c r="M679"/>
      <c r="N679"/>
      <c r="O679"/>
    </row>
    <row r="680" spans="11:15" x14ac:dyDescent="0.25">
      <c r="K680"/>
      <c r="L680"/>
      <c r="M680"/>
      <c r="N680"/>
      <c r="O680"/>
    </row>
    <row r="681" spans="11:15" x14ac:dyDescent="0.25">
      <c r="K681"/>
      <c r="L681"/>
      <c r="M681"/>
      <c r="N681"/>
      <c r="O681"/>
    </row>
    <row r="682" spans="11:15" x14ac:dyDescent="0.25">
      <c r="K682"/>
      <c r="L682"/>
      <c r="M682"/>
      <c r="N682"/>
      <c r="O682"/>
    </row>
    <row r="683" spans="11:15" x14ac:dyDescent="0.25">
      <c r="K683"/>
      <c r="L683"/>
      <c r="M683"/>
      <c r="N683"/>
      <c r="O683"/>
    </row>
    <row r="684" spans="11:15" x14ac:dyDescent="0.25">
      <c r="K684"/>
      <c r="L684"/>
      <c r="M684"/>
      <c r="N684"/>
      <c r="O684"/>
    </row>
    <row r="685" spans="11:15" x14ac:dyDescent="0.25">
      <c r="K685"/>
      <c r="L685"/>
      <c r="M685"/>
      <c r="N685"/>
      <c r="O685"/>
    </row>
    <row r="686" spans="11:15" x14ac:dyDescent="0.25">
      <c r="K686"/>
      <c r="L686"/>
      <c r="M686"/>
      <c r="N686"/>
      <c r="O686"/>
    </row>
    <row r="687" spans="11:15" x14ac:dyDescent="0.25">
      <c r="K687"/>
      <c r="L687"/>
      <c r="M687"/>
      <c r="N687"/>
      <c r="O687"/>
    </row>
    <row r="688" spans="11:15" x14ac:dyDescent="0.25">
      <c r="K688"/>
      <c r="L688"/>
      <c r="M688"/>
      <c r="N688"/>
      <c r="O688"/>
    </row>
    <row r="689" spans="11:15" x14ac:dyDescent="0.25">
      <c r="K689"/>
      <c r="L689"/>
      <c r="M689"/>
      <c r="N689"/>
      <c r="O689"/>
    </row>
    <row r="690" spans="11:15" x14ac:dyDescent="0.25">
      <c r="K690"/>
      <c r="L690"/>
      <c r="M690"/>
      <c r="N690"/>
      <c r="O690"/>
    </row>
    <row r="691" spans="11:15" x14ac:dyDescent="0.25">
      <c r="K691"/>
      <c r="L691"/>
      <c r="M691"/>
      <c r="N691"/>
      <c r="O691"/>
    </row>
    <row r="692" spans="11:15" x14ac:dyDescent="0.25">
      <c r="K692"/>
      <c r="L692"/>
      <c r="M692"/>
      <c r="N692"/>
      <c r="O692"/>
    </row>
    <row r="693" spans="11:15" x14ac:dyDescent="0.25">
      <c r="K693"/>
      <c r="L693"/>
      <c r="M693"/>
      <c r="N693"/>
      <c r="O693"/>
    </row>
    <row r="694" spans="11:15" x14ac:dyDescent="0.25">
      <c r="K694"/>
      <c r="L694"/>
      <c r="M694"/>
      <c r="N694"/>
      <c r="O694"/>
    </row>
    <row r="695" spans="11:15" x14ac:dyDescent="0.25">
      <c r="K695"/>
      <c r="L695"/>
      <c r="M695"/>
      <c r="N695"/>
      <c r="O695"/>
    </row>
    <row r="696" spans="11:15" x14ac:dyDescent="0.25">
      <c r="K696"/>
      <c r="L696"/>
      <c r="M696"/>
      <c r="N696"/>
      <c r="O696"/>
    </row>
    <row r="697" spans="11:15" x14ac:dyDescent="0.25">
      <c r="K697"/>
      <c r="L697"/>
      <c r="M697"/>
      <c r="N697"/>
      <c r="O697"/>
    </row>
    <row r="698" spans="11:15" x14ac:dyDescent="0.25">
      <c r="K698"/>
      <c r="L698"/>
      <c r="M698"/>
      <c r="N698"/>
      <c r="O698"/>
    </row>
    <row r="699" spans="11:15" x14ac:dyDescent="0.25">
      <c r="K699"/>
      <c r="L699"/>
      <c r="M699"/>
      <c r="N699"/>
      <c r="O699"/>
    </row>
    <row r="700" spans="11:15" x14ac:dyDescent="0.25">
      <c r="K700"/>
      <c r="L700"/>
      <c r="M700"/>
      <c r="N700"/>
      <c r="O700"/>
    </row>
    <row r="701" spans="11:15" x14ac:dyDescent="0.25">
      <c r="K701"/>
      <c r="L701"/>
      <c r="M701"/>
      <c r="N701"/>
      <c r="O701"/>
    </row>
    <row r="702" spans="11:15" x14ac:dyDescent="0.25">
      <c r="K702"/>
      <c r="L702"/>
      <c r="M702"/>
      <c r="N702"/>
      <c r="O702"/>
    </row>
    <row r="703" spans="11:15" x14ac:dyDescent="0.25">
      <c r="K703"/>
      <c r="L703"/>
      <c r="M703"/>
      <c r="N703"/>
      <c r="O703"/>
    </row>
    <row r="704" spans="11:15" x14ac:dyDescent="0.25">
      <c r="K704"/>
      <c r="L704"/>
      <c r="M704"/>
      <c r="N704"/>
      <c r="O704"/>
    </row>
    <row r="705" spans="11:15" x14ac:dyDescent="0.25">
      <c r="K705"/>
      <c r="L705"/>
      <c r="M705"/>
      <c r="N705"/>
      <c r="O705"/>
    </row>
    <row r="706" spans="11:15" x14ac:dyDescent="0.25">
      <c r="K706"/>
      <c r="L706"/>
      <c r="M706"/>
      <c r="N706"/>
      <c r="O706"/>
    </row>
    <row r="707" spans="11:15" x14ac:dyDescent="0.25">
      <c r="K707"/>
      <c r="L707"/>
      <c r="M707"/>
      <c r="N707"/>
      <c r="O707"/>
    </row>
    <row r="708" spans="11:15" x14ac:dyDescent="0.25">
      <c r="K708"/>
      <c r="L708"/>
      <c r="M708"/>
      <c r="N708"/>
      <c r="O708"/>
    </row>
    <row r="709" spans="11:15" x14ac:dyDescent="0.25">
      <c r="K709"/>
      <c r="L709"/>
      <c r="M709"/>
      <c r="N709"/>
      <c r="O709"/>
    </row>
    <row r="710" spans="11:15" x14ac:dyDescent="0.25">
      <c r="K710"/>
      <c r="L710"/>
      <c r="M710"/>
      <c r="N710"/>
      <c r="O710"/>
    </row>
    <row r="711" spans="11:15" x14ac:dyDescent="0.25">
      <c r="K711"/>
      <c r="L711"/>
      <c r="M711"/>
      <c r="N711"/>
      <c r="O711"/>
    </row>
    <row r="712" spans="11:15" x14ac:dyDescent="0.25">
      <c r="K712"/>
      <c r="L712"/>
      <c r="M712"/>
      <c r="N712"/>
      <c r="O712"/>
    </row>
    <row r="713" spans="11:15" x14ac:dyDescent="0.25">
      <c r="K713"/>
      <c r="L713"/>
      <c r="M713"/>
      <c r="N713"/>
      <c r="O713"/>
    </row>
    <row r="714" spans="11:15" x14ac:dyDescent="0.25">
      <c r="K714"/>
      <c r="L714"/>
      <c r="M714"/>
      <c r="N714"/>
      <c r="O714"/>
    </row>
    <row r="715" spans="11:15" x14ac:dyDescent="0.25">
      <c r="K715"/>
      <c r="L715"/>
      <c r="M715"/>
      <c r="N715"/>
      <c r="O715"/>
    </row>
    <row r="716" spans="11:15" x14ac:dyDescent="0.25">
      <c r="K716"/>
      <c r="L716"/>
      <c r="M716"/>
      <c r="N716"/>
      <c r="O716"/>
    </row>
    <row r="717" spans="11:15" x14ac:dyDescent="0.25">
      <c r="K717"/>
      <c r="L717"/>
      <c r="M717"/>
      <c r="N717"/>
      <c r="O717"/>
    </row>
    <row r="718" spans="11:15" x14ac:dyDescent="0.25">
      <c r="K718"/>
      <c r="L718"/>
      <c r="M718"/>
      <c r="N718"/>
      <c r="O718"/>
    </row>
    <row r="719" spans="11:15" x14ac:dyDescent="0.25">
      <c r="K719"/>
      <c r="L719"/>
      <c r="M719"/>
      <c r="N719"/>
      <c r="O719"/>
    </row>
    <row r="720" spans="11:15" x14ac:dyDescent="0.25">
      <c r="K720"/>
      <c r="L720"/>
      <c r="M720"/>
      <c r="N720"/>
      <c r="O720"/>
    </row>
    <row r="721" spans="11:15" x14ac:dyDescent="0.25">
      <c r="K721"/>
      <c r="L721"/>
      <c r="M721"/>
      <c r="N721"/>
      <c r="O721"/>
    </row>
    <row r="722" spans="11:15" x14ac:dyDescent="0.25">
      <c r="K722"/>
      <c r="L722"/>
      <c r="M722"/>
      <c r="N722"/>
      <c r="O722"/>
    </row>
    <row r="723" spans="11:15" x14ac:dyDescent="0.25">
      <c r="K723"/>
      <c r="L723"/>
      <c r="M723"/>
      <c r="N723"/>
      <c r="O723"/>
    </row>
    <row r="724" spans="11:15" x14ac:dyDescent="0.25">
      <c r="K724"/>
      <c r="L724"/>
      <c r="M724"/>
      <c r="N724"/>
      <c r="O724"/>
    </row>
    <row r="725" spans="11:15" x14ac:dyDescent="0.25">
      <c r="K725"/>
      <c r="L725"/>
      <c r="M725"/>
      <c r="N725"/>
      <c r="O725"/>
    </row>
    <row r="726" spans="11:15" x14ac:dyDescent="0.25">
      <c r="K726"/>
      <c r="L726"/>
      <c r="M726"/>
      <c r="N726"/>
      <c r="O726"/>
    </row>
    <row r="727" spans="11:15" x14ac:dyDescent="0.25">
      <c r="K727"/>
      <c r="L727"/>
      <c r="M727"/>
      <c r="N727"/>
      <c r="O727"/>
    </row>
    <row r="728" spans="11:15" x14ac:dyDescent="0.25">
      <c r="K728"/>
      <c r="L728"/>
      <c r="M728"/>
      <c r="N728"/>
      <c r="O728"/>
    </row>
    <row r="729" spans="11:15" x14ac:dyDescent="0.25">
      <c r="K729"/>
      <c r="L729"/>
      <c r="M729"/>
      <c r="N729"/>
      <c r="O729"/>
    </row>
    <row r="730" spans="11:15" x14ac:dyDescent="0.25">
      <c r="K730"/>
      <c r="L730"/>
      <c r="M730"/>
      <c r="N730"/>
      <c r="O730"/>
    </row>
    <row r="731" spans="11:15" x14ac:dyDescent="0.25">
      <c r="K731"/>
      <c r="L731"/>
      <c r="M731"/>
      <c r="N731"/>
      <c r="O731"/>
    </row>
    <row r="732" spans="11:15" x14ac:dyDescent="0.25">
      <c r="K732"/>
      <c r="L732"/>
      <c r="M732"/>
      <c r="N732"/>
      <c r="O732"/>
    </row>
    <row r="733" spans="11:15" x14ac:dyDescent="0.25">
      <c r="K733"/>
      <c r="L733"/>
      <c r="M733"/>
      <c r="N733"/>
      <c r="O733"/>
    </row>
    <row r="734" spans="11:15" x14ac:dyDescent="0.25">
      <c r="K734"/>
      <c r="L734"/>
      <c r="M734"/>
      <c r="N734"/>
      <c r="O734"/>
    </row>
    <row r="735" spans="11:15" x14ac:dyDescent="0.25">
      <c r="K735"/>
      <c r="L735"/>
      <c r="M735"/>
      <c r="N735"/>
      <c r="O735"/>
    </row>
    <row r="736" spans="11:15" x14ac:dyDescent="0.25">
      <c r="K736"/>
      <c r="L736"/>
      <c r="M736"/>
      <c r="N736"/>
      <c r="O736"/>
    </row>
    <row r="737" spans="11:15" x14ac:dyDescent="0.25">
      <c r="K737"/>
      <c r="L737"/>
      <c r="M737"/>
      <c r="N737"/>
      <c r="O737"/>
    </row>
    <row r="738" spans="11:15" x14ac:dyDescent="0.25">
      <c r="K738"/>
      <c r="L738"/>
      <c r="M738"/>
      <c r="N738"/>
      <c r="O738"/>
    </row>
    <row r="739" spans="11:15" x14ac:dyDescent="0.25">
      <c r="K739"/>
      <c r="L739"/>
      <c r="M739"/>
      <c r="N739"/>
      <c r="O739"/>
    </row>
    <row r="740" spans="11:15" x14ac:dyDescent="0.25">
      <c r="K740"/>
      <c r="L740"/>
      <c r="M740"/>
      <c r="N740"/>
      <c r="O740"/>
    </row>
    <row r="741" spans="11:15" x14ac:dyDescent="0.25">
      <c r="K741"/>
      <c r="L741"/>
      <c r="M741"/>
      <c r="N741"/>
      <c r="O741"/>
    </row>
    <row r="742" spans="11:15" x14ac:dyDescent="0.25">
      <c r="K742"/>
      <c r="L742"/>
      <c r="M742"/>
      <c r="N742"/>
      <c r="O742"/>
    </row>
    <row r="743" spans="11:15" x14ac:dyDescent="0.25">
      <c r="K743"/>
      <c r="L743"/>
      <c r="M743"/>
      <c r="N743"/>
      <c r="O743"/>
    </row>
    <row r="744" spans="11:15" x14ac:dyDescent="0.25">
      <c r="K744"/>
      <c r="L744"/>
      <c r="M744"/>
      <c r="N744"/>
      <c r="O744"/>
    </row>
    <row r="745" spans="11:15" x14ac:dyDescent="0.25">
      <c r="K745"/>
      <c r="L745"/>
      <c r="M745"/>
      <c r="N745"/>
      <c r="O745"/>
    </row>
    <row r="746" spans="11:15" x14ac:dyDescent="0.25">
      <c r="K746"/>
      <c r="L746"/>
      <c r="M746"/>
      <c r="N746"/>
      <c r="O746"/>
    </row>
    <row r="747" spans="11:15" x14ac:dyDescent="0.25">
      <c r="K747"/>
      <c r="L747"/>
      <c r="M747"/>
      <c r="N747"/>
      <c r="O747"/>
    </row>
    <row r="748" spans="11:15" x14ac:dyDescent="0.25">
      <c r="K748"/>
      <c r="L748"/>
      <c r="M748"/>
      <c r="N748"/>
      <c r="O748"/>
    </row>
    <row r="749" spans="11:15" x14ac:dyDescent="0.25">
      <c r="K749"/>
      <c r="L749"/>
      <c r="M749"/>
      <c r="N749"/>
      <c r="O749"/>
    </row>
    <row r="750" spans="11:15" x14ac:dyDescent="0.25">
      <c r="K750"/>
      <c r="L750"/>
      <c r="M750"/>
      <c r="N750"/>
      <c r="O750"/>
    </row>
    <row r="751" spans="11:15" x14ac:dyDescent="0.25">
      <c r="K751"/>
      <c r="L751"/>
      <c r="M751"/>
      <c r="N751"/>
      <c r="O751"/>
    </row>
    <row r="752" spans="11:15" x14ac:dyDescent="0.25">
      <c r="K752"/>
      <c r="L752"/>
      <c r="M752"/>
      <c r="N752"/>
      <c r="O752"/>
    </row>
    <row r="753" spans="11:15" x14ac:dyDescent="0.25">
      <c r="K753"/>
      <c r="L753"/>
      <c r="M753"/>
      <c r="N753"/>
      <c r="O753"/>
    </row>
    <row r="754" spans="11:15" x14ac:dyDescent="0.25">
      <c r="K754"/>
      <c r="L754"/>
      <c r="M754"/>
      <c r="N754"/>
      <c r="O754"/>
    </row>
    <row r="755" spans="11:15" x14ac:dyDescent="0.25">
      <c r="K755"/>
      <c r="L755"/>
      <c r="M755"/>
      <c r="N755"/>
      <c r="O755"/>
    </row>
    <row r="756" spans="11:15" x14ac:dyDescent="0.25">
      <c r="K756"/>
      <c r="L756"/>
      <c r="M756"/>
      <c r="N756"/>
      <c r="O756"/>
    </row>
    <row r="757" spans="11:15" x14ac:dyDescent="0.25">
      <c r="K757"/>
      <c r="L757"/>
      <c r="M757"/>
      <c r="N757"/>
      <c r="O757"/>
    </row>
    <row r="758" spans="11:15" x14ac:dyDescent="0.25">
      <c r="K758"/>
      <c r="L758"/>
      <c r="M758"/>
      <c r="N758"/>
      <c r="O758"/>
    </row>
    <row r="759" spans="11:15" x14ac:dyDescent="0.25">
      <c r="K759"/>
      <c r="L759"/>
      <c r="M759"/>
      <c r="N759"/>
      <c r="O759"/>
    </row>
    <row r="760" spans="11:15" x14ac:dyDescent="0.25">
      <c r="K760"/>
      <c r="L760"/>
      <c r="M760"/>
      <c r="N760"/>
      <c r="O760"/>
    </row>
    <row r="761" spans="11:15" x14ac:dyDescent="0.25">
      <c r="K761"/>
      <c r="L761"/>
      <c r="M761"/>
      <c r="N761"/>
      <c r="O761"/>
    </row>
    <row r="762" spans="11:15" x14ac:dyDescent="0.25">
      <c r="K762"/>
      <c r="L762"/>
      <c r="M762"/>
      <c r="N762"/>
      <c r="O762"/>
    </row>
    <row r="763" spans="11:15" x14ac:dyDescent="0.25">
      <c r="K763"/>
      <c r="L763"/>
      <c r="M763"/>
      <c r="N763"/>
      <c r="O763"/>
    </row>
    <row r="764" spans="11:15" x14ac:dyDescent="0.25">
      <c r="K764"/>
      <c r="L764"/>
      <c r="M764"/>
      <c r="N764"/>
      <c r="O764"/>
    </row>
    <row r="765" spans="11:15" x14ac:dyDescent="0.25">
      <c r="K765"/>
      <c r="L765"/>
      <c r="M765"/>
      <c r="N765"/>
      <c r="O765"/>
    </row>
    <row r="766" spans="11:15" x14ac:dyDescent="0.25">
      <c r="K766"/>
      <c r="L766"/>
      <c r="M766"/>
      <c r="N766"/>
      <c r="O766"/>
    </row>
    <row r="767" spans="11:15" x14ac:dyDescent="0.25">
      <c r="K767"/>
      <c r="L767"/>
      <c r="M767"/>
      <c r="N767"/>
      <c r="O767"/>
    </row>
    <row r="768" spans="11:15" x14ac:dyDescent="0.25">
      <c r="K768"/>
      <c r="L768"/>
      <c r="M768"/>
      <c r="N768"/>
      <c r="O768"/>
    </row>
    <row r="769" spans="11:15" x14ac:dyDescent="0.25">
      <c r="K769"/>
      <c r="L769"/>
      <c r="M769"/>
      <c r="N769"/>
      <c r="O769"/>
    </row>
    <row r="770" spans="11:15" x14ac:dyDescent="0.25">
      <c r="K770"/>
      <c r="L770"/>
      <c r="M770"/>
      <c r="N770"/>
      <c r="O770"/>
    </row>
    <row r="771" spans="11:15" x14ac:dyDescent="0.25">
      <c r="K771"/>
      <c r="L771"/>
      <c r="M771"/>
      <c r="N771"/>
      <c r="O771"/>
    </row>
    <row r="772" spans="11:15" x14ac:dyDescent="0.25">
      <c r="K772"/>
      <c r="L772"/>
      <c r="M772"/>
      <c r="N772"/>
      <c r="O772"/>
    </row>
    <row r="773" spans="11:15" x14ac:dyDescent="0.25">
      <c r="K773"/>
      <c r="L773"/>
      <c r="M773"/>
      <c r="N773"/>
      <c r="O773"/>
    </row>
    <row r="774" spans="11:15" x14ac:dyDescent="0.25">
      <c r="K774"/>
      <c r="L774"/>
      <c r="M774"/>
      <c r="N774"/>
      <c r="O774"/>
    </row>
    <row r="775" spans="11:15" x14ac:dyDescent="0.25">
      <c r="K775"/>
      <c r="L775"/>
      <c r="M775"/>
      <c r="N775"/>
      <c r="O775"/>
    </row>
    <row r="776" spans="11:15" x14ac:dyDescent="0.25">
      <c r="K776"/>
      <c r="L776"/>
      <c r="M776"/>
      <c r="N776"/>
      <c r="O776"/>
    </row>
    <row r="777" spans="11:15" x14ac:dyDescent="0.25">
      <c r="K777"/>
      <c r="L777"/>
      <c r="M777"/>
      <c r="N777"/>
      <c r="O777"/>
    </row>
    <row r="778" spans="11:15" x14ac:dyDescent="0.25">
      <c r="K778"/>
      <c r="L778"/>
      <c r="M778"/>
      <c r="N778"/>
      <c r="O778"/>
    </row>
    <row r="779" spans="11:15" x14ac:dyDescent="0.25">
      <c r="K779"/>
      <c r="L779"/>
      <c r="M779"/>
      <c r="N779"/>
      <c r="O779"/>
    </row>
    <row r="780" spans="11:15" x14ac:dyDescent="0.25">
      <c r="K780"/>
      <c r="L780"/>
      <c r="M780"/>
      <c r="N780"/>
      <c r="O780"/>
    </row>
    <row r="781" spans="11:15" x14ac:dyDescent="0.25">
      <c r="K781"/>
      <c r="L781"/>
      <c r="M781"/>
      <c r="N781"/>
      <c r="O781"/>
    </row>
    <row r="782" spans="11:15" x14ac:dyDescent="0.25">
      <c r="K782"/>
      <c r="L782"/>
      <c r="M782"/>
      <c r="N782"/>
      <c r="O782"/>
    </row>
    <row r="783" spans="11:15" x14ac:dyDescent="0.25">
      <c r="K783"/>
      <c r="L783"/>
      <c r="M783"/>
      <c r="N783"/>
      <c r="O783"/>
    </row>
    <row r="784" spans="11:15" x14ac:dyDescent="0.25">
      <c r="K784"/>
      <c r="L784"/>
      <c r="M784"/>
      <c r="N784"/>
      <c r="O784"/>
    </row>
    <row r="785" spans="11:15" x14ac:dyDescent="0.25">
      <c r="K785"/>
      <c r="L785"/>
      <c r="M785"/>
      <c r="N785"/>
      <c r="O785"/>
    </row>
    <row r="786" spans="11:15" x14ac:dyDescent="0.25">
      <c r="K786"/>
      <c r="L786"/>
      <c r="M786"/>
      <c r="N786"/>
      <c r="O786"/>
    </row>
    <row r="787" spans="11:15" x14ac:dyDescent="0.25">
      <c r="K787"/>
      <c r="L787"/>
      <c r="M787"/>
      <c r="N787"/>
      <c r="O787"/>
    </row>
    <row r="788" spans="11:15" x14ac:dyDescent="0.25">
      <c r="K788"/>
      <c r="L788"/>
      <c r="M788"/>
      <c r="N788"/>
      <c r="O788"/>
    </row>
    <row r="789" spans="11:15" x14ac:dyDescent="0.25">
      <c r="K789"/>
      <c r="L789"/>
      <c r="M789"/>
      <c r="N789"/>
      <c r="O789"/>
    </row>
    <row r="790" spans="11:15" x14ac:dyDescent="0.25">
      <c r="K790"/>
      <c r="L790"/>
      <c r="M790"/>
      <c r="N790"/>
      <c r="O790"/>
    </row>
    <row r="791" spans="11:15" x14ac:dyDescent="0.25">
      <c r="K791"/>
      <c r="L791"/>
      <c r="M791"/>
      <c r="N791"/>
      <c r="O791"/>
    </row>
    <row r="792" spans="11:15" x14ac:dyDescent="0.25">
      <c r="K792"/>
      <c r="L792"/>
      <c r="M792"/>
      <c r="N792"/>
      <c r="O792"/>
    </row>
    <row r="793" spans="11:15" x14ac:dyDescent="0.25">
      <c r="K793"/>
      <c r="L793"/>
      <c r="M793"/>
      <c r="N793"/>
      <c r="O793"/>
    </row>
    <row r="794" spans="11:15" x14ac:dyDescent="0.25">
      <c r="K794"/>
      <c r="L794"/>
      <c r="M794"/>
      <c r="N794"/>
      <c r="O794"/>
    </row>
    <row r="795" spans="11:15" x14ac:dyDescent="0.25">
      <c r="K795"/>
      <c r="L795"/>
      <c r="M795"/>
      <c r="N795"/>
      <c r="O795"/>
    </row>
    <row r="796" spans="11:15" x14ac:dyDescent="0.25">
      <c r="K796"/>
      <c r="L796"/>
      <c r="M796"/>
      <c r="N796"/>
      <c r="O796"/>
    </row>
    <row r="797" spans="11:15" x14ac:dyDescent="0.25">
      <c r="K797"/>
      <c r="L797"/>
      <c r="M797"/>
      <c r="N797"/>
      <c r="O797"/>
    </row>
    <row r="798" spans="11:15" x14ac:dyDescent="0.25">
      <c r="K798"/>
      <c r="L798"/>
      <c r="M798"/>
      <c r="N798"/>
      <c r="O798"/>
    </row>
    <row r="799" spans="11:15" x14ac:dyDescent="0.25">
      <c r="K799"/>
      <c r="L799"/>
      <c r="M799"/>
      <c r="N799"/>
      <c r="O799"/>
    </row>
    <row r="800" spans="11:15" x14ac:dyDescent="0.25">
      <c r="K800"/>
      <c r="L800"/>
      <c r="M800"/>
      <c r="N800"/>
      <c r="O800"/>
    </row>
    <row r="801" spans="11:15" x14ac:dyDescent="0.25">
      <c r="K801"/>
      <c r="L801"/>
      <c r="M801"/>
      <c r="N801"/>
      <c r="O801"/>
    </row>
    <row r="802" spans="11:15" x14ac:dyDescent="0.25">
      <c r="K802"/>
      <c r="L802"/>
      <c r="M802"/>
      <c r="N802"/>
      <c r="O802"/>
    </row>
    <row r="803" spans="11:15" x14ac:dyDescent="0.25">
      <c r="K803"/>
      <c r="L803"/>
      <c r="M803"/>
      <c r="N803"/>
      <c r="O803"/>
    </row>
    <row r="804" spans="11:15" x14ac:dyDescent="0.25">
      <c r="K804"/>
      <c r="L804"/>
      <c r="M804"/>
      <c r="N804"/>
      <c r="O804"/>
    </row>
    <row r="805" spans="11:15" x14ac:dyDescent="0.25">
      <c r="K805"/>
      <c r="L805"/>
      <c r="M805"/>
      <c r="N805"/>
      <c r="O805"/>
    </row>
    <row r="806" spans="11:15" x14ac:dyDescent="0.25">
      <c r="K806"/>
      <c r="L806"/>
      <c r="M806"/>
      <c r="N806"/>
      <c r="O806"/>
    </row>
    <row r="807" spans="11:15" x14ac:dyDescent="0.25">
      <c r="K807"/>
      <c r="L807"/>
      <c r="M807"/>
      <c r="N807"/>
      <c r="O807"/>
    </row>
    <row r="808" spans="11:15" x14ac:dyDescent="0.25">
      <c r="K808"/>
      <c r="L808"/>
      <c r="M808"/>
      <c r="N808"/>
      <c r="O808"/>
    </row>
    <row r="809" spans="11:15" x14ac:dyDescent="0.25">
      <c r="K809"/>
      <c r="L809"/>
      <c r="M809"/>
      <c r="N809"/>
      <c r="O809"/>
    </row>
    <row r="810" spans="11:15" x14ac:dyDescent="0.25">
      <c r="K810"/>
      <c r="L810"/>
      <c r="M810"/>
      <c r="N810"/>
      <c r="O810"/>
    </row>
    <row r="811" spans="11:15" x14ac:dyDescent="0.25">
      <c r="K811"/>
      <c r="L811"/>
      <c r="M811"/>
      <c r="N811"/>
      <c r="O811"/>
    </row>
    <row r="812" spans="11:15" x14ac:dyDescent="0.25">
      <c r="K812"/>
      <c r="L812"/>
      <c r="M812"/>
      <c r="N812"/>
      <c r="O812"/>
    </row>
    <row r="813" spans="11:15" x14ac:dyDescent="0.25">
      <c r="K813"/>
      <c r="L813"/>
      <c r="M813"/>
      <c r="N813"/>
      <c r="O813"/>
    </row>
    <row r="814" spans="11:15" x14ac:dyDescent="0.25">
      <c r="K814"/>
      <c r="L814"/>
      <c r="M814"/>
      <c r="N814"/>
      <c r="O814"/>
    </row>
    <row r="815" spans="11:15" x14ac:dyDescent="0.25">
      <c r="K815"/>
      <c r="L815"/>
      <c r="M815"/>
      <c r="N815"/>
      <c r="O815"/>
    </row>
    <row r="816" spans="11:15" x14ac:dyDescent="0.25">
      <c r="K816"/>
      <c r="L816"/>
      <c r="M816"/>
      <c r="N816"/>
      <c r="O816"/>
    </row>
    <row r="817" spans="11:15" x14ac:dyDescent="0.25">
      <c r="K817"/>
      <c r="L817"/>
      <c r="M817"/>
      <c r="N817"/>
      <c r="O817"/>
    </row>
    <row r="818" spans="11:15" x14ac:dyDescent="0.25">
      <c r="K818"/>
      <c r="L818"/>
      <c r="M818"/>
      <c r="N818"/>
      <c r="O818"/>
    </row>
    <row r="819" spans="11:15" x14ac:dyDescent="0.25">
      <c r="K819"/>
      <c r="L819"/>
      <c r="M819"/>
      <c r="N819"/>
      <c r="O819"/>
    </row>
    <row r="820" spans="11:15" x14ac:dyDescent="0.25">
      <c r="K820"/>
      <c r="L820"/>
      <c r="M820"/>
      <c r="N820"/>
      <c r="O820"/>
    </row>
    <row r="821" spans="11:15" x14ac:dyDescent="0.25">
      <c r="K821"/>
      <c r="L821"/>
      <c r="M821"/>
      <c r="N821"/>
      <c r="O821"/>
    </row>
    <row r="822" spans="11:15" x14ac:dyDescent="0.25">
      <c r="K822"/>
      <c r="L822"/>
      <c r="M822"/>
      <c r="N822"/>
      <c r="O822"/>
    </row>
    <row r="823" spans="11:15" x14ac:dyDescent="0.25">
      <c r="K823"/>
      <c r="L823"/>
      <c r="M823"/>
      <c r="N823"/>
      <c r="O823"/>
    </row>
    <row r="824" spans="11:15" x14ac:dyDescent="0.25">
      <c r="K824"/>
      <c r="L824"/>
      <c r="M824"/>
      <c r="N824"/>
      <c r="O824"/>
    </row>
    <row r="825" spans="11:15" x14ac:dyDescent="0.25">
      <c r="K825"/>
      <c r="L825"/>
      <c r="M825"/>
      <c r="N825"/>
      <c r="O825"/>
    </row>
    <row r="826" spans="11:15" x14ac:dyDescent="0.25">
      <c r="K826"/>
      <c r="L826"/>
      <c r="M826"/>
      <c r="N826"/>
      <c r="O826"/>
    </row>
    <row r="827" spans="11:15" x14ac:dyDescent="0.25">
      <c r="K827"/>
      <c r="L827"/>
      <c r="M827"/>
      <c r="N827"/>
      <c r="O827"/>
    </row>
    <row r="828" spans="11:15" x14ac:dyDescent="0.25">
      <c r="K828"/>
      <c r="L828"/>
      <c r="M828"/>
      <c r="N828"/>
      <c r="O828"/>
    </row>
    <row r="829" spans="11:15" x14ac:dyDescent="0.25">
      <c r="K829"/>
      <c r="L829"/>
      <c r="M829"/>
      <c r="N829"/>
      <c r="O829"/>
    </row>
    <row r="830" spans="11:15" x14ac:dyDescent="0.25">
      <c r="K830"/>
      <c r="L830"/>
      <c r="M830"/>
      <c r="N830"/>
      <c r="O830"/>
    </row>
    <row r="831" spans="11:15" x14ac:dyDescent="0.25">
      <c r="K831"/>
      <c r="L831"/>
      <c r="M831"/>
      <c r="N831"/>
      <c r="O831"/>
    </row>
    <row r="832" spans="11:15" x14ac:dyDescent="0.25">
      <c r="K832"/>
      <c r="L832"/>
      <c r="M832"/>
      <c r="N832"/>
      <c r="O832"/>
    </row>
    <row r="833" spans="11:15" x14ac:dyDescent="0.25">
      <c r="K833"/>
      <c r="L833"/>
      <c r="M833"/>
      <c r="N833"/>
      <c r="O833"/>
    </row>
    <row r="834" spans="11:15" x14ac:dyDescent="0.25">
      <c r="K834"/>
      <c r="L834"/>
      <c r="M834"/>
      <c r="N834"/>
      <c r="O834"/>
    </row>
    <row r="835" spans="11:15" x14ac:dyDescent="0.25">
      <c r="K835"/>
      <c r="L835"/>
      <c r="M835"/>
      <c r="N835"/>
      <c r="O835"/>
    </row>
    <row r="836" spans="11:15" x14ac:dyDescent="0.25">
      <c r="K836"/>
      <c r="L836"/>
      <c r="M836"/>
      <c r="N836"/>
      <c r="O836"/>
    </row>
    <row r="837" spans="11:15" x14ac:dyDescent="0.25">
      <c r="K837"/>
      <c r="L837"/>
      <c r="M837"/>
      <c r="N837"/>
      <c r="O837"/>
    </row>
    <row r="838" spans="11:15" x14ac:dyDescent="0.25">
      <c r="K838"/>
      <c r="L838"/>
      <c r="M838"/>
      <c r="N838"/>
      <c r="O838"/>
    </row>
    <row r="839" spans="11:15" x14ac:dyDescent="0.25">
      <c r="K839"/>
      <c r="L839"/>
      <c r="M839"/>
      <c r="N839"/>
      <c r="O839"/>
    </row>
    <row r="840" spans="11:15" x14ac:dyDescent="0.25">
      <c r="K840"/>
      <c r="L840"/>
      <c r="M840"/>
      <c r="N840"/>
      <c r="O840"/>
    </row>
    <row r="841" spans="11:15" x14ac:dyDescent="0.25">
      <c r="K841"/>
      <c r="L841"/>
      <c r="M841"/>
      <c r="N841"/>
      <c r="O841"/>
    </row>
    <row r="842" spans="11:15" x14ac:dyDescent="0.25">
      <c r="K842"/>
      <c r="L842"/>
      <c r="M842"/>
      <c r="N842"/>
      <c r="O842"/>
    </row>
    <row r="843" spans="11:15" x14ac:dyDescent="0.25">
      <c r="K843"/>
      <c r="L843"/>
      <c r="M843"/>
      <c r="N843"/>
      <c r="O843"/>
    </row>
    <row r="844" spans="11:15" x14ac:dyDescent="0.25">
      <c r="K844"/>
      <c r="L844"/>
      <c r="M844"/>
      <c r="N844"/>
      <c r="O844"/>
    </row>
    <row r="845" spans="11:15" x14ac:dyDescent="0.25">
      <c r="K845"/>
      <c r="L845"/>
      <c r="M845"/>
      <c r="N845"/>
      <c r="O845"/>
    </row>
    <row r="846" spans="11:15" x14ac:dyDescent="0.25">
      <c r="K846"/>
      <c r="L846"/>
      <c r="M846"/>
      <c r="N846"/>
      <c r="O846"/>
    </row>
    <row r="847" spans="11:15" x14ac:dyDescent="0.25">
      <c r="K847"/>
      <c r="L847"/>
      <c r="M847"/>
      <c r="N847"/>
      <c r="O847"/>
    </row>
    <row r="848" spans="11:15" x14ac:dyDescent="0.25">
      <c r="K848"/>
      <c r="L848"/>
      <c r="M848"/>
      <c r="N848"/>
      <c r="O848"/>
    </row>
    <row r="849" spans="11:15" x14ac:dyDescent="0.25">
      <c r="K849"/>
      <c r="L849"/>
      <c r="M849"/>
      <c r="N849"/>
      <c r="O849"/>
    </row>
    <row r="850" spans="11:15" x14ac:dyDescent="0.25">
      <c r="K850"/>
      <c r="L850"/>
      <c r="M850"/>
      <c r="N850"/>
      <c r="O850"/>
    </row>
    <row r="851" spans="11:15" x14ac:dyDescent="0.25">
      <c r="K851"/>
      <c r="L851"/>
      <c r="M851"/>
      <c r="N851"/>
      <c r="O851"/>
    </row>
    <row r="852" spans="11:15" x14ac:dyDescent="0.25">
      <c r="K852"/>
      <c r="L852"/>
      <c r="M852"/>
      <c r="N852"/>
      <c r="O852"/>
    </row>
    <row r="853" spans="11:15" x14ac:dyDescent="0.25">
      <c r="K853"/>
      <c r="L853"/>
      <c r="M853"/>
      <c r="N853"/>
      <c r="O853"/>
    </row>
    <row r="854" spans="11:15" x14ac:dyDescent="0.25">
      <c r="K854"/>
      <c r="L854"/>
      <c r="M854"/>
      <c r="N854"/>
      <c r="O854"/>
    </row>
    <row r="855" spans="11:15" x14ac:dyDescent="0.25">
      <c r="K855"/>
      <c r="L855"/>
      <c r="M855"/>
      <c r="N855"/>
      <c r="O855"/>
    </row>
    <row r="856" spans="11:15" x14ac:dyDescent="0.25">
      <c r="K856"/>
      <c r="L856"/>
      <c r="M856"/>
      <c r="N856"/>
      <c r="O856"/>
    </row>
    <row r="857" spans="11:15" x14ac:dyDescent="0.25">
      <c r="K857"/>
      <c r="L857"/>
      <c r="M857"/>
      <c r="N857"/>
      <c r="O857"/>
    </row>
    <row r="858" spans="11:15" x14ac:dyDescent="0.25">
      <c r="K858"/>
      <c r="L858"/>
      <c r="M858"/>
      <c r="N858"/>
      <c r="O858"/>
    </row>
    <row r="859" spans="11:15" x14ac:dyDescent="0.25">
      <c r="K859"/>
      <c r="L859"/>
      <c r="M859"/>
      <c r="N859"/>
      <c r="O859"/>
    </row>
    <row r="860" spans="11:15" x14ac:dyDescent="0.25">
      <c r="K860"/>
      <c r="L860"/>
      <c r="M860"/>
      <c r="N860"/>
      <c r="O860"/>
    </row>
    <row r="861" spans="11:15" x14ac:dyDescent="0.25">
      <c r="K861"/>
      <c r="L861"/>
      <c r="M861"/>
      <c r="N861"/>
      <c r="O861"/>
    </row>
    <row r="862" spans="11:15" x14ac:dyDescent="0.25">
      <c r="K862"/>
      <c r="L862"/>
      <c r="M862"/>
      <c r="N862"/>
      <c r="O862"/>
    </row>
    <row r="863" spans="11:15" x14ac:dyDescent="0.25">
      <c r="K863"/>
      <c r="L863"/>
      <c r="M863"/>
      <c r="N863"/>
      <c r="O863"/>
    </row>
    <row r="864" spans="11:15" x14ac:dyDescent="0.25">
      <c r="K864"/>
      <c r="L864"/>
      <c r="M864"/>
      <c r="N864"/>
      <c r="O864"/>
    </row>
    <row r="865" spans="11:15" x14ac:dyDescent="0.25">
      <c r="K865"/>
      <c r="L865"/>
      <c r="M865"/>
      <c r="N865"/>
      <c r="O865"/>
    </row>
    <row r="866" spans="11:15" x14ac:dyDescent="0.25">
      <c r="K866"/>
      <c r="L866"/>
      <c r="M866"/>
      <c r="N866"/>
      <c r="O866"/>
    </row>
    <row r="867" spans="11:15" x14ac:dyDescent="0.25">
      <c r="K867"/>
      <c r="L867"/>
      <c r="M867"/>
      <c r="N867"/>
      <c r="O867"/>
    </row>
    <row r="868" spans="11:15" x14ac:dyDescent="0.25">
      <c r="K868"/>
      <c r="L868"/>
      <c r="M868"/>
      <c r="N868"/>
      <c r="O868"/>
    </row>
    <row r="869" spans="11:15" x14ac:dyDescent="0.25">
      <c r="K869"/>
      <c r="L869"/>
      <c r="M869"/>
      <c r="N869"/>
      <c r="O869"/>
    </row>
    <row r="870" spans="11:15" x14ac:dyDescent="0.25">
      <c r="K870"/>
      <c r="L870"/>
      <c r="M870"/>
      <c r="N870"/>
      <c r="O870"/>
    </row>
    <row r="871" spans="11:15" x14ac:dyDescent="0.25">
      <c r="K871"/>
      <c r="L871"/>
      <c r="M871"/>
      <c r="N871"/>
      <c r="O871"/>
    </row>
    <row r="872" spans="11:15" x14ac:dyDescent="0.25">
      <c r="K872"/>
      <c r="L872"/>
      <c r="M872"/>
      <c r="N872"/>
      <c r="O872"/>
    </row>
    <row r="873" spans="11:15" x14ac:dyDescent="0.25">
      <c r="K873"/>
      <c r="L873"/>
      <c r="M873"/>
      <c r="N873"/>
      <c r="O873"/>
    </row>
    <row r="874" spans="11:15" x14ac:dyDescent="0.25">
      <c r="K874"/>
      <c r="L874"/>
      <c r="M874"/>
      <c r="N874"/>
      <c r="O874"/>
    </row>
    <row r="875" spans="11:15" x14ac:dyDescent="0.25">
      <c r="K875"/>
      <c r="L875"/>
      <c r="M875"/>
      <c r="N875"/>
      <c r="O875"/>
    </row>
    <row r="876" spans="11:15" x14ac:dyDescent="0.25">
      <c r="K876"/>
      <c r="L876"/>
      <c r="M876"/>
      <c r="N876"/>
      <c r="O876"/>
    </row>
    <row r="877" spans="11:15" x14ac:dyDescent="0.25">
      <c r="K877"/>
      <c r="L877"/>
      <c r="M877"/>
      <c r="N877"/>
      <c r="O877"/>
    </row>
    <row r="878" spans="11:15" x14ac:dyDescent="0.25">
      <c r="K878"/>
      <c r="L878"/>
      <c r="M878"/>
      <c r="N878"/>
      <c r="O878"/>
    </row>
    <row r="879" spans="11:15" x14ac:dyDescent="0.25">
      <c r="K879"/>
      <c r="L879"/>
      <c r="M879"/>
      <c r="N879"/>
      <c r="O879"/>
    </row>
    <row r="880" spans="11:15" x14ac:dyDescent="0.25">
      <c r="K880"/>
      <c r="L880"/>
      <c r="M880"/>
      <c r="N880"/>
      <c r="O880"/>
    </row>
    <row r="881" spans="11:15" x14ac:dyDescent="0.25">
      <c r="K881"/>
      <c r="L881"/>
      <c r="M881"/>
      <c r="N881"/>
      <c r="O881"/>
    </row>
    <row r="882" spans="11:15" x14ac:dyDescent="0.25">
      <c r="K882"/>
      <c r="L882"/>
      <c r="M882"/>
      <c r="N882"/>
      <c r="O882"/>
    </row>
    <row r="883" spans="11:15" x14ac:dyDescent="0.25">
      <c r="K883"/>
      <c r="L883"/>
      <c r="M883"/>
      <c r="N883"/>
      <c r="O883"/>
    </row>
    <row r="884" spans="11:15" x14ac:dyDescent="0.25">
      <c r="K884"/>
      <c r="L884"/>
      <c r="M884"/>
      <c r="N884"/>
      <c r="O884"/>
    </row>
    <row r="885" spans="11:15" x14ac:dyDescent="0.25">
      <c r="K885"/>
      <c r="L885"/>
      <c r="M885"/>
      <c r="N885"/>
      <c r="O885"/>
    </row>
    <row r="886" spans="11:15" x14ac:dyDescent="0.25">
      <c r="K886"/>
      <c r="L886"/>
      <c r="M886"/>
      <c r="N886"/>
      <c r="O886"/>
    </row>
    <row r="887" spans="11:15" x14ac:dyDescent="0.25">
      <c r="K887"/>
      <c r="L887"/>
      <c r="M887"/>
      <c r="N887"/>
      <c r="O887"/>
    </row>
    <row r="888" spans="11:15" x14ac:dyDescent="0.25">
      <c r="K888"/>
      <c r="L888"/>
      <c r="M888"/>
      <c r="N888"/>
      <c r="O888"/>
    </row>
    <row r="889" spans="11:15" x14ac:dyDescent="0.25">
      <c r="K889"/>
      <c r="L889"/>
      <c r="M889"/>
      <c r="N889"/>
      <c r="O889"/>
    </row>
    <row r="890" spans="11:15" x14ac:dyDescent="0.25">
      <c r="K890"/>
      <c r="L890"/>
      <c r="M890"/>
      <c r="N890"/>
      <c r="O890"/>
    </row>
    <row r="891" spans="11:15" x14ac:dyDescent="0.25">
      <c r="K891"/>
      <c r="L891"/>
      <c r="M891"/>
      <c r="N891"/>
      <c r="O891"/>
    </row>
    <row r="892" spans="11:15" x14ac:dyDescent="0.25">
      <c r="K892"/>
      <c r="L892"/>
      <c r="M892"/>
      <c r="N892"/>
      <c r="O892"/>
    </row>
    <row r="893" spans="11:15" x14ac:dyDescent="0.25">
      <c r="K893"/>
      <c r="L893"/>
      <c r="M893"/>
      <c r="N893"/>
      <c r="O893"/>
    </row>
    <row r="894" spans="11:15" x14ac:dyDescent="0.25">
      <c r="K894"/>
      <c r="L894"/>
      <c r="M894"/>
      <c r="N894"/>
      <c r="O894"/>
    </row>
    <row r="895" spans="11:15" x14ac:dyDescent="0.25">
      <c r="K895"/>
      <c r="L895"/>
      <c r="M895"/>
      <c r="N895"/>
      <c r="O895"/>
    </row>
    <row r="896" spans="11:15" x14ac:dyDescent="0.25">
      <c r="K896"/>
      <c r="L896"/>
      <c r="M896"/>
      <c r="N896"/>
      <c r="O896"/>
    </row>
    <row r="897" spans="11:15" x14ac:dyDescent="0.25">
      <c r="K897"/>
      <c r="L897"/>
      <c r="M897"/>
      <c r="N897"/>
      <c r="O897"/>
    </row>
    <row r="898" spans="11:15" x14ac:dyDescent="0.25">
      <c r="K898"/>
      <c r="L898"/>
      <c r="M898"/>
      <c r="N898"/>
      <c r="O898"/>
    </row>
    <row r="899" spans="11:15" x14ac:dyDescent="0.25">
      <c r="K899"/>
      <c r="L899"/>
      <c r="M899"/>
      <c r="N899"/>
      <c r="O899"/>
    </row>
    <row r="900" spans="11:15" x14ac:dyDescent="0.25">
      <c r="K900"/>
      <c r="L900"/>
      <c r="M900"/>
      <c r="N900"/>
      <c r="O900"/>
    </row>
    <row r="901" spans="11:15" x14ac:dyDescent="0.25">
      <c r="K901"/>
      <c r="L901"/>
      <c r="M901"/>
      <c r="N901"/>
      <c r="O901"/>
    </row>
    <row r="902" spans="11:15" x14ac:dyDescent="0.25">
      <c r="K902"/>
      <c r="L902"/>
      <c r="M902"/>
      <c r="N902"/>
      <c r="O902"/>
    </row>
    <row r="903" spans="11:15" x14ac:dyDescent="0.25">
      <c r="K903"/>
      <c r="L903"/>
      <c r="M903"/>
      <c r="N903"/>
      <c r="O903"/>
    </row>
    <row r="904" spans="11:15" x14ac:dyDescent="0.25">
      <c r="K904"/>
      <c r="L904"/>
      <c r="M904"/>
      <c r="N904"/>
      <c r="O904"/>
    </row>
    <row r="905" spans="11:15" x14ac:dyDescent="0.25">
      <c r="K905"/>
      <c r="L905"/>
      <c r="M905"/>
      <c r="N905"/>
      <c r="O905"/>
    </row>
    <row r="906" spans="11:15" x14ac:dyDescent="0.25">
      <c r="K906"/>
      <c r="L906"/>
      <c r="M906"/>
      <c r="N906"/>
      <c r="O906"/>
    </row>
    <row r="907" spans="11:15" x14ac:dyDescent="0.25">
      <c r="K907"/>
      <c r="L907"/>
      <c r="M907"/>
      <c r="N907"/>
      <c r="O907"/>
    </row>
    <row r="908" spans="11:15" x14ac:dyDescent="0.25">
      <c r="K908"/>
      <c r="L908"/>
      <c r="M908"/>
      <c r="N908"/>
      <c r="O908"/>
    </row>
    <row r="909" spans="11:15" x14ac:dyDescent="0.25">
      <c r="K909"/>
      <c r="L909"/>
      <c r="M909"/>
      <c r="N909"/>
      <c r="O909"/>
    </row>
    <row r="910" spans="11:15" x14ac:dyDescent="0.25">
      <c r="K910"/>
      <c r="L910"/>
      <c r="M910"/>
      <c r="N910"/>
      <c r="O910"/>
    </row>
    <row r="911" spans="11:15" x14ac:dyDescent="0.25">
      <c r="K911"/>
      <c r="L911"/>
      <c r="M911"/>
      <c r="N911"/>
      <c r="O911"/>
    </row>
    <row r="912" spans="11:15" x14ac:dyDescent="0.25">
      <c r="K912"/>
      <c r="L912"/>
      <c r="M912"/>
      <c r="N912"/>
      <c r="O912"/>
    </row>
    <row r="913" spans="11:15" x14ac:dyDescent="0.25">
      <c r="K913"/>
      <c r="L913"/>
      <c r="M913"/>
      <c r="N913"/>
      <c r="O913"/>
    </row>
    <row r="914" spans="11:15" x14ac:dyDescent="0.25">
      <c r="K914"/>
      <c r="L914"/>
      <c r="M914"/>
      <c r="N914"/>
      <c r="O914"/>
    </row>
    <row r="915" spans="11:15" x14ac:dyDescent="0.25">
      <c r="K915"/>
      <c r="L915"/>
      <c r="M915"/>
      <c r="N915"/>
      <c r="O915"/>
    </row>
    <row r="916" spans="11:15" x14ac:dyDescent="0.25">
      <c r="K916"/>
      <c r="L916"/>
      <c r="M916"/>
      <c r="N916"/>
      <c r="O916"/>
    </row>
    <row r="917" spans="11:15" x14ac:dyDescent="0.25">
      <c r="K917"/>
      <c r="L917"/>
      <c r="M917"/>
      <c r="N917"/>
      <c r="O917"/>
    </row>
    <row r="918" spans="11:15" x14ac:dyDescent="0.25">
      <c r="K918"/>
      <c r="L918"/>
      <c r="M918"/>
      <c r="N918"/>
      <c r="O918"/>
    </row>
    <row r="919" spans="11:15" x14ac:dyDescent="0.25">
      <c r="K919"/>
      <c r="L919"/>
      <c r="M919"/>
      <c r="N919"/>
      <c r="O919"/>
    </row>
    <row r="920" spans="11:15" x14ac:dyDescent="0.25">
      <c r="K920"/>
      <c r="L920"/>
      <c r="M920"/>
      <c r="N920"/>
      <c r="O920"/>
    </row>
    <row r="921" spans="11:15" x14ac:dyDescent="0.25">
      <c r="K921"/>
      <c r="L921"/>
      <c r="M921"/>
      <c r="N921"/>
      <c r="O921"/>
    </row>
    <row r="922" spans="11:15" x14ac:dyDescent="0.25">
      <c r="K922"/>
      <c r="L922"/>
      <c r="M922"/>
      <c r="N922"/>
      <c r="O922"/>
    </row>
    <row r="923" spans="11:15" x14ac:dyDescent="0.25">
      <c r="K923"/>
      <c r="L923"/>
      <c r="M923"/>
      <c r="N923"/>
      <c r="O923"/>
    </row>
    <row r="924" spans="11:15" x14ac:dyDescent="0.25">
      <c r="K924"/>
      <c r="L924"/>
      <c r="M924"/>
      <c r="N924"/>
      <c r="O924"/>
    </row>
    <row r="925" spans="11:15" x14ac:dyDescent="0.25">
      <c r="K925"/>
      <c r="L925"/>
      <c r="M925"/>
      <c r="N925"/>
      <c r="O925"/>
    </row>
    <row r="926" spans="11:15" x14ac:dyDescent="0.25">
      <c r="K926"/>
      <c r="L926"/>
      <c r="M926"/>
      <c r="N926"/>
      <c r="O926"/>
    </row>
    <row r="927" spans="11:15" x14ac:dyDescent="0.25">
      <c r="K927"/>
      <c r="L927"/>
      <c r="M927"/>
      <c r="N927"/>
      <c r="O927"/>
    </row>
    <row r="928" spans="11:15" x14ac:dyDescent="0.25">
      <c r="K928"/>
      <c r="L928"/>
      <c r="M928"/>
      <c r="N928"/>
      <c r="O928"/>
    </row>
    <row r="929" spans="11:15" x14ac:dyDescent="0.25">
      <c r="K929"/>
      <c r="L929"/>
      <c r="M929"/>
      <c r="N929"/>
      <c r="O929"/>
    </row>
    <row r="930" spans="11:15" x14ac:dyDescent="0.25">
      <c r="K930"/>
      <c r="L930"/>
      <c r="M930"/>
      <c r="N930"/>
      <c r="O930"/>
    </row>
    <row r="931" spans="11:15" x14ac:dyDescent="0.25">
      <c r="K931"/>
      <c r="L931"/>
      <c r="M931"/>
      <c r="N931"/>
      <c r="O931"/>
    </row>
    <row r="932" spans="11:15" x14ac:dyDescent="0.25">
      <c r="K932"/>
      <c r="L932"/>
      <c r="M932"/>
      <c r="N932"/>
      <c r="O932"/>
    </row>
    <row r="933" spans="11:15" x14ac:dyDescent="0.25">
      <c r="K933"/>
      <c r="L933"/>
      <c r="M933"/>
      <c r="N933"/>
      <c r="O933"/>
    </row>
    <row r="934" spans="11:15" x14ac:dyDescent="0.25">
      <c r="K934"/>
      <c r="L934"/>
      <c r="M934"/>
      <c r="N934"/>
      <c r="O934"/>
    </row>
    <row r="935" spans="11:15" x14ac:dyDescent="0.25">
      <c r="K935"/>
      <c r="L935"/>
      <c r="M935"/>
      <c r="N935"/>
      <c r="O935"/>
    </row>
    <row r="936" spans="11:15" x14ac:dyDescent="0.25">
      <c r="K936"/>
      <c r="L936"/>
      <c r="M936"/>
      <c r="N936"/>
      <c r="O936"/>
    </row>
    <row r="937" spans="11:15" x14ac:dyDescent="0.25">
      <c r="K937"/>
      <c r="L937"/>
      <c r="M937"/>
      <c r="N937"/>
      <c r="O937"/>
    </row>
    <row r="938" spans="11:15" x14ac:dyDescent="0.25">
      <c r="K938"/>
      <c r="L938"/>
      <c r="M938"/>
      <c r="N938"/>
      <c r="O938"/>
    </row>
    <row r="939" spans="11:15" x14ac:dyDescent="0.25">
      <c r="K939"/>
      <c r="L939"/>
      <c r="M939"/>
      <c r="N939"/>
      <c r="O939"/>
    </row>
    <row r="940" spans="11:15" x14ac:dyDescent="0.25">
      <c r="K940"/>
      <c r="L940"/>
      <c r="M940"/>
      <c r="N940"/>
      <c r="O940"/>
    </row>
    <row r="941" spans="11:15" x14ac:dyDescent="0.25">
      <c r="K941"/>
      <c r="L941"/>
      <c r="M941"/>
      <c r="N941"/>
      <c r="O941"/>
    </row>
    <row r="942" spans="11:15" x14ac:dyDescent="0.25">
      <c r="K942"/>
      <c r="L942"/>
      <c r="M942"/>
      <c r="N942"/>
      <c r="O942"/>
    </row>
    <row r="943" spans="11:15" x14ac:dyDescent="0.25">
      <c r="K943"/>
      <c r="L943"/>
      <c r="M943"/>
      <c r="N943"/>
      <c r="O943"/>
    </row>
    <row r="944" spans="11:15" x14ac:dyDescent="0.25">
      <c r="K944"/>
      <c r="L944"/>
      <c r="M944"/>
      <c r="N944"/>
      <c r="O944"/>
    </row>
    <row r="945" spans="11:15" x14ac:dyDescent="0.25">
      <c r="K945"/>
      <c r="L945"/>
      <c r="M945"/>
      <c r="N945"/>
      <c r="O945"/>
    </row>
    <row r="946" spans="11:15" x14ac:dyDescent="0.25">
      <c r="K946"/>
      <c r="L946"/>
      <c r="M946"/>
      <c r="N946"/>
      <c r="O946"/>
    </row>
    <row r="947" spans="11:15" x14ac:dyDescent="0.25">
      <c r="K947"/>
      <c r="L947"/>
      <c r="M947"/>
      <c r="N947"/>
      <c r="O947"/>
    </row>
    <row r="948" spans="11:15" x14ac:dyDescent="0.25">
      <c r="K948"/>
      <c r="L948"/>
      <c r="M948"/>
      <c r="N948"/>
      <c r="O948"/>
    </row>
    <row r="949" spans="11:15" x14ac:dyDescent="0.25">
      <c r="K949"/>
      <c r="L949"/>
      <c r="M949"/>
      <c r="N949"/>
      <c r="O949"/>
    </row>
    <row r="950" spans="11:15" x14ac:dyDescent="0.25">
      <c r="K950"/>
      <c r="L950"/>
      <c r="M950"/>
      <c r="N950"/>
      <c r="O950"/>
    </row>
    <row r="951" spans="11:15" x14ac:dyDescent="0.25">
      <c r="K951"/>
      <c r="L951"/>
      <c r="M951"/>
      <c r="N951"/>
      <c r="O951"/>
    </row>
    <row r="952" spans="11:15" x14ac:dyDescent="0.25">
      <c r="K952"/>
      <c r="L952"/>
      <c r="M952"/>
      <c r="N952"/>
      <c r="O952"/>
    </row>
    <row r="953" spans="11:15" x14ac:dyDescent="0.25">
      <c r="K953"/>
      <c r="L953"/>
      <c r="M953"/>
      <c r="N953"/>
      <c r="O953"/>
    </row>
    <row r="954" spans="11:15" x14ac:dyDescent="0.25">
      <c r="K954"/>
      <c r="L954"/>
      <c r="M954"/>
      <c r="N954"/>
      <c r="O954"/>
    </row>
    <row r="955" spans="11:15" x14ac:dyDescent="0.25">
      <c r="K955"/>
      <c r="L955"/>
      <c r="M955"/>
      <c r="N955"/>
      <c r="O955"/>
    </row>
    <row r="956" spans="11:15" x14ac:dyDescent="0.25">
      <c r="K956"/>
      <c r="L956"/>
      <c r="M956"/>
      <c r="N956"/>
      <c r="O956"/>
    </row>
    <row r="957" spans="11:15" x14ac:dyDescent="0.25">
      <c r="K957"/>
      <c r="L957"/>
      <c r="M957"/>
      <c r="N957"/>
      <c r="O957"/>
    </row>
    <row r="958" spans="11:15" x14ac:dyDescent="0.25">
      <c r="K958"/>
      <c r="L958"/>
      <c r="M958"/>
      <c r="N958"/>
      <c r="O958"/>
    </row>
    <row r="959" spans="11:15" x14ac:dyDescent="0.25">
      <c r="K959"/>
      <c r="L959"/>
      <c r="M959"/>
      <c r="N959"/>
      <c r="O959"/>
    </row>
    <row r="960" spans="11:15" x14ac:dyDescent="0.25">
      <c r="K960"/>
      <c r="L960"/>
      <c r="M960"/>
      <c r="N960"/>
      <c r="O960"/>
    </row>
    <row r="961" spans="11:15" x14ac:dyDescent="0.25">
      <c r="K961"/>
      <c r="L961"/>
      <c r="M961"/>
      <c r="N961"/>
      <c r="O961"/>
    </row>
    <row r="962" spans="11:15" x14ac:dyDescent="0.25">
      <c r="K962"/>
      <c r="L962"/>
      <c r="M962"/>
      <c r="N962"/>
      <c r="O962"/>
    </row>
    <row r="963" spans="11:15" x14ac:dyDescent="0.25">
      <c r="K963"/>
      <c r="L963"/>
      <c r="M963"/>
      <c r="N963"/>
      <c r="O963"/>
    </row>
    <row r="964" spans="11:15" x14ac:dyDescent="0.25">
      <c r="K964"/>
      <c r="L964"/>
      <c r="M964"/>
      <c r="N964"/>
      <c r="O964"/>
    </row>
    <row r="965" spans="11:15" x14ac:dyDescent="0.25">
      <c r="K965"/>
      <c r="L965"/>
      <c r="M965"/>
      <c r="N965"/>
      <c r="O965"/>
    </row>
    <row r="966" spans="11:15" x14ac:dyDescent="0.25">
      <c r="K966"/>
      <c r="L966"/>
      <c r="M966"/>
      <c r="N966"/>
      <c r="O966"/>
    </row>
    <row r="967" spans="11:15" x14ac:dyDescent="0.25">
      <c r="K967"/>
      <c r="L967"/>
      <c r="M967"/>
      <c r="N967"/>
      <c r="O967"/>
    </row>
    <row r="968" spans="11:15" x14ac:dyDescent="0.25">
      <c r="K968"/>
      <c r="L968"/>
      <c r="M968"/>
      <c r="N968"/>
      <c r="O968"/>
    </row>
    <row r="969" spans="11:15" x14ac:dyDescent="0.25">
      <c r="K969"/>
      <c r="L969"/>
      <c r="M969"/>
      <c r="N969"/>
      <c r="O969"/>
    </row>
    <row r="970" spans="11:15" x14ac:dyDescent="0.25">
      <c r="K970"/>
      <c r="L970"/>
      <c r="M970"/>
      <c r="N970"/>
      <c r="O970"/>
    </row>
    <row r="971" spans="11:15" x14ac:dyDescent="0.25">
      <c r="K971"/>
      <c r="L971"/>
      <c r="M971"/>
      <c r="N971"/>
      <c r="O971"/>
    </row>
    <row r="972" spans="11:15" x14ac:dyDescent="0.25">
      <c r="K972"/>
      <c r="L972"/>
      <c r="M972"/>
      <c r="N972"/>
      <c r="O972"/>
    </row>
    <row r="973" spans="11:15" x14ac:dyDescent="0.25">
      <c r="K973"/>
      <c r="L973"/>
      <c r="M973"/>
      <c r="N973"/>
      <c r="O973"/>
    </row>
    <row r="974" spans="11:15" x14ac:dyDescent="0.25">
      <c r="K974"/>
      <c r="L974"/>
      <c r="M974"/>
      <c r="N974"/>
      <c r="O974"/>
    </row>
    <row r="975" spans="11:15" x14ac:dyDescent="0.25">
      <c r="K975"/>
      <c r="L975"/>
      <c r="M975"/>
      <c r="N975"/>
      <c r="O975"/>
    </row>
    <row r="976" spans="11:15" x14ac:dyDescent="0.25">
      <c r="K976"/>
      <c r="L976"/>
      <c r="M976"/>
      <c r="N976"/>
      <c r="O976"/>
    </row>
    <row r="977" spans="11:15" x14ac:dyDescent="0.25">
      <c r="K977"/>
      <c r="L977"/>
      <c r="M977"/>
      <c r="N977"/>
      <c r="O977"/>
    </row>
    <row r="978" spans="11:15" x14ac:dyDescent="0.25">
      <c r="K978"/>
      <c r="L978"/>
      <c r="M978"/>
      <c r="N978"/>
      <c r="O978"/>
    </row>
    <row r="979" spans="11:15" x14ac:dyDescent="0.25">
      <c r="K979"/>
      <c r="L979"/>
      <c r="M979"/>
      <c r="N979"/>
      <c r="O979"/>
    </row>
    <row r="980" spans="11:15" x14ac:dyDescent="0.25">
      <c r="K980"/>
      <c r="L980"/>
      <c r="M980"/>
      <c r="N980"/>
      <c r="O980"/>
    </row>
    <row r="981" spans="11:15" x14ac:dyDescent="0.25">
      <c r="K981"/>
      <c r="L981"/>
      <c r="M981"/>
      <c r="N981"/>
      <c r="O981"/>
    </row>
    <row r="982" spans="11:15" x14ac:dyDescent="0.25">
      <c r="K982"/>
      <c r="L982"/>
      <c r="M982"/>
      <c r="N982"/>
      <c r="O982"/>
    </row>
    <row r="983" spans="11:15" x14ac:dyDescent="0.25">
      <c r="K983"/>
      <c r="L983"/>
      <c r="M983"/>
      <c r="N983"/>
      <c r="O983"/>
    </row>
    <row r="984" spans="11:15" x14ac:dyDescent="0.25">
      <c r="K984"/>
      <c r="L984"/>
      <c r="M984"/>
      <c r="N984"/>
      <c r="O984"/>
    </row>
    <row r="985" spans="11:15" x14ac:dyDescent="0.25">
      <c r="K985"/>
      <c r="L985"/>
      <c r="M985"/>
      <c r="N985"/>
      <c r="O985"/>
    </row>
    <row r="986" spans="11:15" x14ac:dyDescent="0.25">
      <c r="K986"/>
      <c r="L986"/>
      <c r="M986"/>
      <c r="N986"/>
      <c r="O986"/>
    </row>
    <row r="987" spans="11:15" x14ac:dyDescent="0.25">
      <c r="K987"/>
      <c r="L987"/>
      <c r="M987"/>
      <c r="N987"/>
      <c r="O987"/>
    </row>
    <row r="988" spans="11:15" x14ac:dyDescent="0.25">
      <c r="K988"/>
      <c r="L988"/>
      <c r="M988"/>
      <c r="N988"/>
      <c r="O988"/>
    </row>
    <row r="989" spans="11:15" x14ac:dyDescent="0.25">
      <c r="K989"/>
      <c r="L989"/>
      <c r="M989"/>
      <c r="N989"/>
      <c r="O989"/>
    </row>
    <row r="990" spans="11:15" x14ac:dyDescent="0.25">
      <c r="K990"/>
      <c r="L990"/>
      <c r="M990"/>
      <c r="N990"/>
      <c r="O990"/>
    </row>
    <row r="991" spans="11:15" x14ac:dyDescent="0.25">
      <c r="K991"/>
      <c r="L991"/>
      <c r="M991"/>
      <c r="N991"/>
      <c r="O991"/>
    </row>
    <row r="992" spans="11:15" x14ac:dyDescent="0.25">
      <c r="K992"/>
      <c r="L992"/>
      <c r="M992"/>
      <c r="N992"/>
      <c r="O992"/>
    </row>
    <row r="993" spans="11:15" x14ac:dyDescent="0.25">
      <c r="K993"/>
      <c r="L993"/>
      <c r="M993"/>
      <c r="N993"/>
      <c r="O993"/>
    </row>
    <row r="994" spans="11:15" x14ac:dyDescent="0.25">
      <c r="K994"/>
      <c r="L994"/>
      <c r="M994"/>
      <c r="N994"/>
      <c r="O994"/>
    </row>
    <row r="995" spans="11:15" x14ac:dyDescent="0.25">
      <c r="K995"/>
      <c r="L995"/>
      <c r="M995"/>
      <c r="N995"/>
      <c r="O995"/>
    </row>
    <row r="996" spans="11:15" x14ac:dyDescent="0.25">
      <c r="K996"/>
      <c r="L996"/>
      <c r="M996"/>
      <c r="N996"/>
      <c r="O996"/>
    </row>
    <row r="997" spans="11:15" x14ac:dyDescent="0.25">
      <c r="K997"/>
      <c r="L997"/>
      <c r="M997"/>
      <c r="N997"/>
      <c r="O997"/>
    </row>
    <row r="998" spans="11:15" x14ac:dyDescent="0.25">
      <c r="K998"/>
      <c r="L998"/>
      <c r="M998"/>
      <c r="N998"/>
      <c r="O998"/>
    </row>
    <row r="999" spans="11:15" x14ac:dyDescent="0.25">
      <c r="K999"/>
      <c r="L999"/>
      <c r="M999"/>
      <c r="N999"/>
      <c r="O999"/>
    </row>
    <row r="1000" spans="11:15" x14ac:dyDescent="0.25">
      <c r="K1000"/>
      <c r="L1000"/>
      <c r="M1000"/>
      <c r="N1000"/>
      <c r="O1000"/>
    </row>
    <row r="1001" spans="11:15" x14ac:dyDescent="0.25">
      <c r="K1001"/>
      <c r="L1001"/>
      <c r="M1001"/>
      <c r="N1001"/>
      <c r="O1001"/>
    </row>
    <row r="1002" spans="11:15" x14ac:dyDescent="0.25">
      <c r="K1002"/>
      <c r="L1002"/>
      <c r="M1002"/>
      <c r="N1002"/>
      <c r="O1002"/>
    </row>
    <row r="1003" spans="11:15" x14ac:dyDescent="0.25">
      <c r="K1003"/>
      <c r="L1003"/>
      <c r="M1003"/>
      <c r="N1003"/>
      <c r="O1003"/>
    </row>
    <row r="1004" spans="11:15" x14ac:dyDescent="0.25">
      <c r="K1004"/>
      <c r="L1004"/>
      <c r="M1004"/>
      <c r="N1004"/>
      <c r="O1004"/>
    </row>
    <row r="1005" spans="11:15" x14ac:dyDescent="0.25">
      <c r="K1005"/>
      <c r="L1005"/>
      <c r="M1005"/>
      <c r="N1005"/>
      <c r="O1005"/>
    </row>
    <row r="1006" spans="11:15" x14ac:dyDescent="0.25">
      <c r="K1006"/>
      <c r="L1006"/>
      <c r="M1006"/>
      <c r="N1006"/>
      <c r="O1006"/>
    </row>
    <row r="1007" spans="11:15" x14ac:dyDescent="0.25">
      <c r="K1007"/>
      <c r="L1007"/>
      <c r="M1007"/>
      <c r="N1007"/>
      <c r="O1007"/>
    </row>
    <row r="1008" spans="11:15" x14ac:dyDescent="0.25">
      <c r="K1008"/>
      <c r="L1008"/>
      <c r="M1008"/>
      <c r="N1008"/>
      <c r="O1008"/>
    </row>
    <row r="1009" spans="11:15" x14ac:dyDescent="0.25">
      <c r="K1009"/>
      <c r="L1009"/>
      <c r="M1009"/>
      <c r="N1009"/>
      <c r="O1009"/>
    </row>
    <row r="1010" spans="11:15" x14ac:dyDescent="0.25">
      <c r="K1010"/>
      <c r="L1010"/>
      <c r="M1010"/>
      <c r="N1010"/>
      <c r="O1010"/>
    </row>
    <row r="1011" spans="11:15" x14ac:dyDescent="0.25">
      <c r="K1011"/>
      <c r="L1011"/>
      <c r="M1011"/>
      <c r="N1011"/>
      <c r="O1011"/>
    </row>
    <row r="1012" spans="11:15" x14ac:dyDescent="0.25">
      <c r="K1012"/>
      <c r="L1012"/>
      <c r="M1012"/>
      <c r="N1012"/>
      <c r="O1012"/>
    </row>
    <row r="1013" spans="11:15" x14ac:dyDescent="0.25">
      <c r="K1013"/>
      <c r="L1013"/>
      <c r="M1013"/>
      <c r="N1013"/>
      <c r="O1013"/>
    </row>
    <row r="1014" spans="11:15" x14ac:dyDescent="0.25">
      <c r="K1014"/>
      <c r="L1014"/>
      <c r="M1014"/>
      <c r="N1014"/>
      <c r="O1014"/>
    </row>
    <row r="1015" spans="11:15" x14ac:dyDescent="0.25">
      <c r="K1015"/>
      <c r="L1015"/>
      <c r="M1015"/>
      <c r="N1015"/>
      <c r="O1015"/>
    </row>
    <row r="1016" spans="11:15" x14ac:dyDescent="0.25">
      <c r="K1016"/>
      <c r="L1016"/>
      <c r="M1016"/>
      <c r="N1016"/>
      <c r="O1016"/>
    </row>
    <row r="1017" spans="11:15" x14ac:dyDescent="0.25">
      <c r="K1017"/>
      <c r="L1017"/>
      <c r="M1017"/>
      <c r="N1017"/>
      <c r="O1017"/>
    </row>
    <row r="1018" spans="11:15" x14ac:dyDescent="0.25">
      <c r="K1018"/>
      <c r="L1018"/>
      <c r="M1018"/>
      <c r="N1018"/>
      <c r="O1018"/>
    </row>
    <row r="1019" spans="11:15" x14ac:dyDescent="0.25">
      <c r="K1019"/>
      <c r="L1019"/>
      <c r="M1019"/>
      <c r="N1019"/>
      <c r="O1019"/>
    </row>
    <row r="1020" spans="11:15" x14ac:dyDescent="0.25">
      <c r="K1020"/>
      <c r="L1020"/>
      <c r="M1020"/>
      <c r="N1020"/>
      <c r="O1020"/>
    </row>
    <row r="1021" spans="11:15" x14ac:dyDescent="0.25">
      <c r="K1021"/>
      <c r="L1021"/>
      <c r="M1021"/>
      <c r="N1021"/>
      <c r="O1021"/>
    </row>
    <row r="1022" spans="11:15" x14ac:dyDescent="0.25">
      <c r="K1022"/>
      <c r="L1022"/>
      <c r="M1022"/>
      <c r="N1022"/>
      <c r="O1022"/>
    </row>
    <row r="1023" spans="11:15" x14ac:dyDescent="0.25">
      <c r="K1023"/>
      <c r="L1023"/>
      <c r="M1023"/>
      <c r="N1023"/>
      <c r="O1023"/>
    </row>
    <row r="1024" spans="11:15" x14ac:dyDescent="0.25">
      <c r="K1024"/>
      <c r="L1024"/>
      <c r="M1024"/>
      <c r="N1024"/>
      <c r="O1024"/>
    </row>
    <row r="1025" spans="11:15" x14ac:dyDescent="0.25">
      <c r="K1025"/>
      <c r="L1025"/>
      <c r="M1025"/>
      <c r="N1025"/>
      <c r="O1025"/>
    </row>
    <row r="1026" spans="11:15" x14ac:dyDescent="0.25">
      <c r="K1026"/>
      <c r="L1026"/>
      <c r="M1026"/>
      <c r="N1026"/>
      <c r="O1026"/>
    </row>
    <row r="1027" spans="11:15" x14ac:dyDescent="0.25">
      <c r="K1027"/>
      <c r="L1027"/>
      <c r="M1027"/>
      <c r="N1027"/>
      <c r="O1027"/>
    </row>
    <row r="1028" spans="11:15" x14ac:dyDescent="0.25">
      <c r="K1028"/>
      <c r="L1028"/>
      <c r="M1028"/>
      <c r="N1028"/>
      <c r="O1028"/>
    </row>
    <row r="1029" spans="11:15" x14ac:dyDescent="0.25">
      <c r="K1029"/>
      <c r="L1029"/>
      <c r="M1029"/>
      <c r="N1029"/>
      <c r="O1029"/>
    </row>
    <row r="1030" spans="11:15" x14ac:dyDescent="0.25">
      <c r="K1030"/>
      <c r="L1030"/>
      <c r="M1030"/>
      <c r="N1030"/>
      <c r="O1030"/>
    </row>
    <row r="1031" spans="11:15" x14ac:dyDescent="0.25">
      <c r="K1031"/>
      <c r="L1031"/>
      <c r="M1031"/>
      <c r="N1031"/>
      <c r="O1031"/>
    </row>
    <row r="1032" spans="11:15" x14ac:dyDescent="0.25">
      <c r="K1032"/>
      <c r="L1032"/>
      <c r="M1032"/>
      <c r="N1032"/>
      <c r="O1032"/>
    </row>
    <row r="1033" spans="11:15" x14ac:dyDescent="0.25">
      <c r="K1033"/>
      <c r="L1033"/>
      <c r="M1033"/>
      <c r="N1033"/>
      <c r="O1033"/>
    </row>
    <row r="1034" spans="11:15" x14ac:dyDescent="0.25">
      <c r="K1034"/>
      <c r="L1034"/>
      <c r="M1034"/>
      <c r="N1034"/>
      <c r="O1034"/>
    </row>
    <row r="1035" spans="11:15" x14ac:dyDescent="0.25">
      <c r="K1035"/>
      <c r="L1035"/>
      <c r="M1035"/>
      <c r="N1035"/>
      <c r="O1035"/>
    </row>
    <row r="1036" spans="11:15" x14ac:dyDescent="0.25">
      <c r="K1036"/>
      <c r="L1036"/>
      <c r="M1036"/>
      <c r="N1036"/>
      <c r="O1036"/>
    </row>
    <row r="1037" spans="11:15" x14ac:dyDescent="0.25">
      <c r="K1037"/>
      <c r="L1037"/>
      <c r="M1037"/>
      <c r="N1037"/>
      <c r="O1037"/>
    </row>
    <row r="1038" spans="11:15" x14ac:dyDescent="0.25">
      <c r="K1038"/>
      <c r="L1038"/>
      <c r="M1038"/>
      <c r="N1038"/>
      <c r="O1038"/>
    </row>
    <row r="1039" spans="11:15" x14ac:dyDescent="0.25">
      <c r="K1039"/>
      <c r="L1039"/>
      <c r="M1039"/>
      <c r="N1039"/>
      <c r="O1039"/>
    </row>
    <row r="1040" spans="11:15" x14ac:dyDescent="0.25">
      <c r="K1040"/>
      <c r="L1040"/>
      <c r="M1040"/>
      <c r="N1040"/>
      <c r="O1040"/>
    </row>
    <row r="1041" spans="11:15" x14ac:dyDescent="0.25">
      <c r="K1041"/>
      <c r="L1041"/>
      <c r="M1041"/>
      <c r="N1041"/>
      <c r="O1041"/>
    </row>
    <row r="1042" spans="11:15" x14ac:dyDescent="0.25">
      <c r="K1042"/>
      <c r="L1042"/>
      <c r="M1042"/>
      <c r="N1042"/>
      <c r="O1042"/>
    </row>
    <row r="1043" spans="11:15" x14ac:dyDescent="0.25">
      <c r="K1043"/>
      <c r="L1043"/>
      <c r="M1043"/>
      <c r="N1043"/>
      <c r="O1043"/>
    </row>
    <row r="1044" spans="11:15" x14ac:dyDescent="0.25">
      <c r="K1044"/>
      <c r="L1044"/>
      <c r="M1044"/>
      <c r="N1044"/>
      <c r="O1044"/>
    </row>
    <row r="1045" spans="11:15" x14ac:dyDescent="0.25">
      <c r="K1045"/>
      <c r="L1045"/>
      <c r="M1045"/>
      <c r="N1045"/>
      <c r="O1045"/>
    </row>
    <row r="1046" spans="11:15" x14ac:dyDescent="0.25">
      <c r="K1046"/>
      <c r="L1046"/>
      <c r="M1046"/>
      <c r="N1046"/>
      <c r="O1046"/>
    </row>
    <row r="1047" spans="11:15" x14ac:dyDescent="0.25">
      <c r="K1047"/>
      <c r="L1047"/>
      <c r="M1047"/>
      <c r="N1047"/>
      <c r="O1047"/>
    </row>
    <row r="1048" spans="11:15" x14ac:dyDescent="0.25">
      <c r="K1048"/>
      <c r="L1048"/>
      <c r="M1048"/>
      <c r="N1048"/>
      <c r="O1048"/>
    </row>
    <row r="1049" spans="11:15" x14ac:dyDescent="0.25">
      <c r="K1049"/>
      <c r="L1049"/>
      <c r="M1049"/>
      <c r="N1049"/>
      <c r="O1049"/>
    </row>
    <row r="1050" spans="11:15" x14ac:dyDescent="0.25">
      <c r="K1050"/>
      <c r="L1050"/>
      <c r="M1050"/>
      <c r="N1050"/>
      <c r="O1050"/>
    </row>
    <row r="1051" spans="11:15" x14ac:dyDescent="0.25">
      <c r="K1051"/>
      <c r="L1051"/>
      <c r="M1051"/>
      <c r="N1051"/>
      <c r="O1051"/>
    </row>
    <row r="1052" spans="11:15" x14ac:dyDescent="0.25">
      <c r="K1052"/>
      <c r="L1052"/>
      <c r="M1052"/>
      <c r="N1052"/>
      <c r="O1052"/>
    </row>
    <row r="1053" spans="11:15" x14ac:dyDescent="0.25">
      <c r="K1053"/>
      <c r="L1053"/>
      <c r="M1053"/>
      <c r="N1053"/>
      <c r="O1053"/>
    </row>
    <row r="1054" spans="11:15" x14ac:dyDescent="0.25">
      <c r="K1054"/>
      <c r="L1054"/>
      <c r="M1054"/>
      <c r="N1054"/>
      <c r="O1054"/>
    </row>
    <row r="1055" spans="11:15" x14ac:dyDescent="0.25">
      <c r="K1055"/>
      <c r="L1055"/>
      <c r="M1055"/>
      <c r="N1055"/>
      <c r="O1055"/>
    </row>
    <row r="1056" spans="11:15" x14ac:dyDescent="0.25">
      <c r="K1056"/>
      <c r="L1056"/>
      <c r="M1056"/>
      <c r="N1056"/>
      <c r="O1056"/>
    </row>
    <row r="1057" spans="11:15" x14ac:dyDescent="0.25">
      <c r="K1057"/>
      <c r="L1057"/>
      <c r="M1057"/>
      <c r="N1057"/>
      <c r="O1057"/>
    </row>
    <row r="1058" spans="11:15" x14ac:dyDescent="0.25">
      <c r="K1058"/>
      <c r="L1058"/>
      <c r="M1058"/>
      <c r="N1058"/>
      <c r="O1058"/>
    </row>
    <row r="1059" spans="11:15" x14ac:dyDescent="0.25">
      <c r="K1059"/>
      <c r="L1059"/>
      <c r="M1059"/>
      <c r="N1059"/>
      <c r="O1059"/>
    </row>
    <row r="1060" spans="11:15" x14ac:dyDescent="0.25">
      <c r="K1060"/>
      <c r="L1060"/>
      <c r="M1060"/>
      <c r="N1060"/>
      <c r="O1060"/>
    </row>
    <row r="1061" spans="11:15" x14ac:dyDescent="0.25">
      <c r="K1061"/>
      <c r="L1061"/>
      <c r="M1061"/>
      <c r="N1061"/>
      <c r="O1061"/>
    </row>
    <row r="1062" spans="11:15" x14ac:dyDescent="0.25">
      <c r="K1062"/>
      <c r="L1062"/>
      <c r="M1062"/>
      <c r="N1062"/>
      <c r="O1062"/>
    </row>
    <row r="1063" spans="11:15" x14ac:dyDescent="0.25">
      <c r="K1063"/>
      <c r="L1063"/>
      <c r="M1063"/>
      <c r="N1063"/>
      <c r="O1063"/>
    </row>
  </sheetData>
  <sheetProtection sheet="1" objects="1" scenarios="1"/>
  <autoFilter ref="G25:G115" xr:uid="{00000000-0009-0000-0000-00000A000000}"/>
  <pageMargins left="0.70866141732283472" right="0.51181102362204722" top="0.55118110236220474" bottom="0.55118110236220474" header="0.31496062992125984" footer="0.31496062992125984"/>
  <pageSetup paperSize="9" orientation="portrait" r:id="rId1"/>
  <colBreaks count="2" manualBreakCount="2">
    <brk id="9" max="1048575" man="1"/>
    <brk id="15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129" r:id="rId4" name="Drop Down 1">
              <controlPr defaultSize="0" print="0" autoLine="0" autoPict="0">
                <anchor moveWithCells="1">
                  <from>
                    <xdr:col>6</xdr:col>
                    <xdr:colOff>171450</xdr:colOff>
                    <xdr:row>13</xdr:row>
                    <xdr:rowOff>180975</xdr:rowOff>
                  </from>
                  <to>
                    <xdr:col>9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0" r:id="rId5" name="Check Box 2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13</xdr:row>
                    <xdr:rowOff>161925</xdr:rowOff>
                  </from>
                  <to>
                    <xdr:col>5</xdr:col>
                    <xdr:colOff>981075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1" r:id="rId6" name="Check Box 3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14</xdr:row>
                    <xdr:rowOff>161925</xdr:rowOff>
                  </from>
                  <to>
                    <xdr:col>5</xdr:col>
                    <xdr:colOff>981075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2" r:id="rId7" name="Drop Down 4">
              <controlPr defaultSize="0" print="0" autoLine="0" autoPict="0">
                <anchor moveWithCells="1">
                  <from>
                    <xdr:col>6</xdr:col>
                    <xdr:colOff>171450</xdr:colOff>
                    <xdr:row>15</xdr:row>
                    <xdr:rowOff>0</xdr:rowOff>
                  </from>
                  <to>
                    <xdr:col>9</xdr:col>
                    <xdr:colOff>9525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3" r:id="rId8" name="Check Box 5">
              <controlPr defaultSize="0" print="0" autoFill="0" autoLine="0" autoPict="0">
                <anchor moveWithCells="1">
                  <from>
                    <xdr:col>4</xdr:col>
                    <xdr:colOff>466725</xdr:colOff>
                    <xdr:row>15</xdr:row>
                    <xdr:rowOff>161925</xdr:rowOff>
                  </from>
                  <to>
                    <xdr:col>5</xdr:col>
                    <xdr:colOff>981075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4" r:id="rId9" name="Check Box 6">
              <controlPr defaultSize="0" print="0" autoFill="0" autoLine="0" autoPict="0">
                <anchor moveWithCells="1">
                  <from>
                    <xdr:col>6</xdr:col>
                    <xdr:colOff>161925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"/>
  <dimension ref="B2:C10"/>
  <sheetViews>
    <sheetView showGridLines="0" zoomScale="115" zoomScaleNormal="115" workbookViewId="0">
      <selection activeCell="C10" sqref="C10"/>
    </sheetView>
  </sheetViews>
  <sheetFormatPr defaultRowHeight="12.75" x14ac:dyDescent="0.2"/>
  <cols>
    <col min="1" max="1" width="2.7109375" customWidth="1"/>
    <col min="2" max="2" width="27.7109375" bestFit="1" customWidth="1"/>
    <col min="3" max="3" width="9.5703125" customWidth="1"/>
  </cols>
  <sheetData>
    <row r="2" spans="2:3" x14ac:dyDescent="0.2">
      <c r="B2" s="61" t="s">
        <v>21</v>
      </c>
    </row>
    <row r="4" spans="2:3" x14ac:dyDescent="0.2">
      <c r="B4" t="s">
        <v>22</v>
      </c>
      <c r="C4" s="64" t="b">
        <v>1</v>
      </c>
    </row>
    <row r="6" spans="2:3" x14ac:dyDescent="0.2">
      <c r="B6" s="57" t="s">
        <v>23</v>
      </c>
      <c r="C6" s="58" t="s">
        <v>26</v>
      </c>
    </row>
    <row r="7" spans="2:3" x14ac:dyDescent="0.2">
      <c r="B7" s="62" t="s">
        <v>27</v>
      </c>
      <c r="C7" s="63" t="s">
        <v>26</v>
      </c>
    </row>
    <row r="8" spans="2:3" x14ac:dyDescent="0.2">
      <c r="B8" s="45" t="s">
        <v>24</v>
      </c>
      <c r="C8" s="59">
        <v>8</v>
      </c>
    </row>
    <row r="9" spans="2:3" x14ac:dyDescent="0.2">
      <c r="B9" s="45" t="s">
        <v>20</v>
      </c>
      <c r="C9" s="59">
        <v>60</v>
      </c>
    </row>
    <row r="10" spans="2:3" x14ac:dyDescent="0.2">
      <c r="B10" s="46" t="s">
        <v>25</v>
      </c>
      <c r="C10" s="60">
        <f>ROUND(MAX(MAX(Раскрой!C4:C13)*0.02,50),)</f>
        <v>60</v>
      </c>
    </row>
  </sheetData>
  <sheetProtection sheet="1" objects="1" scenarios="1" selectLockedCells="1"/>
  <conditionalFormatting sqref="B6:C10">
    <cfRule type="expression" dxfId="0" priority="1">
      <formula>NOT($C$4)</formula>
    </cfRule>
  </conditionalFormatting>
  <dataValidations count="3">
    <dataValidation type="list" allowBlank="1" showInputMessage="1" showErrorMessage="1" sqref="C8" xr:uid="{00000000-0002-0000-0B00-000000000000}">
      <formula1>"2,4,8"</formula1>
    </dataValidation>
    <dataValidation type="list" allowBlank="1" showInputMessage="1" showErrorMessage="1" sqref="C9" xr:uid="{00000000-0002-0000-0B00-000001000000}">
      <formula1>"10,30,60,120,300,600"</formula1>
    </dataValidation>
    <dataValidation type="list" allowBlank="1" showInputMessage="1" showErrorMessage="1" sqref="C6:C7" xr:uid="{00000000-0002-0000-0B00-000002000000}">
      <formula1>"Да,Нет"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818" r:id="rId3" name="Check Box 2">
              <controlPr defaultSize="0" autoFill="0" autoLine="0" autoPict="0">
                <anchor moveWithCells="1">
                  <from>
                    <xdr:col>2</xdr:col>
                    <xdr:colOff>238125</xdr:colOff>
                    <xdr:row>3</xdr:row>
                    <xdr:rowOff>0</xdr:rowOff>
                  </from>
                  <to>
                    <xdr:col>2</xdr:col>
                    <xdr:colOff>476250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UI/customUI.xml><?xml version="1.0" encoding="utf-8"?>
<customUI xmlns="http://schemas.microsoft.com/office/2006/01/customui">
  <ribbon>
    <tabs>
      <tab id="Addin" label="Raskroy">
        <group id="Group1" label="Раскрой">
          <button id="btnRaskroyDP" imageMso="TableDesign" label="Расчет DP" size="large" supertip="Сделать расчет текущих отрезков динамическим программированием." onAction="MyRibbonRaskroyDP"/>
          <button id="btnRaskroy" imageMso="TableDesign" label="Расчет LP" size="large" supertip="Сделать расчет текущих отрезков линейным программированием." onAction="MyRibbonRaskroyLP"/>
          <button id="btnNew" imageMso="FileNew" label="Очистить все" size="large" supertip="Удалить исходные данные." onAction="MyRibbonNew"/>
          <button id="btnClearSolve" imageMso="TableDeleteRowsAndColumnsMenuWord" label="Убрать решение" size="large" supertip="Удалить решение." onAction="MyRibbonClearSolve"/>
          <button id="btnGraph" imageMso="Chart3DBarChart" label="Отобразить графически" size="large" supertip="Показать раскрой графически." onAction="MyRibbonGraph"/>
          <button id="btnOffGraph" imageMso="Delete" label="Убрать графику" size="large" supertip="Убрать графические объекты." onAction="MyRibbonOffGraph"/>
          <button id="btnPDF" imageMso="FileSaveAs" label="Экспорт в PDF" size="large" supertip="Сохранить текущий расчет в формате PDF." onAction="MyRibbonExport2PDF"/>
          <button id="btnReport" imageMso="SaveSelectionToTableOfContentsGallery" label="Создать отчет" size="large" supertip="Создать отчет отдельным документом." onAction="MyRibbonCreateReport"/>
          <button id="btnSettings" imageMso="ControlToolboxOutlook" label="Настройки" size="large" supertip="Установить настройки для расчета." onAction="MyRibbonSettings"/>
        </group>
        <group id="Group2" label="Информация">
          <button id="btnAbout" imageMso="Info" label="О программе" size="large" supertip="Информация о программе и форма обратной связи." onAction="MyRibbonAbou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6</vt:i4>
      </vt:variant>
    </vt:vector>
  </HeadingPairs>
  <TitlesOfParts>
    <vt:vector size="18" baseType="lpstr">
      <vt:lpstr>Раскрой</vt:lpstr>
      <vt:lpstr>Тест1</vt:lpstr>
      <vt:lpstr>Тест2</vt:lpstr>
      <vt:lpstr>Тест3</vt:lpstr>
      <vt:lpstr>Тест4</vt:lpstr>
      <vt:lpstr>Тест5</vt:lpstr>
      <vt:lpstr>Тест6</vt:lpstr>
      <vt:lpstr>Раскрой (Окнософт1)</vt:lpstr>
      <vt:lpstr>Optimize1</vt:lpstr>
      <vt:lpstr>Optimize2</vt:lpstr>
      <vt:lpstr>Wiki</vt:lpstr>
      <vt:lpstr>Settings</vt:lpstr>
      <vt:lpstr>SetCspSolver</vt:lpstr>
      <vt:lpstr>SetMinMax</vt:lpstr>
      <vt:lpstr>SetRandomize</vt:lpstr>
      <vt:lpstr>SetThreads</vt:lpstr>
      <vt:lpstr>SetTime</vt:lpstr>
      <vt:lpstr>SetWaste</vt:lpstr>
    </vt:vector>
  </TitlesOfParts>
  <Company>Тосол-синтез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chma</dc:creator>
  <cp:lastModifiedBy>8-bit</cp:lastModifiedBy>
  <cp:lastPrinted>2016-07-04T03:10:34Z</cp:lastPrinted>
  <dcterms:created xsi:type="dcterms:W3CDTF">2012-03-22T05:16:14Z</dcterms:created>
  <dcterms:modified xsi:type="dcterms:W3CDTF">2023-08-17T08:49:22Z</dcterms:modified>
</cp:coreProperties>
</file>